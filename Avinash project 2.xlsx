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cuments\OneDrive\Desktop\"/>
    </mc:Choice>
  </mc:AlternateContent>
  <xr:revisionPtr revIDLastSave="0" documentId="8_{273BAA3B-0C62-47D2-B4E2-EAAC2DA86E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  <sheet name="Pivot Tables" sheetId="2" r:id="rId2"/>
    <sheet name="Pivot Charts" sheetId="3" r:id="rId3"/>
  </sheets>
  <calcPr calcId="191029"/>
  <pivotCaches>
    <pivotCache cacheId="1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01" i="1" l="1"/>
  <c r="K6" i="2"/>
  <c r="K5" i="2"/>
  <c r="K7" i="2" l="1"/>
</calcChain>
</file>

<file path=xl/sharedStrings.xml><?xml version="1.0" encoding="utf-8"?>
<sst xmlns="http://schemas.openxmlformats.org/spreadsheetml/2006/main" count="14091" uniqueCount="2063">
  <si>
    <t>Customer_ID</t>
  </si>
  <si>
    <t>Age</t>
  </si>
  <si>
    <t>Gender</t>
  </si>
  <si>
    <t>City</t>
  </si>
  <si>
    <t>Customer_Segment</t>
  </si>
  <si>
    <t>Registration_Date</t>
  </si>
  <si>
    <t>Last_Purchase_Date</t>
  </si>
  <si>
    <t>Total_Orders</t>
  </si>
  <si>
    <t>Total_Spent</t>
  </si>
  <si>
    <t>Average_Order_Value</t>
  </si>
  <si>
    <t>Preferred_Category</t>
  </si>
  <si>
    <t>Purchase_Channel</t>
  </si>
  <si>
    <t>Satisfaction_Score</t>
  </si>
  <si>
    <t>Churn_Flag</t>
  </si>
  <si>
    <t>Customer Value</t>
  </si>
  <si>
    <t>CUST00453</t>
  </si>
  <si>
    <t>Male</t>
  </si>
  <si>
    <t>Hyderabad</t>
  </si>
  <si>
    <t>New</t>
  </si>
  <si>
    <t>Sports</t>
  </si>
  <si>
    <t>App</t>
  </si>
  <si>
    <t>No</t>
  </si>
  <si>
    <t>CUST01279</t>
  </si>
  <si>
    <t>Female</t>
  </si>
  <si>
    <t>Delhi</t>
  </si>
  <si>
    <t>Fashion</t>
  </si>
  <si>
    <t>Store</t>
  </si>
  <si>
    <t>CUST00304</t>
  </si>
  <si>
    <t>Kolkata</t>
  </si>
  <si>
    <t>Regular</t>
  </si>
  <si>
    <t>Online</t>
  </si>
  <si>
    <t>Yes</t>
  </si>
  <si>
    <t>CUST00187</t>
  </si>
  <si>
    <t>CUST01206</t>
  </si>
  <si>
    <t>Loyal</t>
  </si>
  <si>
    <t>Beauty</t>
  </si>
  <si>
    <t>CUST00677</t>
  </si>
  <si>
    <t>CUST01154</t>
  </si>
  <si>
    <t>At Risk</t>
  </si>
  <si>
    <t>Electronics</t>
  </si>
  <si>
    <t>CUST01859</t>
  </si>
  <si>
    <t>CUST01149</t>
  </si>
  <si>
    <t>Bangalore</t>
  </si>
  <si>
    <t>CUST01464</t>
  </si>
  <si>
    <t>Chennai</t>
  </si>
  <si>
    <t>Home</t>
  </si>
  <si>
    <t>CUST01059</t>
  </si>
  <si>
    <t>CUST01134</t>
  </si>
  <si>
    <t>CUST00428</t>
  </si>
  <si>
    <t>CUST01773</t>
  </si>
  <si>
    <t>Mumbai</t>
  </si>
  <si>
    <t>CUST00273</t>
  </si>
  <si>
    <t>CUST00364</t>
  </si>
  <si>
    <t>CUST00987</t>
  </si>
  <si>
    <t>CUST01308</t>
  </si>
  <si>
    <t>CUST01360</t>
  </si>
  <si>
    <t>CUST00796</t>
  </si>
  <si>
    <t>CUST00414</t>
  </si>
  <si>
    <t>CUST00439</t>
  </si>
  <si>
    <t>CUST01881</t>
  </si>
  <si>
    <t>CUST00427</t>
  </si>
  <si>
    <t>Pune</t>
  </si>
  <si>
    <t>CUST01533</t>
  </si>
  <si>
    <t>CUST01063</t>
  </si>
  <si>
    <t>CUST00394</t>
  </si>
  <si>
    <t>CUST01069</t>
  </si>
  <si>
    <t>CUST00694</t>
  </si>
  <si>
    <t>CUST00123</t>
  </si>
  <si>
    <t>CUST01853</t>
  </si>
  <si>
    <t>CUST00660</t>
  </si>
  <si>
    <t>CUST00454</t>
  </si>
  <si>
    <t>CUST01099</t>
  </si>
  <si>
    <t>CUST01940</t>
  </si>
  <si>
    <t>CUST01079</t>
  </si>
  <si>
    <t>CUST00261</t>
  </si>
  <si>
    <t>CUST00500</t>
  </si>
  <si>
    <t>CUST01888</t>
  </si>
  <si>
    <t>CUST00565</t>
  </si>
  <si>
    <t>CUST00055</t>
  </si>
  <si>
    <t>CUST01023</t>
  </si>
  <si>
    <t>CUST01094</t>
  </si>
  <si>
    <t>CUST00003</t>
  </si>
  <si>
    <t>CUST01617</t>
  </si>
  <si>
    <t>CUST01307</t>
  </si>
  <si>
    <t>CUST00108</t>
  </si>
  <si>
    <t>CUST00256</t>
  </si>
  <si>
    <t>CUST01612</t>
  </si>
  <si>
    <t>CUST00634</t>
  </si>
  <si>
    <t>CUST01792</t>
  </si>
  <si>
    <t>CUST01020</t>
  </si>
  <si>
    <t>CUST00335</t>
  </si>
  <si>
    <t>CUST01724</t>
  </si>
  <si>
    <t>CUST00152</t>
  </si>
  <si>
    <t>CUST01706</t>
  </si>
  <si>
    <t>CUST01410</t>
  </si>
  <si>
    <t>CUST01970</t>
  </si>
  <si>
    <t>CUST00281</t>
  </si>
  <si>
    <t>CUST00829</t>
  </si>
  <si>
    <t>CUST01937</t>
  </si>
  <si>
    <t>CUST01820</t>
  </si>
  <si>
    <t>CUST00822</t>
  </si>
  <si>
    <t>CUST00286</t>
  </si>
  <si>
    <t>CUST01855</t>
  </si>
  <si>
    <t>CUST00934</t>
  </si>
  <si>
    <t>CUST00215</t>
  </si>
  <si>
    <t>CUST01270</t>
  </si>
  <si>
    <t>CUST00424</t>
  </si>
  <si>
    <t>CUST00142</t>
  </si>
  <si>
    <t>CUST00548</t>
  </si>
  <si>
    <t>CUST01894</t>
  </si>
  <si>
    <t>CUST00615</t>
  </si>
  <si>
    <t>CUST01474</t>
  </si>
  <si>
    <t>CUST01156</t>
  </si>
  <si>
    <t>CUST01546</t>
  </si>
  <si>
    <t>CUST00498</t>
  </si>
  <si>
    <t>CUST01166</t>
  </si>
  <si>
    <t>CUST00353</t>
  </si>
  <si>
    <t>CUST00074</t>
  </si>
  <si>
    <t>CUST00601</t>
  </si>
  <si>
    <t>CUST00374</t>
  </si>
  <si>
    <t>CUST01121</t>
  </si>
  <si>
    <t>CUST01959</t>
  </si>
  <si>
    <t>CUST01615</t>
  </si>
  <si>
    <t>CUST00371</t>
  </si>
  <si>
    <t>CUST01697</t>
  </si>
  <si>
    <t>CUST00128</t>
  </si>
  <si>
    <t>CUST00858</t>
  </si>
  <si>
    <t>CUST01056</t>
  </si>
  <si>
    <t>CUST01224</t>
  </si>
  <si>
    <t>CUST01916</t>
  </si>
  <si>
    <t>CUST01603</t>
  </si>
  <si>
    <t>CUST01972</t>
  </si>
  <si>
    <t>CUST00388</t>
  </si>
  <si>
    <t>CUST00587</t>
  </si>
  <si>
    <t>CUST01938</t>
  </si>
  <si>
    <t>CUST01100</t>
  </si>
  <si>
    <t>CUST00282</t>
  </si>
  <si>
    <t>CUST01278</t>
  </si>
  <si>
    <t>CUST00099</t>
  </si>
  <si>
    <t>CUST01809</t>
  </si>
  <si>
    <t>CUST00977</t>
  </si>
  <si>
    <t>CUST01928</t>
  </si>
  <si>
    <t>CUST01419</t>
  </si>
  <si>
    <t>CUST00592</t>
  </si>
  <si>
    <t>CUST01109</t>
  </si>
  <si>
    <t>CUST01887</t>
  </si>
  <si>
    <t>CUST01760</t>
  </si>
  <si>
    <t>CUST00939</t>
  </si>
  <si>
    <t>CUST00703</t>
  </si>
  <si>
    <t>CUST00603</t>
  </si>
  <si>
    <t>CUST01237</t>
  </si>
  <si>
    <t>CUST01075</t>
  </si>
  <si>
    <t>CUST01035</t>
  </si>
  <si>
    <t>CUST01892</t>
  </si>
  <si>
    <t>CUST00809</t>
  </si>
  <si>
    <t>CUST00181</t>
  </si>
  <si>
    <t>CUST01295</t>
  </si>
  <si>
    <t>CUST00440</t>
  </si>
  <si>
    <t>CUST00502</t>
  </si>
  <si>
    <t>CUST00512</t>
  </si>
  <si>
    <t>CUST01484</t>
  </si>
  <si>
    <t>CUST01609</t>
  </si>
  <si>
    <t>CUST00633</t>
  </si>
  <si>
    <t>CUST00191</t>
  </si>
  <si>
    <t>CUST00143</t>
  </si>
  <si>
    <t>CUST01447</t>
  </si>
  <si>
    <t>CUST01605</t>
  </si>
  <si>
    <t>CUST01664</t>
  </si>
  <si>
    <t>CUST01095</t>
  </si>
  <si>
    <t>CUST00161</t>
  </si>
  <si>
    <t>CUST01398</t>
  </si>
  <si>
    <t>CUST00928</t>
  </si>
  <si>
    <t>CUST00423</t>
  </si>
  <si>
    <t>CUST00886</t>
  </si>
  <si>
    <t>CUST01514</t>
  </si>
  <si>
    <t>CUST01607</t>
  </si>
  <si>
    <t>CUST00662</t>
  </si>
  <si>
    <t>CUST00274</t>
  </si>
  <si>
    <t>CUST01073</t>
  </si>
  <si>
    <t>CUST01843</t>
  </si>
  <si>
    <t>CUST00200</t>
  </si>
  <si>
    <t>CUST00093</t>
  </si>
  <si>
    <t>CUST00146</t>
  </si>
  <si>
    <t>CUST01991</t>
  </si>
  <si>
    <t>CUST00487</t>
  </si>
  <si>
    <t>CUST01613</t>
  </si>
  <si>
    <t>CUST00789</t>
  </si>
  <si>
    <t>CUST00356</t>
  </si>
  <si>
    <t>CUST00490</t>
  </si>
  <si>
    <t>CUST00517</t>
  </si>
  <si>
    <t>CUST01536</t>
  </si>
  <si>
    <t>CUST00202</t>
  </si>
  <si>
    <t>CUST01314</t>
  </si>
  <si>
    <t>CUST00879</t>
  </si>
  <si>
    <t>CUST01236</t>
  </si>
  <si>
    <t>CUST01711</t>
  </si>
  <si>
    <t>CUST01352</t>
  </si>
  <si>
    <t>CUST01775</t>
  </si>
  <si>
    <t>CUST01348</t>
  </si>
  <si>
    <t>CUST01895</t>
  </si>
  <si>
    <t>CUST00170</t>
  </si>
  <si>
    <t>CUST01573</t>
  </si>
  <si>
    <t>CUST00891</t>
  </si>
  <si>
    <t>CUST01268</t>
  </si>
  <si>
    <t>CUST00552</t>
  </si>
  <si>
    <t>CUST01833</t>
  </si>
  <si>
    <t>CUST00468</t>
  </si>
  <si>
    <t>CUST01767</t>
  </si>
  <si>
    <t>CUST01343</t>
  </si>
  <si>
    <t>CUST00810</t>
  </si>
  <si>
    <t>CUST01877</t>
  </si>
  <si>
    <t>CUST00361</t>
  </si>
  <si>
    <t>CUST01690</t>
  </si>
  <si>
    <t>CUST01552</t>
  </si>
  <si>
    <t>CUST00575</t>
  </si>
  <si>
    <t>CUST00746</t>
  </si>
  <si>
    <t>CUST00344</t>
  </si>
  <si>
    <t>CUST01695</t>
  </si>
  <si>
    <t>CUST00078</t>
  </si>
  <si>
    <t>CUST01594</t>
  </si>
  <si>
    <t>CUST01674</t>
  </si>
  <si>
    <t>CUST00315</t>
  </si>
  <si>
    <t>CUST01254</t>
  </si>
  <si>
    <t>CUST01965</t>
  </si>
  <si>
    <t>CUST00914</t>
  </si>
  <si>
    <t>CUST01837</t>
  </si>
  <si>
    <t>CUST00269</t>
  </si>
  <si>
    <t>CUST00534</t>
  </si>
  <si>
    <t>CUST00040</t>
  </si>
  <si>
    <t>CUST00951</t>
  </si>
  <si>
    <t>CUST00834</t>
  </si>
  <si>
    <t>CUST01408</t>
  </si>
  <si>
    <t>CUST01159</t>
  </si>
  <si>
    <t>CUST01989</t>
  </si>
  <si>
    <t>CUST01649</t>
  </si>
  <si>
    <t>CUST00366</t>
  </si>
  <si>
    <t>CUST00630</t>
  </si>
  <si>
    <t>CUST00913</t>
  </si>
  <si>
    <t>CUST00252</t>
  </si>
  <si>
    <t>CUST00794</t>
  </si>
  <si>
    <t>CUST01064</t>
  </si>
  <si>
    <t>CUST01987</t>
  </si>
  <si>
    <t>CUST00948</t>
  </si>
  <si>
    <t>CUST00339</t>
  </si>
  <si>
    <t>CUST00998</t>
  </si>
  <si>
    <t>CUST01831</t>
  </si>
  <si>
    <t>CUST01146</t>
  </si>
  <si>
    <t>CUST01392</t>
  </si>
  <si>
    <t>CUST01437</t>
  </si>
  <si>
    <t>CUST01497</t>
  </si>
  <si>
    <t>CUST01999</t>
  </si>
  <si>
    <t>CUST00153</t>
  </si>
  <si>
    <t>CUST00026</t>
  </si>
  <si>
    <t>CUST00642</t>
  </si>
  <si>
    <t>CUST00368</t>
  </si>
  <si>
    <t>CUST00443</t>
  </si>
  <si>
    <t>CUST00758</t>
  </si>
  <si>
    <t>CUST01405</t>
  </si>
  <si>
    <t>CUST00673</t>
  </si>
  <si>
    <t>CUST01668</t>
  </si>
  <si>
    <t>CUST00570</t>
  </si>
  <si>
    <t>CUST01521</t>
  </si>
  <si>
    <t>CUST00933</t>
  </si>
  <si>
    <t>CUST00568</t>
  </si>
  <si>
    <t>CUST01201</t>
  </si>
  <si>
    <t>CUST01423</t>
  </si>
  <si>
    <t>CUST00997</t>
  </si>
  <si>
    <t>CUST01081</t>
  </si>
  <si>
    <t>CUST00835</t>
  </si>
  <si>
    <t>CUST00942</t>
  </si>
  <si>
    <t>CUST00166</t>
  </si>
  <si>
    <t>CUST00657</t>
  </si>
  <si>
    <t>CUST00840</t>
  </si>
  <si>
    <t>CUST00850</t>
  </si>
  <si>
    <t>CUST00528</t>
  </si>
  <si>
    <t>CUST01218</t>
  </si>
  <si>
    <t>CUST00401</t>
  </si>
  <si>
    <t>CUST00656</t>
  </si>
  <si>
    <t>CUST00176</t>
  </si>
  <si>
    <t>CUST00135</t>
  </si>
  <si>
    <t>CUST00080</t>
  </si>
  <si>
    <t>CUST00307</t>
  </si>
  <si>
    <t>CUST00091</t>
  </si>
  <si>
    <t>CUST00760</t>
  </si>
  <si>
    <t>CUST00380</t>
  </si>
  <si>
    <t>CUST00569</t>
  </si>
  <si>
    <t>CUST01240</t>
  </si>
  <si>
    <t>CUST01801</t>
  </si>
  <si>
    <t>CUST00953</t>
  </si>
  <si>
    <t>CUST00831</t>
  </si>
  <si>
    <t>CUST01015</t>
  </si>
  <si>
    <t>CUST01364</t>
  </si>
  <si>
    <t>CUST01858</t>
  </si>
  <si>
    <t>CUST00692</t>
  </si>
  <si>
    <t>CUST00131</t>
  </si>
  <si>
    <t>CUST01389</t>
  </si>
  <si>
    <t>CUST00193</t>
  </si>
  <si>
    <t>CUST01458</t>
  </si>
  <si>
    <t>CUST01454</t>
  </si>
  <si>
    <t>CUST01816</t>
  </si>
  <si>
    <t>CUST00357</t>
  </si>
  <si>
    <t>CUST00083</t>
  </si>
  <si>
    <t>CUST00646</t>
  </si>
  <si>
    <t>CUST01511</t>
  </si>
  <si>
    <t>CUST00871</t>
  </si>
  <si>
    <t>CUST01691</t>
  </si>
  <si>
    <t>CUST00641</t>
  </si>
  <si>
    <t>CUST01793</t>
  </si>
  <si>
    <t>CUST00068</t>
  </si>
  <si>
    <t>CUST00126</t>
  </si>
  <si>
    <t>CUST00604</t>
  </si>
  <si>
    <t>CUST01021</t>
  </si>
  <si>
    <t>CUST01503</t>
  </si>
  <si>
    <t>CUST01794</t>
  </si>
  <si>
    <t>CUST00957</t>
  </si>
  <si>
    <t>CUST01955</t>
  </si>
  <si>
    <t>CUST01285</t>
  </si>
  <si>
    <t>CUST01699</t>
  </si>
  <si>
    <t>CUST00544</t>
  </si>
  <si>
    <t>CUST01076</t>
  </si>
  <si>
    <t>CUST01568</t>
  </si>
  <si>
    <t>CUST00797</t>
  </si>
  <si>
    <t>CUST00406</t>
  </si>
  <si>
    <t>CUST01642</t>
  </si>
  <si>
    <t>CUST01593</t>
  </si>
  <si>
    <t>CUST00683</t>
  </si>
  <si>
    <t>CUST01168</t>
  </si>
  <si>
    <t>CUST00740</t>
  </si>
  <si>
    <t>CUST00275</t>
  </si>
  <si>
    <t>CUST01148</t>
  </si>
  <si>
    <t>CUST01882</t>
  </si>
  <si>
    <t>CUST01739</t>
  </si>
  <si>
    <t>CUST01349</t>
  </si>
  <si>
    <t>CUST00738</t>
  </si>
  <si>
    <t>CUST00493</t>
  </si>
  <si>
    <t>CUST00721</t>
  </si>
  <si>
    <t>CUST01165</t>
  </si>
  <si>
    <t>CUST01116</t>
  </si>
  <si>
    <t>CUST00432</t>
  </si>
  <si>
    <t>CUST00379</t>
  </si>
  <si>
    <t>CUST01598</t>
  </si>
  <si>
    <t>CUST00079</t>
  </si>
  <si>
    <t>CUST01934</t>
  </si>
  <si>
    <t>CUST00616</t>
  </si>
  <si>
    <t>CUST00793</t>
  </si>
  <si>
    <t>CUST01452</t>
  </si>
  <si>
    <t>CUST00332</t>
  </si>
  <si>
    <t>CUST00448</t>
  </si>
  <si>
    <t>CUST01778</t>
  </si>
  <si>
    <t>CUST00609</t>
  </si>
  <si>
    <t>CUST00817</t>
  </si>
  <si>
    <t>CUST00833</t>
  </si>
  <si>
    <t>CUST01596</t>
  </si>
  <si>
    <t>CUST01185</t>
  </si>
  <si>
    <t>CUST01924</t>
  </si>
  <si>
    <t>CUST01581</t>
  </si>
  <si>
    <t>CUST00755</t>
  </si>
  <si>
    <t>CUST01971</t>
  </si>
  <si>
    <t>CUST01098</t>
  </si>
  <si>
    <t>CUST01182</t>
  </si>
  <si>
    <t>CUST01951</t>
  </si>
  <si>
    <t>CUST00623</t>
  </si>
  <si>
    <t>CUST00141</t>
  </si>
  <si>
    <t>CUST01153</t>
  </si>
  <si>
    <t>CUST01651</t>
  </si>
  <si>
    <t>CUST00409</t>
  </si>
  <si>
    <t>CUST01489</t>
  </si>
  <si>
    <t>CUST00293</t>
  </si>
  <si>
    <t>CUST01795</t>
  </si>
  <si>
    <t>CUST00926</t>
  </si>
  <si>
    <t>CUST00771</t>
  </si>
  <si>
    <t>CUST00232</t>
  </si>
  <si>
    <t>CUST01066</t>
  </si>
  <si>
    <t>CUST01645</t>
  </si>
  <si>
    <t>CUST01562</t>
  </si>
  <si>
    <t>CUST00783</t>
  </si>
  <si>
    <t>CUST01777</t>
  </si>
  <si>
    <t>CUST01010</t>
  </si>
  <si>
    <t>CUST00748</t>
  </si>
  <si>
    <t>CUST00270</t>
  </si>
  <si>
    <t>CUST01566</t>
  </si>
  <si>
    <t>CUST00479</t>
  </si>
  <si>
    <t>CUST01442</t>
  </si>
  <si>
    <t>CUST00598</t>
  </si>
  <si>
    <t>CUST01543</t>
  </si>
  <si>
    <t>CUST00640</t>
  </si>
  <si>
    <t>CUST01488</t>
  </si>
  <si>
    <t>CUST00966</t>
  </si>
  <si>
    <t>CUST01542</t>
  </si>
  <si>
    <t>CUST00043</t>
  </si>
  <si>
    <t>CUST01353</t>
  </si>
  <si>
    <t>CUST01947</t>
  </si>
  <si>
    <t>CUST00188</t>
  </si>
  <si>
    <t>CUST00982</t>
  </si>
  <si>
    <t>CUST00629</t>
  </si>
  <si>
    <t>CUST00899</t>
  </si>
  <si>
    <t>CUST00857</t>
  </si>
  <si>
    <t>CUST00067</t>
  </si>
  <si>
    <t>CUST01577</t>
  </si>
  <si>
    <t>CUST00848</t>
  </si>
  <si>
    <t>CUST01120</t>
  </si>
  <si>
    <t>CUST01161</t>
  </si>
  <si>
    <t>CUST01351</t>
  </si>
  <si>
    <t>CUST00946</t>
  </si>
  <si>
    <t>CUST00359</t>
  </si>
  <si>
    <t>CUST01931</t>
  </si>
  <si>
    <t>CUST00818</t>
  </si>
  <si>
    <t>CUST01443</t>
  </si>
  <si>
    <t>CUST00670</t>
  </si>
  <si>
    <t>CUST01520</t>
  </si>
  <si>
    <t>CUST01917</t>
  </si>
  <si>
    <t>CUST01841</t>
  </si>
  <si>
    <t>CUST01479</t>
  </si>
  <si>
    <t>CUST01194</t>
  </si>
  <si>
    <t>CUST01480</t>
  </si>
  <si>
    <t>CUST00729</t>
  </si>
  <si>
    <t>CUST01702</t>
  </si>
  <si>
    <t>CUST00708</t>
  </si>
  <si>
    <t>CUST01962</t>
  </si>
  <si>
    <t>CUST00240</t>
  </si>
  <si>
    <t>CUST00696</t>
  </si>
  <si>
    <t>CUST00494</t>
  </si>
  <si>
    <t>CUST00838</t>
  </si>
  <si>
    <t>CUST01637</t>
  </si>
  <si>
    <t>CUST01731</t>
  </si>
  <si>
    <t>CUST00316</t>
  </si>
  <si>
    <t>CUST00022</t>
  </si>
  <si>
    <t>CUST01687</t>
  </si>
  <si>
    <t>CUST00025</t>
  </si>
  <si>
    <t>CUST01033</t>
  </si>
  <si>
    <t>CUST00578</t>
  </si>
  <si>
    <t>CUST01569</t>
  </si>
  <si>
    <t>CUST01250</t>
  </si>
  <si>
    <t>CUST01379</t>
  </si>
  <si>
    <t>CUST01257</t>
  </si>
  <si>
    <t>CUST00591</t>
  </si>
  <si>
    <t>CUST01540</t>
  </si>
  <si>
    <t>CUST00156</t>
  </si>
  <si>
    <t>CUST00186</t>
  </si>
  <si>
    <t>CUST00489</t>
  </si>
  <si>
    <t>CUST00841</t>
  </si>
  <si>
    <t>CUST01893</t>
  </si>
  <si>
    <t>CUST01415</t>
  </si>
  <si>
    <t>CUST00669</t>
  </si>
  <si>
    <t>CUST00349</t>
  </si>
  <si>
    <t>CUST00463</t>
  </si>
  <si>
    <t>CUST01018</t>
  </si>
  <si>
    <t>CUST00581</t>
  </si>
  <si>
    <t>CUST01737</t>
  </si>
  <si>
    <t>CUST01363</t>
  </si>
  <si>
    <t>CUST00980</t>
  </si>
  <si>
    <t>CUST01215</t>
  </si>
  <si>
    <t>CUST01679</t>
  </si>
  <si>
    <t>CUST00436</t>
  </si>
  <si>
    <t>CUST00995</t>
  </si>
  <si>
    <t>CUST00435</t>
  </si>
  <si>
    <t>CUST01298</t>
  </si>
  <si>
    <t>CUST00731</t>
  </si>
  <si>
    <t>CUST01241</t>
  </si>
  <si>
    <t>CUST00599</t>
  </si>
  <si>
    <t>CUST01487</t>
  </si>
  <si>
    <t>CUST01522</t>
  </si>
  <si>
    <t>CUST01647</t>
  </si>
  <si>
    <t>CUST00429</t>
  </si>
  <si>
    <t>CUST00051</t>
  </si>
  <si>
    <t>CUST01288</t>
  </si>
  <si>
    <t>CUST00727</t>
  </si>
  <si>
    <t>CUST00940</t>
  </si>
  <si>
    <t>CUST01377</t>
  </si>
  <si>
    <t>CUST00045</t>
  </si>
  <si>
    <t>CUST01129</t>
  </si>
  <si>
    <t>CUST00342</t>
  </si>
  <si>
    <t>CUST00845</t>
  </si>
  <si>
    <t>CUST00503</t>
  </si>
  <si>
    <t>CUST00184</t>
  </si>
  <si>
    <t>CUST01342</t>
  </si>
  <si>
    <t>CUST00541</t>
  </si>
  <si>
    <t>CUST00172</t>
  </si>
  <si>
    <t>CUST01641</t>
  </si>
  <si>
    <t>CUST01485</t>
  </si>
  <si>
    <t>CUST01554</t>
  </si>
  <si>
    <t>CUST00685</t>
  </si>
  <si>
    <t>CUST01854</t>
  </si>
  <si>
    <t>CUST00561</t>
  </si>
  <si>
    <t>CUST01549</t>
  </si>
  <si>
    <t>CUST01393</t>
  </si>
  <si>
    <t>CUST01401</t>
  </si>
  <si>
    <t>CUST00780</t>
  </si>
  <si>
    <t>CUST01042</t>
  </si>
  <si>
    <t>CUST00560</t>
  </si>
  <si>
    <t>CUST00909</t>
  </si>
  <si>
    <t>CUST00323</t>
  </si>
  <si>
    <t>CUST00130</t>
  </si>
  <si>
    <t>CUST00441</t>
  </si>
  <si>
    <t>CUST00496</t>
  </si>
  <si>
    <t>CUST01384</t>
  </si>
  <si>
    <t>CUST01985</t>
  </si>
  <si>
    <t>CUST01019</t>
  </si>
  <si>
    <t>CUST00469</t>
  </si>
  <si>
    <t>CUST01060</t>
  </si>
  <si>
    <t>CUST01890</t>
  </si>
  <si>
    <t>CUST01186</t>
  </si>
  <si>
    <t>CUST00842</t>
  </si>
  <si>
    <t>CUST00452</t>
  </si>
  <si>
    <t>CUST01946</t>
  </si>
  <si>
    <t>CUST00510</t>
  </si>
  <si>
    <t>CUST00255</t>
  </si>
  <si>
    <t>CUST00594</t>
  </si>
  <si>
    <t>CUST01650</t>
  </si>
  <si>
    <t>CUST00847</t>
  </si>
  <si>
    <t>CUST00151</t>
  </si>
  <si>
    <t>CUST01007</t>
  </si>
  <si>
    <t>CUST00536</t>
  </si>
  <si>
    <t>CUST01036</t>
  </si>
  <si>
    <t>CUST01453</t>
  </si>
  <si>
    <t>CUST01551</t>
  </si>
  <si>
    <t>CUST01602</t>
  </si>
  <si>
    <t>CUST00744</t>
  </si>
  <si>
    <t>CUST01205</t>
  </si>
  <si>
    <t>CUST01181</t>
  </si>
  <si>
    <t>CUST00843</t>
  </si>
  <si>
    <t>CUST00607</t>
  </si>
  <si>
    <t>CUST01145</t>
  </si>
  <si>
    <t>CUST00111</t>
  </si>
  <si>
    <t>CUST01231</t>
  </si>
  <si>
    <t>CUST00354</t>
  </si>
  <si>
    <t>CUST01263</t>
  </si>
  <si>
    <t>CUST01370</t>
  </si>
  <si>
    <t>CUST01068</t>
  </si>
  <si>
    <t>CUST01896</t>
  </si>
  <si>
    <t>CUST01424</t>
  </si>
  <si>
    <t>CUST01264</t>
  </si>
  <si>
    <t>CUST01776</t>
  </si>
  <si>
    <t>CUST01172</t>
  </si>
  <si>
    <t>CUST01326</t>
  </si>
  <si>
    <t>CUST00004</t>
  </si>
  <si>
    <t>CUST00559</t>
  </si>
  <si>
    <t>CUST00114</t>
  </si>
  <si>
    <t>CUST01108</t>
  </si>
  <si>
    <t>CUST01380</t>
  </si>
  <si>
    <t>CUST01729</t>
  </si>
  <si>
    <t>CUST01821</t>
  </si>
  <si>
    <t>CUST00860</t>
  </si>
  <si>
    <t>CUST01391</t>
  </si>
  <si>
    <t>CUST01304</t>
  </si>
  <si>
    <t>CUST00485</t>
  </si>
  <si>
    <t>CUST01253</t>
  </si>
  <si>
    <t>CUST00495</t>
  </si>
  <si>
    <t>CUST01103</t>
  </si>
  <si>
    <t>CUST00712</t>
  </si>
  <si>
    <t>CUST00360</t>
  </si>
  <si>
    <t>CUST01062</t>
  </si>
  <si>
    <t>CUST00362</t>
  </si>
  <si>
    <t>CUST00472</t>
  </si>
  <si>
    <t>CUST00784</t>
  </si>
  <si>
    <t>CUST01580</t>
  </si>
  <si>
    <t>CUST01385</t>
  </si>
  <si>
    <t>CUST00006</t>
  </si>
  <si>
    <t>CUST01927</t>
  </si>
  <si>
    <t>CUST00250</t>
  </si>
  <si>
    <t>CUST01898</t>
  </si>
  <si>
    <t>CUST00515</t>
  </si>
  <si>
    <t>CUST01128</t>
  </si>
  <si>
    <t>CUST01032</t>
  </si>
  <si>
    <t>CUST00365</t>
  </si>
  <si>
    <t>CUST00865</t>
  </si>
  <si>
    <t>CUST01005</t>
  </si>
  <si>
    <t>CUST01074</t>
  </si>
  <si>
    <t>CUST00993</t>
  </si>
  <si>
    <t>CUST00672</t>
  </si>
  <si>
    <t>CUST01117</t>
  </si>
  <si>
    <t>CUST00867</t>
  </si>
  <si>
    <t>CUST00060</t>
  </si>
  <si>
    <t>CUST01507</t>
  </si>
  <si>
    <t>CUST01779</t>
  </si>
  <si>
    <t>CUST00073</t>
  </si>
  <si>
    <t>CUST00249</t>
  </si>
  <si>
    <t>CUST00586</t>
  </si>
  <si>
    <t>CUST00408</t>
  </si>
  <si>
    <t>CUST01508</t>
  </si>
  <si>
    <t>CUST01592</t>
  </si>
  <si>
    <t>CUST00106</t>
  </si>
  <si>
    <t>CUST00719</t>
  </si>
  <si>
    <t>CUST01786</t>
  </si>
  <si>
    <t>CUST00649</t>
  </si>
  <si>
    <t>CUST00422</t>
  </si>
  <si>
    <t>CUST00613</t>
  </si>
  <si>
    <t>CUST00979</t>
  </si>
  <si>
    <t>CUST00772</t>
  </si>
  <si>
    <t>CUST00137</t>
  </si>
  <si>
    <t>CUST00257</t>
  </si>
  <si>
    <t>CUST01878</t>
  </si>
  <si>
    <t>CUST01513</t>
  </si>
  <si>
    <t>CUST01294</t>
  </si>
  <si>
    <t>CUST01027</t>
  </si>
  <si>
    <t>CUST01372</t>
  </si>
  <si>
    <t>CUST00821</t>
  </si>
  <si>
    <t>CUST01661</t>
  </si>
  <si>
    <t>CUST00523</t>
  </si>
  <si>
    <t>CUST00061</t>
  </si>
  <si>
    <t>CUST00668</t>
  </si>
  <si>
    <t>CUST01525</t>
  </si>
  <si>
    <t>CUST01222</t>
  </si>
  <si>
    <t>CUST00516</t>
  </si>
  <si>
    <t>CUST00144</t>
  </si>
  <si>
    <t>CUST01619</t>
  </si>
  <si>
    <t>CUST01080</t>
  </si>
  <si>
    <t>CUST01482</t>
  </si>
  <si>
    <t>CUST00369</t>
  </si>
  <si>
    <t>CUST01678</t>
  </si>
  <si>
    <t>CUST01496</t>
  </si>
  <si>
    <t>CUST01584</t>
  </si>
  <si>
    <t>CUST00618</t>
  </si>
  <si>
    <t>CUST00813</t>
  </si>
  <si>
    <t>CUST01030</t>
  </si>
  <si>
    <t>CUST00877</t>
  </si>
  <si>
    <t>CUST01796</t>
  </si>
  <si>
    <t>CUST01092</t>
  </si>
  <si>
    <t>CUST01407</t>
  </si>
  <si>
    <t>CUST01864</t>
  </si>
  <si>
    <t>CUST00096</t>
  </si>
  <si>
    <t>CUST00674</t>
  </si>
  <si>
    <t>CUST01534</t>
  </si>
  <si>
    <t>CUST01791</t>
  </si>
  <si>
    <t>CUST00878</t>
  </si>
  <si>
    <t>CUST01221</t>
  </si>
  <si>
    <t>CUST00631</t>
  </si>
  <si>
    <t>CUST00095</t>
  </si>
  <si>
    <t>CUST01828</t>
  </si>
  <si>
    <t>CUST01046</t>
  </si>
  <si>
    <t>CUST00868</t>
  </si>
  <si>
    <t>CUST01957</t>
  </si>
  <si>
    <t>CUST01235</t>
  </si>
  <si>
    <t>CUST01824</t>
  </si>
  <si>
    <t>CUST01826</t>
  </si>
  <si>
    <t>CUST00883</t>
  </si>
  <si>
    <t>CUST01162</t>
  </si>
  <si>
    <t>CUST00198</t>
  </si>
  <si>
    <t>CUST01191</t>
  </si>
  <si>
    <t>CUST01512</t>
  </si>
  <si>
    <t>CUST00244</t>
  </si>
  <si>
    <t>CUST00608</t>
  </si>
  <si>
    <t>CUST01714</t>
  </si>
  <si>
    <t>CUST01292</t>
  </si>
  <si>
    <t>CUST00334</t>
  </si>
  <si>
    <t>CUST00358</t>
  </si>
  <si>
    <t>CUST00400</t>
  </si>
  <si>
    <t>CUST00320</t>
  </si>
  <si>
    <t>CUST00367</t>
  </si>
  <si>
    <t>CUST00157</t>
  </si>
  <si>
    <t>CUST00289</t>
  </si>
  <si>
    <t>CUST01173</t>
  </si>
  <si>
    <t>CUST01040</t>
  </si>
  <si>
    <t>CUST01091</t>
  </si>
  <si>
    <t>CUST00855</t>
  </si>
  <si>
    <t>CUST01034</t>
  </si>
  <si>
    <t>CUST01897</t>
  </si>
  <si>
    <t>CUST00790</t>
  </si>
  <si>
    <t>CUST00041</t>
  </si>
  <si>
    <t>CUST01456</t>
  </si>
  <si>
    <t>CUST00894</t>
  </si>
  <si>
    <t>CUST00563</t>
  </si>
  <si>
    <t>CUST00491</t>
  </si>
  <si>
    <t>CUST01939</t>
  </si>
  <si>
    <t>CUST01977</t>
  </si>
  <si>
    <t>CUST01750</t>
  </si>
  <si>
    <t>CUST01680</t>
  </si>
  <si>
    <t>CUST01239</t>
  </si>
  <si>
    <t>CUST01734</t>
  </si>
  <si>
    <t>CUST00497</t>
  </si>
  <si>
    <t>CUST01929</t>
  </si>
  <si>
    <t>CUST01311</t>
  </si>
  <si>
    <t>CUST00952</t>
  </si>
  <si>
    <t>CUST01713</t>
  </si>
  <si>
    <t>CUST01382</t>
  </si>
  <si>
    <t>CUST01611</t>
  </si>
  <si>
    <t>CUST00684</t>
  </si>
  <si>
    <t>CUST01104</t>
  </si>
  <si>
    <t>CUST00991</t>
  </si>
  <si>
    <t>CUST01189</t>
  </si>
  <si>
    <t>CUST01346</t>
  </si>
  <si>
    <t>CUST01354</t>
  </si>
  <si>
    <t>CUST00084</t>
  </si>
  <si>
    <t>CUST00243</t>
  </si>
  <si>
    <t>CUST01659</t>
  </si>
  <si>
    <t>CUST00089</t>
  </si>
  <si>
    <t>CUST01689</t>
  </si>
  <si>
    <t>CUST00412</t>
  </si>
  <si>
    <t>CUST00101</t>
  </si>
  <si>
    <t>CUST00686</t>
  </si>
  <si>
    <t>CUST00460</t>
  </si>
  <si>
    <t>CUST01982</t>
  </si>
  <si>
    <t>CUST00262</t>
  </si>
  <si>
    <t>CUST01016</t>
  </si>
  <si>
    <t>CUST01345</t>
  </si>
  <si>
    <t>CUST01805</t>
  </si>
  <si>
    <t>CUST01910</t>
  </si>
  <si>
    <t>CUST00196</t>
  </si>
  <si>
    <t>CUST00296</t>
  </si>
  <si>
    <t>CUST01752</t>
  </si>
  <si>
    <t>CUST00896</t>
  </si>
  <si>
    <t>CUST01187</t>
  </si>
  <si>
    <t>CUST01367</t>
  </si>
  <si>
    <t>CUST00459</t>
  </si>
  <si>
    <t>CUST00197</t>
  </si>
  <si>
    <t>CUST00543</t>
  </si>
  <si>
    <t>CUST01058</t>
  </si>
  <si>
    <t>CUST01900</t>
  </si>
  <si>
    <t>CUST00959</t>
  </si>
  <si>
    <t>CUST00177</t>
  </si>
  <si>
    <t>CUST01693</t>
  </si>
  <si>
    <t>CUST00248</t>
  </si>
  <si>
    <t>CUST01131</t>
  </si>
  <si>
    <t>CUST01157</t>
  </si>
  <si>
    <t>CUST01527</t>
  </si>
  <si>
    <t>CUST01457</t>
  </si>
  <si>
    <t>CUST00770</t>
  </si>
  <si>
    <t>CUST00849</t>
  </si>
  <si>
    <t>CUST01217</t>
  </si>
  <si>
    <t>CUST00059</t>
  </si>
  <si>
    <t>CUST00869</t>
  </si>
  <si>
    <t>CUST01208</t>
  </si>
  <si>
    <t>CUST01101</t>
  </si>
  <si>
    <t>CUST00506</t>
  </si>
  <si>
    <t>CUST00088</t>
  </si>
  <si>
    <t>CUST00557</t>
  </si>
  <si>
    <t>CUST01448</t>
  </si>
  <si>
    <t>CUST00484</t>
  </si>
  <si>
    <t>CUST01747</t>
  </si>
  <si>
    <t>CUST00220</t>
  </si>
  <si>
    <t>CUST00430</t>
  </si>
  <si>
    <t>CUST01155</t>
  </si>
  <si>
    <t>CUST00279</t>
  </si>
  <si>
    <t>CUST00486</t>
  </si>
  <si>
    <t>CUST00547</t>
  </si>
  <si>
    <t>CUST00499</t>
  </si>
  <si>
    <t>CUST01932</t>
  </si>
  <si>
    <t>CUST00105</t>
  </si>
  <si>
    <t>CUST00605</t>
  </si>
  <si>
    <t>CUST00311</t>
  </si>
  <si>
    <t>CUST01749</t>
  </si>
  <si>
    <t>CUST00978</t>
  </si>
  <si>
    <t>CUST01315</t>
  </si>
  <si>
    <t>CUST00511</t>
  </si>
  <si>
    <t>CUST01158</t>
  </si>
  <si>
    <t>CUST00444</t>
  </si>
  <si>
    <t>CUST01399</t>
  </si>
  <si>
    <t>CUST01988</t>
  </si>
  <si>
    <t>CUST00399</t>
  </si>
  <si>
    <t>CUST01671</t>
  </si>
  <si>
    <t>CUST00285</t>
  </si>
  <si>
    <t>CUST00824</t>
  </si>
  <si>
    <t>CUST01918</t>
  </si>
  <si>
    <t>CUST01210</t>
  </si>
  <si>
    <t>CUST01123</t>
  </si>
  <si>
    <t>CUST01356</t>
  </si>
  <si>
    <t>CUST01539</t>
  </si>
  <si>
    <t>CUST01654</t>
  </si>
  <si>
    <t>CUST00481</t>
  </si>
  <si>
    <t>CUST01968</t>
  </si>
  <si>
    <t>CUST01911</t>
  </si>
  <si>
    <t>CUST00066</t>
  </si>
  <si>
    <t>CUST00540</t>
  </si>
  <si>
    <t>CUST00318</t>
  </si>
  <si>
    <t>CUST01541</t>
  </si>
  <si>
    <t>CUST01509</t>
  </si>
  <si>
    <t>CUST00775</t>
  </si>
  <si>
    <t>CUST01390</t>
  </si>
  <si>
    <t>CUST01975</t>
  </si>
  <si>
    <t>CUST01606</t>
  </si>
  <si>
    <t>CUST00182</t>
  </si>
  <si>
    <t>CUST00769</t>
  </si>
  <si>
    <t>CUST00814</t>
  </si>
  <si>
    <t>CUST00173</t>
  </si>
  <si>
    <t>CUST01312</t>
  </si>
  <si>
    <t>CUST00171</t>
  </si>
  <si>
    <t>CUST00314</t>
  </si>
  <si>
    <t>CUST00082</t>
  </si>
  <si>
    <t>CUST01281</t>
  </si>
  <si>
    <t>CUST00505</t>
  </si>
  <si>
    <t>CUST01049</t>
  </si>
  <si>
    <t>CUST00138</t>
  </si>
  <si>
    <t>CUST01722</t>
  </si>
  <si>
    <t>CUST00046</t>
  </si>
  <si>
    <t>CUST01163</t>
  </si>
  <si>
    <t>CUST00808</t>
  </si>
  <si>
    <t>CUST00757</t>
  </si>
  <si>
    <t>CUST00872</t>
  </si>
  <si>
    <t>CUST00723</t>
  </si>
  <si>
    <t>CUST00713</t>
  </si>
  <si>
    <t>CUST01771</t>
  </si>
  <si>
    <t>CUST00588</t>
  </si>
  <si>
    <t>CUST01266</t>
  </si>
  <si>
    <t>CUST01597</t>
  </si>
  <si>
    <t>CUST01576</t>
  </si>
  <si>
    <t>CUST00283</t>
  </si>
  <si>
    <t>CUST00807</t>
  </si>
  <si>
    <t>CUST01886</t>
  </si>
  <si>
    <t>CUST01481</t>
  </si>
  <si>
    <t>CUST01047</t>
  </si>
  <si>
    <t>CUST00509</t>
  </si>
  <si>
    <t>CUST01537</t>
  </si>
  <si>
    <t>CUST00905</t>
  </si>
  <si>
    <t>CUST01470</t>
  </si>
  <si>
    <t>CUST01583</t>
  </si>
  <si>
    <t>CUST01563</t>
  </si>
  <si>
    <t>CUST00728</t>
  </si>
  <si>
    <t>CUST00648</t>
  </si>
  <si>
    <t>CUST00071</t>
  </si>
  <si>
    <t>CUST01012</t>
  </si>
  <si>
    <t>CUST00918</t>
  </si>
  <si>
    <t>CUST00884</t>
  </si>
  <si>
    <t>CUST01782</t>
  </si>
  <si>
    <t>CUST01309</t>
  </si>
  <si>
    <t>CUST00585</t>
  </si>
  <si>
    <t>CUST00042</t>
  </si>
  <si>
    <t>CUST01807</t>
  </si>
  <si>
    <t>CUST01478</t>
  </si>
  <si>
    <t>CUST02000</t>
  </si>
  <si>
    <t>CUST01242</t>
  </si>
  <si>
    <t>CUST01126</t>
  </si>
  <si>
    <t>CUST01425</t>
  </si>
  <si>
    <t>CUST01147</t>
  </si>
  <si>
    <t>CUST00413</t>
  </si>
  <si>
    <t>CUST00331</t>
  </si>
  <si>
    <t>CUST01233</t>
  </si>
  <si>
    <t>CUST00271</t>
  </si>
  <si>
    <t>CUST00139</t>
  </si>
  <si>
    <t>CUST01557</t>
  </si>
  <si>
    <t>CUST00033</t>
  </si>
  <si>
    <t>CUST00756</t>
  </si>
  <si>
    <t>CUST00330</t>
  </si>
  <si>
    <t>CUST00109</t>
  </si>
  <si>
    <t>CUST01961</t>
  </si>
  <si>
    <t>CUST01625</t>
  </si>
  <si>
    <t>CUST01083</t>
  </si>
  <si>
    <t>CUST01812</t>
  </si>
  <si>
    <t>CUST00148</t>
  </si>
  <si>
    <t>CUST00313</t>
  </si>
  <si>
    <t>CUST01666</t>
  </si>
  <si>
    <t>CUST01302</t>
  </si>
  <si>
    <t>CUST00624</t>
  </si>
  <si>
    <t>CUST00655</t>
  </si>
  <si>
    <t>CUST00327</t>
  </si>
  <si>
    <t>CUST00823</t>
  </si>
  <si>
    <t>CUST00792</t>
  </si>
  <si>
    <t>CUST00676</t>
  </si>
  <si>
    <t>CUST00062</t>
  </si>
  <si>
    <t>CUST00117</t>
  </si>
  <si>
    <t>CUST01865</t>
  </si>
  <si>
    <t>CUST01891</t>
  </si>
  <si>
    <t>CUST00070</t>
  </si>
  <si>
    <t>CUST00715</t>
  </si>
  <si>
    <t>CUST00945</t>
  </si>
  <si>
    <t>CUST01065</t>
  </si>
  <si>
    <t>CUST01830</t>
  </si>
  <si>
    <t>CUST01730</t>
  </si>
  <si>
    <t>CUST01585</t>
  </si>
  <si>
    <t>CUST00709</t>
  </si>
  <si>
    <t>CUST00737</t>
  </si>
  <si>
    <t>CUST00782</t>
  </si>
  <si>
    <t>CUST01840</t>
  </si>
  <si>
    <t>CUST00658</t>
  </si>
  <si>
    <t>CUST01698</t>
  </si>
  <si>
    <t>CUST01494</t>
  </si>
  <si>
    <t>CUST00826</t>
  </si>
  <si>
    <t>CUST00437</t>
  </si>
  <si>
    <t>CUST00205</t>
  </si>
  <si>
    <t>CUST00180</t>
  </si>
  <si>
    <t>CUST00751</t>
  </si>
  <si>
    <t>CUST00665</t>
  </si>
  <si>
    <t>CUST00122</t>
  </si>
  <si>
    <t>CUST01152</t>
  </si>
  <si>
    <t>CUST01997</t>
  </si>
  <si>
    <t>CUST01785</t>
  </si>
  <si>
    <t>CUST00064</t>
  </si>
  <si>
    <t>CUST01004</t>
  </si>
  <si>
    <t>CUST01709</t>
  </si>
  <si>
    <t>CUST01125</t>
  </si>
  <si>
    <t>CUST01919</t>
  </si>
  <si>
    <t>CUST01832</t>
  </si>
  <si>
    <t>CUST00716</t>
  </si>
  <si>
    <t>CUST00504</t>
  </si>
  <si>
    <t>CUST01825</t>
  </si>
  <si>
    <t>CUST00583</t>
  </si>
  <si>
    <t>CUST00659</t>
  </si>
  <si>
    <t>CUST00212</t>
  </si>
  <si>
    <t>CUST00069</t>
  </si>
  <si>
    <t>CUST00287</t>
  </si>
  <si>
    <t>CUST01640</t>
  </si>
  <si>
    <t>CUST00627</t>
  </si>
  <si>
    <t>CUST01630</t>
  </si>
  <si>
    <t>CUST01986</t>
  </si>
  <si>
    <t>CUST01981</t>
  </si>
  <si>
    <t>CUST01432</t>
  </si>
  <si>
    <t>CUST00535</t>
  </si>
  <si>
    <t>CUST00852</t>
  </si>
  <si>
    <t>CUST00893</t>
  </si>
  <si>
    <t>CUST00791</t>
  </si>
  <si>
    <t>CUST01469</t>
  </si>
  <si>
    <t>CUST00996</t>
  </si>
  <si>
    <t>CUST00556</t>
  </si>
  <si>
    <t>CUST00806</t>
  </si>
  <si>
    <t>CUST01692</t>
  </si>
  <si>
    <t>CUST00029</t>
  </si>
  <si>
    <t>CUST00968</t>
  </si>
  <si>
    <t>CUST01735</t>
  </si>
  <si>
    <t>CUST00466</t>
  </si>
  <si>
    <t>CUST01177</t>
  </si>
  <si>
    <t>CUST00910</t>
  </si>
  <si>
    <t>CUST00048</t>
  </si>
  <si>
    <t>CUST01950</t>
  </si>
  <si>
    <t>CUST01284</t>
  </si>
  <si>
    <t>CUST01449</t>
  </si>
  <si>
    <t>CUST01313</t>
  </si>
  <si>
    <t>CUST00295</t>
  </si>
  <si>
    <t>CUST00207</t>
  </si>
  <si>
    <t>CUST00732</t>
  </si>
  <si>
    <t>CUST00788</t>
  </si>
  <si>
    <t>CUST01267</t>
  </si>
  <si>
    <t>CUST01252</t>
  </si>
  <si>
    <t>CUST01175</t>
  </si>
  <si>
    <t>CUST00963</t>
  </si>
  <si>
    <t>CUST00447</t>
  </si>
  <si>
    <t>CUST01428</t>
  </si>
  <si>
    <t>CUST00688</t>
  </si>
  <si>
    <t>CUST00204</t>
  </si>
  <si>
    <t>CUST01355</t>
  </si>
  <si>
    <t>CUST00582</t>
  </si>
  <si>
    <t>CUST00442</t>
  </si>
  <si>
    <t>CUST01848</t>
  </si>
  <si>
    <t>CUST00417</t>
  </si>
  <si>
    <t>CUST00393</t>
  </si>
  <si>
    <t>CUST01097</t>
  </si>
  <si>
    <t>CUST00628</t>
  </si>
  <si>
    <t>CUST00094</t>
  </si>
  <si>
    <t>CUST00606</t>
  </si>
  <si>
    <t>CUST01329</t>
  </si>
  <si>
    <t>CUST01434</t>
  </si>
  <si>
    <t>CUST01538</t>
  </si>
  <si>
    <t>CUST00698</t>
  </si>
  <si>
    <t>CUST01601</t>
  </si>
  <si>
    <t>CUST00651</t>
  </si>
  <si>
    <t>CUST01325</t>
  </si>
  <si>
    <t>CUST00189</t>
  </si>
  <si>
    <t>CUST00907</t>
  </si>
  <si>
    <t>CUST00912</t>
  </si>
  <si>
    <t>CUST00299</t>
  </si>
  <si>
    <t>CUST01273</t>
  </si>
  <si>
    <t>CUST01857</t>
  </si>
  <si>
    <t>CUST01090</t>
  </si>
  <si>
    <t>CUST00192</t>
  </si>
  <si>
    <t>CUST01704</t>
  </si>
  <si>
    <t>CUST01344</t>
  </si>
  <si>
    <t>CUST00971</t>
  </si>
  <si>
    <t>CUST01029</t>
  </si>
  <si>
    <t>CUST01319</t>
  </si>
  <si>
    <t>CUST01271</t>
  </si>
  <si>
    <t>CUST01328</t>
  </si>
  <si>
    <t>CUST00290</t>
  </si>
  <si>
    <t>CUST00844</t>
  </si>
  <si>
    <t>CUST01701</t>
  </si>
  <si>
    <t>CUST00612</t>
  </si>
  <si>
    <t>CUST01301</t>
  </si>
  <si>
    <t>CUST00421</t>
  </si>
  <si>
    <t>CUST00234</t>
  </si>
  <si>
    <t>CUST00718</t>
  </si>
  <si>
    <t>CUST00134</t>
  </si>
  <si>
    <t>CUST00391</t>
  </si>
  <si>
    <t>CUST01913</t>
  </si>
  <si>
    <t>CUST00341</t>
  </si>
  <si>
    <t>CUST00328</t>
  </si>
  <si>
    <t>CUST00306</t>
  </si>
  <si>
    <t>CUST01324</t>
  </si>
  <si>
    <t>CUST01636</t>
  </si>
  <si>
    <t>CUST00473</t>
  </si>
  <si>
    <t>CUST00820</t>
  </si>
  <si>
    <t>CUST00513</t>
  </si>
  <si>
    <t>CUST01276</t>
  </si>
  <si>
    <t>CUST01195</t>
  </si>
  <si>
    <t>CUST00620</t>
  </si>
  <si>
    <t>CUST01930</t>
  </si>
  <si>
    <t>CUST01002</t>
  </si>
  <si>
    <t>CUST00038</t>
  </si>
  <si>
    <t>CUST01756</t>
  </si>
  <si>
    <t>CUST01490</t>
  </si>
  <si>
    <t>CUST00892</t>
  </si>
  <si>
    <t>CUST00119</t>
  </si>
  <si>
    <t>CUST01867</t>
  </si>
  <si>
    <t>CUST00617</t>
  </si>
  <si>
    <t>CUST01406</t>
  </si>
  <si>
    <t>CUST01169</t>
  </si>
  <si>
    <t>CUST01907</t>
  </si>
  <si>
    <t>CUST00127</t>
  </si>
  <si>
    <t>CUST00553</t>
  </si>
  <si>
    <t>CUST00145</t>
  </si>
  <si>
    <t>CUST00019</t>
  </si>
  <si>
    <t>CUST01316</t>
  </si>
  <si>
    <t>CUST01757</t>
  </si>
  <si>
    <t>CUST01559</t>
  </si>
  <si>
    <t>CUST01119</t>
  </si>
  <si>
    <t>CUST01608</t>
  </si>
  <si>
    <t>CUST00303</t>
  </si>
  <si>
    <t>CUST00577</t>
  </si>
  <si>
    <t>CUST00981</t>
  </si>
  <si>
    <t>CUST01216</t>
  </si>
  <si>
    <t>CUST00931</t>
  </si>
  <si>
    <t>CUST00035</t>
  </si>
  <si>
    <t>CUST00714</t>
  </si>
  <si>
    <t>CUST01980</t>
  </si>
  <si>
    <t>CUST01199</t>
  </si>
  <si>
    <t>CUST00179</t>
  </si>
  <si>
    <t>CUST00888</t>
  </si>
  <si>
    <t>CUST01167</t>
  </si>
  <si>
    <t>CUST01387</t>
  </si>
  <si>
    <t>CUST00901</t>
  </si>
  <si>
    <t>CUST00268</t>
  </si>
  <si>
    <t>CUST00680</t>
  </si>
  <si>
    <t>CUST00434</t>
  </si>
  <si>
    <t>CUST01359</t>
  </si>
  <si>
    <t>CUST01550</t>
  </si>
  <si>
    <t>CUST01051</t>
  </si>
  <si>
    <t>CUST01026</t>
  </si>
  <si>
    <t>CUST01078</t>
  </si>
  <si>
    <t>CUST00774</t>
  </si>
  <si>
    <t>CUST01445</t>
  </si>
  <si>
    <t>CUST01627</t>
  </si>
  <si>
    <t>CUST01001</t>
  </si>
  <si>
    <t>CUST00390</t>
  </si>
  <si>
    <t>CUST01926</t>
  </si>
  <si>
    <t>CUST01468</t>
  </si>
  <si>
    <t>CUST00549</t>
  </si>
  <si>
    <t>CUST01670</t>
  </si>
  <si>
    <t>CUST01904</t>
  </si>
  <si>
    <t>CUST01441</t>
  </si>
  <si>
    <t>CUST01529</t>
  </si>
  <si>
    <t>CUST00749</t>
  </si>
  <si>
    <t>CUST00533</t>
  </si>
  <si>
    <t>CUST00233</t>
  </si>
  <si>
    <t>CUST00705</t>
  </si>
  <si>
    <t>CUST01614</t>
  </si>
  <si>
    <t>CUST00739</t>
  </si>
  <si>
    <t>CUST00671</t>
  </si>
  <si>
    <t>CUST00011</t>
  </si>
  <si>
    <t>CUST01662</t>
  </si>
  <si>
    <t>CUST00488</t>
  </si>
  <si>
    <t>CUST00278</t>
  </si>
  <si>
    <t>CUST00297</t>
  </si>
  <si>
    <t>CUST00889</t>
  </si>
  <si>
    <t>CUST00384</t>
  </si>
  <si>
    <t>CUST00420</t>
  </si>
  <si>
    <t>CUST00639</t>
  </si>
  <si>
    <t>CUST00937</t>
  </si>
  <si>
    <t>CUST00492</t>
  </si>
  <si>
    <t>CUST00013</t>
  </si>
  <si>
    <t>CUST01234</t>
  </si>
  <si>
    <t>CUST00174</t>
  </si>
  <si>
    <t>CUST00743</t>
  </si>
  <si>
    <t>CUST01556</t>
  </si>
  <si>
    <t>CUST00921</t>
  </si>
  <si>
    <t>CUST01998</t>
  </si>
  <si>
    <t>CUST01124</t>
  </si>
  <si>
    <t>CUST00336</t>
  </si>
  <si>
    <t>CUST00768</t>
  </si>
  <si>
    <t>CUST01519</t>
  </si>
  <si>
    <t>CUST00298</t>
  </si>
  <si>
    <t>CUST01743</t>
  </si>
  <si>
    <t>CUST01953</t>
  </si>
  <si>
    <t>CUST00678</t>
  </si>
  <si>
    <t>CUST00433</t>
  </si>
  <si>
    <t>CUST01025</t>
  </si>
  <si>
    <t>CUST01170</t>
  </si>
  <si>
    <t>CUST00593</t>
  </si>
  <si>
    <t>CUST00386</t>
  </si>
  <si>
    <t>CUST00596</t>
  </si>
  <si>
    <t>CUST01339</t>
  </si>
  <si>
    <t>CUST00551</t>
  </si>
  <si>
    <t>CUST01261</t>
  </si>
  <si>
    <t>CUST00039</t>
  </si>
  <si>
    <t>CUST01093</t>
  </si>
  <si>
    <t>CUST00973</t>
  </si>
  <si>
    <t>CUST00762</t>
  </si>
  <si>
    <t>CUST01400</t>
  </si>
  <si>
    <t>CUST00600</t>
  </si>
  <si>
    <t>CUST01902</t>
  </si>
  <si>
    <t>CUST00228</t>
  </si>
  <si>
    <t>CUST01599</t>
  </si>
  <si>
    <t>CUST00990</t>
  </si>
  <si>
    <t>CUST01028</t>
  </si>
  <si>
    <t>CUST01003</t>
  </si>
  <si>
    <t>CUST01808</t>
  </si>
  <si>
    <t>CUST01446</t>
  </si>
  <si>
    <t>CUST00224</t>
  </si>
  <si>
    <t>CUST01921</t>
  </si>
  <si>
    <t>CUST01067</t>
  </si>
  <si>
    <t>CUST00081</t>
  </si>
  <si>
    <t>CUST01623</t>
  </si>
  <si>
    <t>CUST01530</t>
  </si>
  <si>
    <t>CUST00911</t>
  </si>
  <si>
    <t>CUST01952</t>
  </si>
  <si>
    <t>CUST00027</t>
  </si>
  <si>
    <t>CUST01228</t>
  </si>
  <si>
    <t>CUST00253</t>
  </si>
  <si>
    <t>CUST01620</t>
  </si>
  <si>
    <t>CUST00005</t>
  </si>
  <si>
    <t>CUST00376</t>
  </si>
  <si>
    <t>CUST00267</t>
  </si>
  <si>
    <t>CUST01604</t>
  </si>
  <si>
    <t>CUST01788</t>
  </si>
  <si>
    <t>CUST01905</t>
  </si>
  <si>
    <t>CUST01885</t>
  </si>
  <si>
    <t>CUST01622</t>
  </si>
  <si>
    <t>CUST01140</t>
  </si>
  <si>
    <t>CUST00208</t>
  </si>
  <si>
    <t>CUST01996</t>
  </si>
  <si>
    <t>CUST01504</t>
  </si>
  <si>
    <t>CUST01160</t>
  </si>
  <si>
    <t>CUST00645</t>
  </si>
  <si>
    <t>CUST00346</t>
  </si>
  <si>
    <t>CUST00622</t>
  </si>
  <si>
    <t>CUST01733</t>
  </si>
  <si>
    <t>CUST01374</t>
  </si>
  <si>
    <t>CUST00458</t>
  </si>
  <si>
    <t>CUST00530</t>
  </si>
  <si>
    <t>CUST01293</t>
  </si>
  <si>
    <t>CUST01914</t>
  </si>
  <si>
    <t>CUST01839</t>
  </si>
  <si>
    <t>CUST00058</t>
  </si>
  <si>
    <t>CUST01077</t>
  </si>
  <si>
    <t>CUST01515</t>
  </si>
  <si>
    <t>CUST01866</t>
  </si>
  <si>
    <t>CUST00350</t>
  </si>
  <si>
    <t>CUST01535</t>
  </si>
  <si>
    <t>CUST01707</t>
  </si>
  <si>
    <t>CUST01086</t>
  </si>
  <si>
    <t>CUST01545</t>
  </si>
  <si>
    <t>CUST01846</t>
  </si>
  <si>
    <t>CUST01983</t>
  </si>
  <si>
    <t>CUST01936</t>
  </si>
  <si>
    <t>CUST00702</t>
  </si>
  <si>
    <t>CUST00741</t>
  </si>
  <si>
    <t>CUST01495</t>
  </si>
  <si>
    <t>CUST01473</t>
  </si>
  <si>
    <t>CUST00378</t>
  </si>
  <si>
    <t>CUST00652</t>
  </si>
  <si>
    <t>CUST01719</t>
  </si>
  <si>
    <t>CUST00861</t>
  </si>
  <si>
    <t>CUST01875</t>
  </si>
  <si>
    <t>CUST01327</t>
  </si>
  <si>
    <t>CUST00132</t>
  </si>
  <si>
    <t>CUST01745</t>
  </si>
  <si>
    <t>CUST01677</t>
  </si>
  <si>
    <t>CUST01954</t>
  </si>
  <si>
    <t>CUST01763</t>
  </si>
  <si>
    <t>CUST01403</t>
  </si>
  <si>
    <t>CUST01648</t>
  </si>
  <si>
    <t>CUST01214</t>
  </si>
  <si>
    <t>CUST01467</t>
  </si>
  <si>
    <t>CUST01915</t>
  </si>
  <si>
    <t>CUST00706</t>
  </si>
  <si>
    <t>CUST01579</t>
  </si>
  <si>
    <t>CUST00451</t>
  </si>
  <si>
    <t>CUST00537</t>
  </si>
  <si>
    <t>CUST00213</t>
  </si>
  <si>
    <t>CUST01502</t>
  </si>
  <si>
    <t>CUST00895</t>
  </si>
  <si>
    <t>CUST01061</t>
  </si>
  <si>
    <t>CUST00621</t>
  </si>
  <si>
    <t>CUST01762</t>
  </si>
  <si>
    <t>CUST00625</t>
  </si>
  <si>
    <t>CUST00776</t>
  </si>
  <si>
    <t>CUST01979</t>
  </si>
  <si>
    <t>CUST00666</t>
  </si>
  <si>
    <t>CUST00984</t>
  </si>
  <si>
    <t>CUST01274</t>
  </si>
  <si>
    <t>CUST01223</t>
  </si>
  <si>
    <t>CUST00610</t>
  </si>
  <si>
    <t>CUST00211</t>
  </si>
  <si>
    <t>CUST01303</t>
  </si>
  <si>
    <t>CUST00735</t>
  </si>
  <si>
    <t>CUST00870</t>
  </si>
  <si>
    <t>CUST01510</t>
  </si>
  <si>
    <t>CUST01184</t>
  </si>
  <si>
    <t>CUST01127</t>
  </si>
  <si>
    <t>CUST00967</t>
  </si>
  <si>
    <t>CUST01238</t>
  </si>
  <si>
    <t>CUST01412</t>
  </si>
  <si>
    <t>CUST00579</t>
  </si>
  <si>
    <t>CUST01439</t>
  </si>
  <si>
    <t>CUST01193</t>
  </si>
  <si>
    <t>CUST01262</t>
  </si>
  <si>
    <t>CUST01797</t>
  </si>
  <si>
    <t>CUST00403</t>
  </si>
  <si>
    <t>CUST01827</t>
  </si>
  <si>
    <t>CUST00764</t>
  </si>
  <si>
    <t>CUST01211</t>
  </si>
  <si>
    <t>CUST01269</t>
  </si>
  <si>
    <t>CUST00550</t>
  </si>
  <si>
    <t>CUST01518</t>
  </si>
  <si>
    <t>CUST00961</t>
  </si>
  <si>
    <t>CUST01291</t>
  </si>
  <si>
    <t>CUST01440</t>
  </si>
  <si>
    <t>CUST01411</t>
  </si>
  <si>
    <t>CUST01087</t>
  </si>
  <si>
    <t>CUST01071</t>
  </si>
  <si>
    <t>CUST01994</t>
  </si>
  <si>
    <t>CUST00546</t>
  </si>
  <si>
    <t>CUST01803</t>
  </si>
  <si>
    <t>CUST00576</t>
  </si>
  <si>
    <t>CUST00478</t>
  </si>
  <si>
    <t>CUST00876</t>
  </si>
  <si>
    <t>CUST00964</t>
  </si>
  <si>
    <t>CUST01397</t>
  </si>
  <si>
    <t>CUST01850</t>
  </si>
  <si>
    <t>CUST01634</t>
  </si>
  <si>
    <t>CUST01884</t>
  </si>
  <si>
    <t>CUST00104</t>
  </si>
  <si>
    <t>CUST00150</t>
  </si>
  <si>
    <t>CUST01144</t>
  </si>
  <si>
    <t>CUST01873</t>
  </si>
  <si>
    <t>CUST00837</t>
  </si>
  <si>
    <t>CUST00110</t>
  </si>
  <si>
    <t>CUST01171</t>
  </si>
  <si>
    <t>CUST00382</t>
  </si>
  <si>
    <t>CUST01039</t>
  </si>
  <si>
    <t>CUST01685</t>
  </si>
  <si>
    <t>CUST00015</t>
  </si>
  <si>
    <t>CUST01624</t>
  </si>
  <si>
    <t>CUST01486</t>
  </si>
  <si>
    <t>CUST00225</t>
  </si>
  <si>
    <t>CUST01516</t>
  </si>
  <si>
    <t>CUST01357</t>
  </si>
  <si>
    <t>CUST01851</t>
  </si>
  <si>
    <t>CUST00522</t>
  </si>
  <si>
    <t>CUST01366</t>
  </si>
  <si>
    <t>CUST01472</t>
  </si>
  <si>
    <t>CUST00930</t>
  </si>
  <si>
    <t>CUST01558</t>
  </si>
  <si>
    <t>CUST01621</t>
  </si>
  <si>
    <t>CUST00932</t>
  </si>
  <si>
    <t>CUST00077</t>
  </si>
  <si>
    <t>CUST01000</t>
  </si>
  <si>
    <t>CUST01122</t>
  </si>
  <si>
    <t>CUST00168</t>
  </si>
  <si>
    <t>CUST00525</t>
  </si>
  <si>
    <t>CUST00828</t>
  </si>
  <si>
    <t>CUST00241</t>
  </si>
  <si>
    <t>CUST00887</t>
  </si>
  <si>
    <t>CUST00034</t>
  </si>
  <si>
    <t>CUST00254</t>
  </si>
  <si>
    <t>CUST01322</t>
  </si>
  <si>
    <t>CUST00419</t>
  </si>
  <si>
    <t>CUST01672</t>
  </si>
  <si>
    <t>CUST00710</t>
  </si>
  <si>
    <t>CUST01963</t>
  </si>
  <si>
    <t>CUST01413</t>
  </si>
  <si>
    <t>CUST00302</t>
  </si>
  <si>
    <t>CUST01142</t>
  </si>
  <si>
    <t>CUST01084</t>
  </si>
  <si>
    <t>CUST01477</t>
  </si>
  <si>
    <t>CUST01874</t>
  </si>
  <si>
    <t>CUST01048</t>
  </si>
  <si>
    <t>CUST01465</t>
  </si>
  <si>
    <t>CUST01280</t>
  </si>
  <si>
    <t>CUST01246</t>
  </si>
  <si>
    <t>CUST01426</t>
  </si>
  <si>
    <t>CUST01571</t>
  </si>
  <si>
    <t>CUST01922</t>
  </si>
  <si>
    <t>CUST00994</t>
  </si>
  <si>
    <t>CUST00900</t>
  </si>
  <si>
    <t>CUST01331</t>
  </si>
  <si>
    <t>CUST01655</t>
  </si>
  <si>
    <t>CUST00558</t>
  </si>
  <si>
    <t>CUST01754</t>
  </si>
  <si>
    <t>CUST01790</t>
  </si>
  <si>
    <t>CUST01862</t>
  </si>
  <si>
    <t>CUST00372</t>
  </si>
  <si>
    <t>CUST00235</t>
  </si>
  <si>
    <t>CUST01978</t>
  </si>
  <si>
    <t>CUST01908</t>
  </si>
  <si>
    <t>CUST01572</t>
  </si>
  <si>
    <t>CUST01430</t>
  </si>
  <si>
    <t>CUST00018</t>
  </si>
  <si>
    <t>CUST01466</t>
  </si>
  <si>
    <t>CUST00950</t>
  </si>
  <si>
    <t>CUST00542</t>
  </si>
  <si>
    <t>CUST00259</t>
  </si>
  <si>
    <t>CUST01871</t>
  </si>
  <si>
    <t>CUST00352</t>
  </si>
  <si>
    <t>CUST00919</t>
  </si>
  <si>
    <t>CUST01758</t>
  </si>
  <si>
    <t>CUST01114</t>
  </si>
  <si>
    <t>CUST00036</t>
  </si>
  <si>
    <t>CUST00693</t>
  </si>
  <si>
    <t>CUST01811</t>
  </si>
  <si>
    <t>CUST00230</t>
  </si>
  <si>
    <t>CUST01688</t>
  </si>
  <si>
    <t>CUST01587</t>
  </si>
  <si>
    <t>CUST00024</t>
  </si>
  <si>
    <t>CUST00650</t>
  </si>
  <si>
    <t>CUST00985</t>
  </si>
  <si>
    <t>CUST00747</t>
  </si>
  <si>
    <t>CUST01903</t>
  </si>
  <si>
    <t>CUST01964</t>
  </si>
  <si>
    <t>CUST00519</t>
  </si>
  <si>
    <t>CUST00263</t>
  </si>
  <si>
    <t>CUST00387</t>
  </si>
  <si>
    <t>CUST01523</t>
  </si>
  <si>
    <t>CUST01712</t>
  </si>
  <si>
    <t>CUST01418</t>
  </si>
  <si>
    <t>CUST00882</t>
  </si>
  <si>
    <t>CUST00338</t>
  </si>
  <si>
    <t>CUST00969</t>
  </si>
  <si>
    <t>CUST00294</t>
  </si>
  <si>
    <t>CUST01132</t>
  </si>
  <si>
    <t>CUST00085</t>
  </si>
  <si>
    <t>CUST00129</t>
  </si>
  <si>
    <t>CUST01746</t>
  </si>
  <si>
    <t>CUST00927</t>
  </si>
  <si>
    <t>CUST01006</t>
  </si>
  <si>
    <t>CUST01844</t>
  </si>
  <si>
    <t>CUST00602</t>
  </si>
  <si>
    <t>CUST00555</t>
  </si>
  <si>
    <t>CUST00970</t>
  </si>
  <si>
    <t>CUST01183</t>
  </si>
  <si>
    <t>CUST00284</t>
  </si>
  <si>
    <t>CUST01633</t>
  </si>
  <si>
    <t>CUST01499</t>
  </si>
  <si>
    <t>CUST01230</t>
  </si>
  <si>
    <t>CUST00133</t>
  </si>
  <si>
    <t>CUST01948</t>
  </si>
  <si>
    <t>CUST01133</t>
  </si>
  <si>
    <t>CUST00351</t>
  </si>
  <si>
    <t>CUST00086</t>
  </si>
  <si>
    <t>CUST00052</t>
  </si>
  <si>
    <t>CUST01561</t>
  </si>
  <si>
    <t>CUST01220</t>
  </si>
  <si>
    <t>CUST01876</t>
  </si>
  <si>
    <t>CUST00047</t>
  </si>
  <si>
    <t>CUST01498</t>
  </si>
  <si>
    <t>CUST01984</t>
  </si>
  <si>
    <t>CUST00201</t>
  </si>
  <si>
    <t>CUST01198</t>
  </si>
  <si>
    <t>CUST01248</t>
  </si>
  <si>
    <t>CUST01505</t>
  </si>
  <si>
    <t>CUST01684</t>
  </si>
  <si>
    <t>CUST00663</t>
  </si>
  <si>
    <t>CUST00305</t>
  </si>
  <si>
    <t>CUST01766</t>
  </si>
  <si>
    <t>CUST01765</t>
  </si>
  <si>
    <t>CUST00962</t>
  </si>
  <si>
    <t>CUST01781</t>
  </si>
  <si>
    <t>CUST00377</t>
  </si>
  <si>
    <t>CUST01335</t>
  </si>
  <si>
    <t>CUST00322</t>
  </si>
  <si>
    <t>CUST00309</t>
  </si>
  <si>
    <t>CUST01138</t>
  </si>
  <si>
    <t>CUST01476</t>
  </si>
  <si>
    <t>CUST01130</t>
  </si>
  <si>
    <t>CUST01838</t>
  </si>
  <si>
    <t>CUST01378</t>
  </si>
  <si>
    <t>CUST00425</t>
  </si>
  <si>
    <t>CUST00231</t>
  </si>
  <si>
    <t>CUST01299</t>
  </si>
  <si>
    <t>CUST01436</t>
  </si>
  <si>
    <t>CUST01310</t>
  </si>
  <si>
    <t>CUST00397</t>
  </si>
  <si>
    <t>CUST01070</t>
  </si>
  <si>
    <t>CUST00574</t>
  </si>
  <si>
    <t>CUST01723</t>
  </si>
  <si>
    <t>CUST01935</t>
  </si>
  <si>
    <t>CUST00825</t>
  </si>
  <si>
    <t>CUST01956</t>
  </si>
  <si>
    <t>CUST01590</t>
  </si>
  <si>
    <t>CUST01305</t>
  </si>
  <si>
    <t>CUST01141</t>
  </si>
  <si>
    <t>CUST00890</t>
  </si>
  <si>
    <t>CUST00226</t>
  </si>
  <si>
    <t>CUST01560</t>
  </si>
  <si>
    <t>CUST01973</t>
  </si>
  <si>
    <t>CUST00462</t>
  </si>
  <si>
    <t>CUST00467</t>
  </si>
  <si>
    <t>CUST01255</t>
  </si>
  <si>
    <t>CUST01835</t>
  </si>
  <si>
    <t>CUST01912</t>
  </si>
  <si>
    <t>CUST00118</t>
  </si>
  <si>
    <t>CUST00647</t>
  </si>
  <si>
    <t>CUST00787</t>
  </si>
  <si>
    <t>CUST00873</t>
  </si>
  <si>
    <t>CUST00238</t>
  </si>
  <si>
    <t>CUST00474</t>
  </si>
  <si>
    <t>CUST01396</t>
  </si>
  <si>
    <t>CUST01044</t>
  </si>
  <si>
    <t>CUST01870</t>
  </si>
  <si>
    <t>CUST00333</t>
  </si>
  <si>
    <t>CUST01810</t>
  </si>
  <si>
    <t>CUST00175</t>
  </si>
  <si>
    <t>CUST01435</t>
  </si>
  <si>
    <t>CUST01995</t>
  </si>
  <si>
    <t>CUST01686</t>
  </si>
  <si>
    <t>CUST01920</t>
  </si>
  <si>
    <t>CUST01450</t>
  </si>
  <si>
    <t>CUST00862</t>
  </si>
  <si>
    <t>CUST01822</t>
  </si>
  <si>
    <t>CUST01290</t>
  </si>
  <si>
    <t>CUST01011</t>
  </si>
  <si>
    <t>CUST00482</t>
  </si>
  <si>
    <t>CUST01333</t>
  </si>
  <si>
    <t>CUST00107</t>
  </si>
  <si>
    <t>CUST00124</t>
  </si>
  <si>
    <t>CUST00236</t>
  </si>
  <si>
    <t>CUST01772</t>
  </si>
  <si>
    <t>CUST00007</t>
  </si>
  <si>
    <t>CUST01774</t>
  </si>
  <si>
    <t>CUST00475</t>
  </si>
  <si>
    <t>CUST00902</t>
  </si>
  <si>
    <t>CUST00947</t>
  </si>
  <si>
    <t>CUST00898</t>
  </si>
  <si>
    <t>CUST01586</t>
  </si>
  <si>
    <t>CUST01180</t>
  </si>
  <si>
    <t>CUST01451</t>
  </si>
  <si>
    <t>CUST00209</t>
  </si>
  <si>
    <t>CUST00856</t>
  </si>
  <si>
    <t>CUST00717</t>
  </si>
  <si>
    <t>CUST00754</t>
  </si>
  <si>
    <t>CUST00159</t>
  </si>
  <si>
    <t>CUST01394</t>
  </si>
  <si>
    <t>CUST00804</t>
  </si>
  <si>
    <t>CUST00529</t>
  </si>
  <si>
    <t>CUST01249</t>
  </si>
  <si>
    <t>CUST00470</t>
  </si>
  <si>
    <t>CUST00795</t>
  </si>
  <si>
    <t>CUST00815</t>
  </si>
  <si>
    <t>CUST01705</t>
  </si>
  <si>
    <t>CUST00989</t>
  </si>
  <si>
    <t>CUST01517</t>
  </si>
  <si>
    <t>CUST00742</t>
  </si>
  <si>
    <t>CUST00319</t>
  </si>
  <si>
    <t>CUST01282</t>
  </si>
  <si>
    <t>CUST01057</t>
  </si>
  <si>
    <t>CUST01368</t>
  </si>
  <si>
    <t>CUST01899</t>
  </si>
  <si>
    <t>CUST00056</t>
  </si>
  <si>
    <t>CUST01017</t>
  </si>
  <si>
    <t>CUST01320</t>
  </si>
  <si>
    <t>CUST01459</t>
  </si>
  <si>
    <t>CUST00167</t>
  </si>
  <si>
    <t>CUST01578</t>
  </si>
  <si>
    <t>CUST00431</t>
  </si>
  <si>
    <t>CUST00704</t>
  </si>
  <si>
    <t>CUST00381</t>
  </si>
  <si>
    <t>CUST00675</t>
  </si>
  <si>
    <t>CUST00801</t>
  </si>
  <si>
    <t>CUST01990</t>
  </si>
  <si>
    <t>CUST01852</t>
  </si>
  <si>
    <t>CUST01818</t>
  </si>
  <si>
    <t>CUST01386</t>
  </si>
  <si>
    <t>CUST01369</t>
  </si>
  <si>
    <t>CUST01565</t>
  </si>
  <si>
    <t>CUST01414</t>
  </si>
  <si>
    <t>CUST01358</t>
  </si>
  <si>
    <t>CUST00988</t>
  </si>
  <si>
    <t>CUST00983</t>
  </si>
  <si>
    <t>CUST01111</t>
  </si>
  <si>
    <t>CUST01532</t>
  </si>
  <si>
    <t>CUST01780</t>
  </si>
  <si>
    <t>CUST00908</t>
  </si>
  <si>
    <t>CUST00480</t>
  </si>
  <si>
    <t>CUST00819</t>
  </si>
  <si>
    <t>CUST00532</t>
  </si>
  <si>
    <t>CUST00245</t>
  </si>
  <si>
    <t>CUST00113</t>
  </si>
  <si>
    <t>CUST00178</t>
  </si>
  <si>
    <t>CUST00941</t>
  </si>
  <si>
    <t>CUST00679</t>
  </si>
  <si>
    <t>CUST01365</t>
  </si>
  <si>
    <t>CUST01600</t>
  </si>
  <si>
    <t>CUST01341</t>
  </si>
  <si>
    <t>CUST01107</t>
  </si>
  <si>
    <t>CUST01197</t>
  </si>
  <si>
    <t>CUST00016</t>
  </si>
  <si>
    <t>CUST00722</t>
  </si>
  <si>
    <t>CUST01644</t>
  </si>
  <si>
    <t>CUST00194</t>
  </si>
  <si>
    <t>CUST01943</t>
  </si>
  <si>
    <t>CUST01813</t>
  </si>
  <si>
    <t>CUST01471</t>
  </si>
  <si>
    <t>CUST00923</t>
  </si>
  <si>
    <t>CUST01528</t>
  </si>
  <si>
    <t>CUST01589</t>
  </si>
  <si>
    <t>CUST00370</t>
  </si>
  <si>
    <t>CUST01770</t>
  </si>
  <si>
    <t>CUST01700</t>
  </si>
  <si>
    <t>CUST01232</t>
  </si>
  <si>
    <t>CUST01847</t>
  </si>
  <si>
    <t>CUST01798</t>
  </si>
  <si>
    <t>CUST01582</t>
  </si>
  <si>
    <t>CUST00904</t>
  </si>
  <si>
    <t>CUST00185</t>
  </si>
  <si>
    <t>CUST00195</t>
  </si>
  <si>
    <t>CUST00477</t>
  </si>
  <si>
    <t>CUST01909</t>
  </si>
  <si>
    <t>CUST00149</t>
  </si>
  <si>
    <t>CUST01879</t>
  </si>
  <si>
    <t>CUST00924</t>
  </si>
  <si>
    <t>CUST00636</t>
  </si>
  <si>
    <t>CUST00063</t>
  </si>
  <si>
    <t>CUST01868</t>
  </si>
  <si>
    <t>CUST00805</t>
  </si>
  <si>
    <t>CUST01383</t>
  </si>
  <si>
    <t>CUST01409</t>
  </si>
  <si>
    <t>CUST00396</t>
  </si>
  <si>
    <t>CUST01416</t>
  </si>
  <si>
    <t>CUST00251</t>
  </si>
  <si>
    <t>CUST01245</t>
  </si>
  <si>
    <t>CUST01296</t>
  </si>
  <si>
    <t>CUST01783</t>
  </si>
  <si>
    <t>CUST00626</t>
  </si>
  <si>
    <t>CUST01906</t>
  </si>
  <si>
    <t>CUST00277</t>
  </si>
  <si>
    <t>CUST01203</t>
  </si>
  <si>
    <t>CUST00999</t>
  </si>
  <si>
    <t>CUST00308</t>
  </si>
  <si>
    <t>CUST00545</t>
  </si>
  <si>
    <t>CUST00329</t>
  </si>
  <si>
    <t>CUST01135</t>
  </si>
  <si>
    <t>CUST00571</t>
  </si>
  <si>
    <t>CUST01031</t>
  </si>
  <si>
    <t>CUST00637</t>
  </si>
  <si>
    <t>CUST01297</t>
  </si>
  <si>
    <t>CUST01375</t>
  </si>
  <si>
    <t>CUST01178</t>
  </si>
  <si>
    <t>CUST01715</t>
  </si>
  <si>
    <t>CUST00881</t>
  </si>
  <si>
    <t>CUST00687</t>
  </si>
  <si>
    <t>CUST00010</t>
  </si>
  <si>
    <t>CUST01861</t>
  </si>
  <si>
    <t>CUST01404</t>
  </si>
  <si>
    <t>CUST01045</t>
  </si>
  <si>
    <t>CUST00229</t>
  </si>
  <si>
    <t>CUST01646</t>
  </si>
  <si>
    <t>CUST00798</t>
  </si>
  <si>
    <t>CUST01493</t>
  </si>
  <si>
    <t>CUST00700</t>
  </si>
  <si>
    <t>CUST01427</t>
  </si>
  <si>
    <t>CUST01037</t>
  </si>
  <si>
    <t>CUST00288</t>
  </si>
  <si>
    <t>CUST00076</t>
  </si>
  <si>
    <t>CUST00864</t>
  </si>
  <si>
    <t>CUST00162</t>
  </si>
  <si>
    <t>CUST01966</t>
  </si>
  <si>
    <t>CUST00779</t>
  </si>
  <si>
    <t>CUST01009</t>
  </si>
  <si>
    <t>CUST01376</t>
  </si>
  <si>
    <t>CUST00501</t>
  </si>
  <si>
    <t>CUST01243</t>
  </si>
  <si>
    <t>CUST00418</t>
  </si>
  <si>
    <t>CUST00112</t>
  </si>
  <si>
    <t>CUST01710</t>
  </si>
  <si>
    <t>CUST01402</t>
  </si>
  <si>
    <t>CUST01863</t>
  </si>
  <si>
    <t>CUST00836</t>
  </si>
  <si>
    <t>CUST01992</t>
  </si>
  <si>
    <t>CUST00276</t>
  </si>
  <si>
    <t>CUST00223</t>
  </si>
  <si>
    <t>CUST00140</t>
  </si>
  <si>
    <t>CUST00075</t>
  </si>
  <si>
    <t>CUST00457</t>
  </si>
  <si>
    <t>CUST00664</t>
  </si>
  <si>
    <t>CUST01433</t>
  </si>
  <si>
    <t>CUST00949</t>
  </si>
  <si>
    <t>CUST00222</t>
  </si>
  <si>
    <t>CUST00507</t>
  </si>
  <si>
    <t>CUST00121</t>
  </si>
  <si>
    <t>CUST00915</t>
  </si>
  <si>
    <t>CUST00866</t>
  </si>
  <si>
    <t>CUST01105</t>
  </si>
  <si>
    <t>CUST01323</t>
  </si>
  <si>
    <t>CUST00326</t>
  </si>
  <si>
    <t>CUST00154</t>
  </si>
  <si>
    <t>CUST01531</t>
  </si>
  <si>
    <t>CUST01289</t>
  </si>
  <si>
    <t>CUST01102</t>
  </si>
  <si>
    <t>CUST01993</t>
  </si>
  <si>
    <t>CUST00689</t>
  </si>
  <si>
    <t>CUST00426</t>
  </si>
  <si>
    <t>CUST01595</t>
  </si>
  <si>
    <t>CUST00803</t>
  </si>
  <si>
    <t>CUST00584</t>
  </si>
  <si>
    <t>CUST01960</t>
  </si>
  <si>
    <t>CUST01192</t>
  </si>
  <si>
    <t>CUST01053</t>
  </si>
  <si>
    <t>CUST01974</t>
  </si>
  <si>
    <t>CUST00720</t>
  </si>
  <si>
    <t>CUST00053</t>
  </si>
  <si>
    <t>CUST01658</t>
  </si>
  <si>
    <t>CUST01054</t>
  </si>
  <si>
    <t>CUST00165</t>
  </si>
  <si>
    <t>CUST01431</t>
  </si>
  <si>
    <t>CUST01923</t>
  </si>
  <si>
    <t>CUST01727</t>
  </si>
  <si>
    <t>CUST00002</t>
  </si>
  <si>
    <t>CUST01717</t>
  </si>
  <si>
    <t>CUST01869</t>
  </si>
  <si>
    <t>CUST01275</t>
  </si>
  <si>
    <t>CUST01753</t>
  </si>
  <si>
    <t>CUST00938</t>
  </si>
  <si>
    <t>CUST00572</t>
  </si>
  <si>
    <t>CUST00219</t>
  </si>
  <si>
    <t>CUST00098</t>
  </si>
  <si>
    <t>CUST00147</t>
  </si>
  <si>
    <t>CUST00763</t>
  </si>
  <si>
    <t>CUST01575</t>
  </si>
  <si>
    <t>CUST00247</t>
  </si>
  <si>
    <t>CUST00832</t>
  </si>
  <si>
    <t>CUST01188</t>
  </si>
  <si>
    <t>CUST00566</t>
  </si>
  <si>
    <t>CUST01226</t>
  </si>
  <si>
    <t>CUST00920</t>
  </si>
  <si>
    <t>CUST01588</t>
  </si>
  <si>
    <t>CUST01179</t>
  </si>
  <si>
    <t>CUST01055</t>
  </si>
  <si>
    <t>CUST00445</t>
  </si>
  <si>
    <t>CUST00416</t>
  </si>
  <si>
    <t>CUST00707</t>
  </si>
  <si>
    <t>CUST00221</t>
  </si>
  <si>
    <t>CUST01616</t>
  </si>
  <si>
    <t>CUST00773</t>
  </si>
  <si>
    <t>CUST00943</t>
  </si>
  <si>
    <t>CUST00725</t>
  </si>
  <si>
    <t>CUST01967</t>
  </si>
  <si>
    <t>CUST01744</t>
  </si>
  <si>
    <t>CUST01209</t>
  </si>
  <si>
    <t>CUST01799</t>
  </si>
  <si>
    <t>CUST00044</t>
  </si>
  <si>
    <t>CUST01196</t>
  </si>
  <si>
    <t>CUST00538</t>
  </si>
  <si>
    <t>CUST00781</t>
  </si>
  <si>
    <t>CUST00216</t>
  </si>
  <si>
    <t>CUST00183</t>
  </si>
  <si>
    <t>CUST00087</t>
  </si>
  <si>
    <t>CUST01381</t>
  </si>
  <si>
    <t>CUST00404</t>
  </si>
  <si>
    <t>CUST00929</t>
  </si>
  <si>
    <t>CUST00526</t>
  </si>
  <si>
    <t>CUST01164</t>
  </si>
  <si>
    <t>CUST00733</t>
  </si>
  <si>
    <t>CUST00759</t>
  </si>
  <si>
    <t>CUST00975</t>
  </si>
  <si>
    <t>CUST01332</t>
  </si>
  <si>
    <t>CUST01768</t>
  </si>
  <si>
    <t>CUST00163</t>
  </si>
  <si>
    <t>CUST00654</t>
  </si>
  <si>
    <t>CUST00455</t>
  </si>
  <si>
    <t>CUST00456</t>
  </si>
  <si>
    <t>CUST01219</t>
  </si>
  <si>
    <t>CUST01814</t>
  </si>
  <si>
    <t>CUST01483</t>
  </si>
  <si>
    <t>CUST00799</t>
  </si>
  <si>
    <t>CUST01764</t>
  </si>
  <si>
    <t>CUST00347</t>
  </si>
  <si>
    <t>CUST00389</t>
  </si>
  <si>
    <t>CUST01570</t>
  </si>
  <si>
    <t>CUST00020</t>
  </si>
  <si>
    <t>CUST01681</t>
  </si>
  <si>
    <t>CUST01823</t>
  </si>
  <si>
    <t>CUST00037</t>
  </si>
  <si>
    <t>CUST01976</t>
  </si>
  <si>
    <t>CUST01337</t>
  </si>
  <si>
    <t>CUST01112</t>
  </si>
  <si>
    <t>CUST00638</t>
  </si>
  <si>
    <t>CUST00449</t>
  </si>
  <si>
    <t>CUST00885</t>
  </si>
  <si>
    <t>CUST01945</t>
  </si>
  <si>
    <t>CUST00265</t>
  </si>
  <si>
    <t>CUST00859</t>
  </si>
  <si>
    <t>CUST00753</t>
  </si>
  <si>
    <t>CUST01564</t>
  </si>
  <si>
    <t>CUST00854</t>
  </si>
  <si>
    <t>CUST00164</t>
  </si>
  <si>
    <t>CUST00203</t>
  </si>
  <si>
    <t>CUST01460</t>
  </si>
  <si>
    <t>CUST00337</t>
  </si>
  <si>
    <t>CUST00471</t>
  </si>
  <si>
    <t>CUST00922</t>
  </si>
  <si>
    <t>CUST01696</t>
  </si>
  <si>
    <t>CUST01174</t>
  </si>
  <si>
    <t>CUST00972</t>
  </si>
  <si>
    <t>CUST00954</t>
  </si>
  <si>
    <t>CUST01547</t>
  </si>
  <si>
    <t>CUST00766</t>
  </si>
  <si>
    <t>CUST01118</t>
  </si>
  <si>
    <t>CUST01804</t>
  </si>
  <si>
    <t>CUST00280</t>
  </si>
  <si>
    <t>CUST00057</t>
  </si>
  <si>
    <t>CUST01286</t>
  </si>
  <si>
    <t>CUST01610</t>
  </si>
  <si>
    <t>CUST00520</t>
  </si>
  <si>
    <t>CUST01229</t>
  </si>
  <si>
    <t>CUST00450</t>
  </si>
  <si>
    <t>CUST00246</t>
  </si>
  <si>
    <t>CUST01500</t>
  </si>
  <si>
    <t>CUST00960</t>
  </si>
  <si>
    <t>CUST01455</t>
  </si>
  <si>
    <t>CUST01014</t>
  </si>
  <si>
    <t>CUST00514</t>
  </si>
  <si>
    <t>CUST00125</t>
  </si>
  <si>
    <t>CUST01388</t>
  </si>
  <si>
    <t>CUST00531</t>
  </si>
  <si>
    <t>CUST00785</t>
  </si>
  <si>
    <t>CUST00965</t>
  </si>
  <si>
    <t>CUST00292</t>
  </si>
  <si>
    <t>CUST01212</t>
  </si>
  <si>
    <t>CUST01628</t>
  </si>
  <si>
    <t>CUST00415</t>
  </si>
  <si>
    <t>CUST00190</t>
  </si>
  <si>
    <t>CUST00736</t>
  </si>
  <si>
    <t>CUST00903</t>
  </si>
  <si>
    <t>CUST00682</t>
  </si>
  <si>
    <t>CUST00009</t>
  </si>
  <si>
    <t>CUST00054</t>
  </si>
  <si>
    <t>CUST00734</t>
  </si>
  <si>
    <t>CUST00237</t>
  </si>
  <si>
    <t>CUST00986</t>
  </si>
  <si>
    <t>CUST00521</t>
  </si>
  <si>
    <t>CUST00916</t>
  </si>
  <si>
    <t>CUST01669</t>
  </si>
  <si>
    <t>CUST00160</t>
  </si>
  <si>
    <t>CUST00345</t>
  </si>
  <si>
    <t>CUST00090</t>
  </si>
  <si>
    <t>CUST01740</t>
  </si>
  <si>
    <t>CUST00136</t>
  </si>
  <si>
    <t>CUST00483</t>
  </si>
  <si>
    <t>CUST01113</t>
  </si>
  <si>
    <t>CUST00812</t>
  </si>
  <si>
    <t>CUST01663</t>
  </si>
  <si>
    <t>CUST00853</t>
  </si>
  <si>
    <t>CUST01574</t>
  </si>
  <si>
    <t>CUST01115</t>
  </si>
  <si>
    <t>CUST01265</t>
  </si>
  <si>
    <t>CUST00643</t>
  </si>
  <si>
    <t>CUST01143</t>
  </si>
  <si>
    <t>CUST00021</t>
  </si>
  <si>
    <t>CUST00880</t>
  </si>
  <si>
    <t>CUST00385</t>
  </si>
  <si>
    <t>CUST00589</t>
  </si>
  <si>
    <t>CUST01340</t>
  </si>
  <si>
    <t>CUST00811</t>
  </si>
  <si>
    <t>CUST01819</t>
  </si>
  <si>
    <t>CUST00272</t>
  </si>
  <si>
    <t>CUST00897</t>
  </si>
  <si>
    <t>CUST01277</t>
  </si>
  <si>
    <t>CUST00958</t>
  </si>
  <si>
    <t>CUST01725</t>
  </si>
  <si>
    <t>CUST00573</t>
  </si>
  <si>
    <t>CUST00217</t>
  </si>
  <si>
    <t>CUST00402</t>
  </si>
  <si>
    <t>CUST01736</t>
  </si>
  <si>
    <t>CUST00955</t>
  </si>
  <si>
    <t>CUST00158</t>
  </si>
  <si>
    <t>CUST01041</t>
  </si>
  <si>
    <t>CUST01949</t>
  </si>
  <si>
    <t>CUST00363</t>
  </si>
  <si>
    <t>CUST01548</t>
  </si>
  <si>
    <t>CUST00214</t>
  </si>
  <si>
    <t>CUST01802</t>
  </si>
  <si>
    <t>CUST01330</t>
  </si>
  <si>
    <t>CUST00777</t>
  </si>
  <si>
    <t>CUST00023</t>
  </si>
  <si>
    <t>CUST01942</t>
  </si>
  <si>
    <t>CUST01933</t>
  </si>
  <si>
    <t>CUST01682</t>
  </si>
  <si>
    <t>CUST00464</t>
  </si>
  <si>
    <t>CUST01958</t>
  </si>
  <si>
    <t>CUST01639</t>
  </si>
  <si>
    <t>CUST01761</t>
  </si>
  <si>
    <t>CUST01371</t>
  </si>
  <si>
    <t>CUST00206</t>
  </si>
  <si>
    <t>CUST01842</t>
  </si>
  <si>
    <t>CUST01052</t>
  </si>
  <si>
    <t>CUST01553</t>
  </si>
  <si>
    <t>CUST01845</t>
  </si>
  <si>
    <t>CUST00395</t>
  </si>
  <si>
    <t>CUST00802</t>
  </si>
  <si>
    <t>CUST00008</t>
  </si>
  <si>
    <t>CUST00049</t>
  </si>
  <si>
    <t>CUST00092</t>
  </si>
  <si>
    <t>CUST01137</t>
  </si>
  <si>
    <t>CUST01506</t>
  </si>
  <si>
    <t>CUST00765</t>
  </si>
  <si>
    <t>CUST00816</t>
  </si>
  <si>
    <t>CUST00745</t>
  </si>
  <si>
    <t>CUST00917</t>
  </si>
  <si>
    <t>CUST00312</t>
  </si>
  <si>
    <t>CUST00343</t>
  </si>
  <si>
    <t>CUST01742</t>
  </si>
  <si>
    <t>CUST00690</t>
  </si>
  <si>
    <t>CUST01318</t>
  </si>
  <si>
    <t>CUST01652</t>
  </si>
  <si>
    <t>CUST01244</t>
  </si>
  <si>
    <t>CUST01417</t>
  </si>
  <si>
    <t>CUST00595</t>
  </si>
  <si>
    <t>CUST01657</t>
  </si>
  <si>
    <t>CUST00012</t>
  </si>
  <si>
    <t>CUST01336</t>
  </si>
  <si>
    <t>CUST00827</t>
  </si>
  <si>
    <t>CUST00017</t>
  </si>
  <si>
    <t>CUST00266</t>
  </si>
  <si>
    <t>CUST01856</t>
  </si>
  <si>
    <t>CUST00699</t>
  </si>
  <si>
    <t>CUST00461</t>
  </si>
  <si>
    <t>CUST00681</t>
  </si>
  <si>
    <t>CUST01728</t>
  </si>
  <si>
    <t>CUST00410</t>
  </si>
  <si>
    <t>CUST01251</t>
  </si>
  <si>
    <t>CUST01421</t>
  </si>
  <si>
    <t>CUST00800</t>
  </si>
  <si>
    <t>CUST00325</t>
  </si>
  <si>
    <t>CUST01347</t>
  </si>
  <si>
    <t>CUST01461</t>
  </si>
  <si>
    <t>CUST00065</t>
  </si>
  <si>
    <t>CUST00925</t>
  </si>
  <si>
    <t>CUST00590</t>
  </si>
  <si>
    <t>CUST01050</t>
  </si>
  <si>
    <t>CUST00030</t>
  </si>
  <si>
    <t>CUST01176</t>
  </si>
  <si>
    <t>CUST00014</t>
  </si>
  <si>
    <t>CUST01656</t>
  </si>
  <si>
    <t>CUST01225</t>
  </si>
  <si>
    <t>CUST01321</t>
  </si>
  <si>
    <t>CUST01492</t>
  </si>
  <si>
    <t>CUST01567</t>
  </si>
  <si>
    <t>CUST01085</t>
  </si>
  <si>
    <t>CUST00227</t>
  </si>
  <si>
    <t>CUST01769</t>
  </si>
  <si>
    <t>CUST00398</t>
  </si>
  <si>
    <t>CUST01872</t>
  </si>
  <si>
    <t>CUST01373</t>
  </si>
  <si>
    <t>CUST01635</t>
  </si>
  <si>
    <t>CUST00465</t>
  </si>
  <si>
    <t>CUST00375</t>
  </si>
  <si>
    <t>CUST00851</t>
  </si>
  <si>
    <t>CUST00317</t>
  </si>
  <si>
    <t>CUST01008</t>
  </si>
  <si>
    <t>CUST01759</t>
  </si>
  <si>
    <t>CUST00661</t>
  </si>
  <si>
    <t>CUST00726</t>
  </si>
  <si>
    <t>CUST01272</t>
  </si>
  <si>
    <t>CUST01741</t>
  </si>
  <si>
    <t>CUST01259</t>
  </si>
  <si>
    <t>CUST00697</t>
  </si>
  <si>
    <t>CUST00724</t>
  </si>
  <si>
    <t>CUST01317</t>
  </si>
  <si>
    <t>CUST00258</t>
  </si>
  <si>
    <t>CUST00103</t>
  </si>
  <si>
    <t>CUST00102</t>
  </si>
  <si>
    <t>CUST01526</t>
  </si>
  <si>
    <t>CUST00321</t>
  </si>
  <si>
    <t>CUST00155</t>
  </si>
  <si>
    <t>CUST00242</t>
  </si>
  <si>
    <t>CUST01721</t>
  </si>
  <si>
    <t>CUST01806</t>
  </si>
  <si>
    <t>CUST00264</t>
  </si>
  <si>
    <t>CUST01667</t>
  </si>
  <si>
    <t>CUST01901</t>
  </si>
  <si>
    <t>CUST00935</t>
  </si>
  <si>
    <t>CUST01720</t>
  </si>
  <si>
    <t>CUST00786</t>
  </si>
  <si>
    <t>CUST01944</t>
  </si>
  <si>
    <t>CUST00405</t>
  </si>
  <si>
    <t>CUST00632</t>
  </si>
  <si>
    <t>CUST01106</t>
  </si>
  <si>
    <t>CUST00874</t>
  </si>
  <si>
    <t>CUST01829</t>
  </si>
  <si>
    <t>CUST00100</t>
  </si>
  <si>
    <t>CUST01420</t>
  </si>
  <si>
    <t>CUST01631</t>
  </si>
  <si>
    <t>CUST01694</t>
  </si>
  <si>
    <t>CUST01716</t>
  </si>
  <si>
    <t>CUST00324</t>
  </si>
  <si>
    <t>CUST00974</t>
  </si>
  <si>
    <t>CUST00291</t>
  </si>
  <si>
    <t>CUST00001</t>
  </si>
  <si>
    <t>CUST00846</t>
  </si>
  <si>
    <t>CUST01883</t>
  </si>
  <si>
    <t>CUST00446</t>
  </si>
  <si>
    <t>CUST01653</t>
  </si>
  <si>
    <t>CUST01834</t>
  </si>
  <si>
    <t>CUST01475</t>
  </si>
  <si>
    <t>CUST01096</t>
  </si>
  <si>
    <t>CUST01889</t>
  </si>
  <si>
    <t>CUST00210</t>
  </si>
  <si>
    <t>CUST00539</t>
  </si>
  <si>
    <t>CUST00635</t>
  </si>
  <si>
    <t>CUST01362</t>
  </si>
  <si>
    <t>CUST01258</t>
  </si>
  <si>
    <t>CUST00906</t>
  </si>
  <si>
    <t>CUST00032</t>
  </si>
  <si>
    <t>CUST00936</t>
  </si>
  <si>
    <t>CUST00476</t>
  </si>
  <si>
    <t>CUST00310</t>
  </si>
  <si>
    <t>CUST01787</t>
  </si>
  <si>
    <t>CUST00028</t>
  </si>
  <si>
    <t>CUST00992</t>
  </si>
  <si>
    <t>CUST00667</t>
  </si>
  <si>
    <t>CUST01618</t>
  </si>
  <si>
    <t>CUST01751</t>
  </si>
  <si>
    <t>CUST00863</t>
  </si>
  <si>
    <t>CUST01676</t>
  </si>
  <si>
    <t>CUST01256</t>
  </si>
  <si>
    <t>CUST00778</t>
  </si>
  <si>
    <t>CUST01151</t>
  </si>
  <si>
    <t>CUST01880</t>
  </si>
  <si>
    <t>CUST01755</t>
  </si>
  <si>
    <t>CUST00750</t>
  </si>
  <si>
    <t>CUST01463</t>
  </si>
  <si>
    <t>CUST01300</t>
  </si>
  <si>
    <t>CUST01150</t>
  </si>
  <si>
    <t>CUST01136</t>
  </si>
  <si>
    <t>CUST01660</t>
  </si>
  <si>
    <t>CUST00115</t>
  </si>
  <si>
    <t>CUST01789</t>
  </si>
  <si>
    <t>CUST01306</t>
  </si>
  <si>
    <t>CUST01462</t>
  </si>
  <si>
    <t>CUST00348</t>
  </si>
  <si>
    <t>CUST01836</t>
  </si>
  <si>
    <t>CUST01732</t>
  </si>
  <si>
    <t>CUST01643</t>
  </si>
  <si>
    <t>CUST00524</t>
  </si>
  <si>
    <t>CUST01629</t>
  </si>
  <si>
    <t>CUST00097</t>
  </si>
  <si>
    <t>CUST01334</t>
  </si>
  <si>
    <t>CUST00761</t>
  </si>
  <si>
    <t>CUST01860</t>
  </si>
  <si>
    <t>CUST01429</t>
  </si>
  <si>
    <t>CUST00644</t>
  </si>
  <si>
    <t>CUST01422</t>
  </si>
  <si>
    <t>CUST01544</t>
  </si>
  <si>
    <t>CUST00300</t>
  </si>
  <si>
    <t>CUST00031</t>
  </si>
  <si>
    <t>CUST01748</t>
  </si>
  <si>
    <t>CUST01190</t>
  </si>
  <si>
    <t>CUST01338</t>
  </si>
  <si>
    <t>CUST01110</t>
  </si>
  <si>
    <t>CUST01287</t>
  </si>
  <si>
    <t>CUST01925</t>
  </si>
  <si>
    <t>CUST01673</t>
  </si>
  <si>
    <t>CUST01726</t>
  </si>
  <si>
    <t>CUST00752</t>
  </si>
  <si>
    <t>CUST00839</t>
  </si>
  <si>
    <t>CUST00597</t>
  </si>
  <si>
    <t>CUST01800</t>
  </si>
  <si>
    <t>CUST00567</t>
  </si>
  <si>
    <t>CUST01204</t>
  </si>
  <si>
    <t>CUST00711</t>
  </si>
  <si>
    <t>CUST01718</t>
  </si>
  <si>
    <t>CUST00956</t>
  </si>
  <si>
    <t>CUST00169</t>
  </si>
  <si>
    <t>CUST01444</t>
  </si>
  <si>
    <t>CUST01703</t>
  </si>
  <si>
    <t>CUST01501</t>
  </si>
  <si>
    <t>CUST00050</t>
  </si>
  <si>
    <t>CUST00392</t>
  </si>
  <si>
    <t>CUST01088</t>
  </si>
  <si>
    <t>CUST00564</t>
  </si>
  <si>
    <t>CUST01738</t>
  </si>
  <si>
    <t>CUST01591</t>
  </si>
  <si>
    <t>CUST00438</t>
  </si>
  <si>
    <t>CUST01555</t>
  </si>
  <si>
    <t>CUST01708</t>
  </si>
  <si>
    <t>CUST01817</t>
  </si>
  <si>
    <t>CUST01815</t>
  </si>
  <si>
    <t>CUST00411</t>
  </si>
  <si>
    <t>CUST01784</t>
  </si>
  <si>
    <t>CUST01089</t>
  </si>
  <si>
    <t>CUST01072</t>
  </si>
  <si>
    <t>CUST01632</t>
  </si>
  <si>
    <t>CUST01024</t>
  </si>
  <si>
    <t>CUST00383</t>
  </si>
  <si>
    <t>CUST00508</t>
  </si>
  <si>
    <t>CUST00944</t>
  </si>
  <si>
    <t>CUST01283</t>
  </si>
  <si>
    <t>CUST00562</t>
  </si>
  <si>
    <t>CUST01247</t>
  </si>
  <si>
    <t>CUST01665</t>
  </si>
  <si>
    <t>CUST01638</t>
  </si>
  <si>
    <t>CUST00527</t>
  </si>
  <si>
    <t>CUST01260</t>
  </si>
  <si>
    <t>CUST01038</t>
  </si>
  <si>
    <t>CUST01043</t>
  </si>
  <si>
    <t>CUST00072</t>
  </si>
  <si>
    <t>CUST01202</t>
  </si>
  <si>
    <t>CUST01491</t>
  </si>
  <si>
    <t>CUST00767</t>
  </si>
  <si>
    <t>CUST01082</t>
  </si>
  <si>
    <t>CUST01438</t>
  </si>
  <si>
    <t>CUST00554</t>
  </si>
  <si>
    <t>CUST00580</t>
  </si>
  <si>
    <t>CUST00199</t>
  </si>
  <si>
    <t>CUST01022</t>
  </si>
  <si>
    <t>CUST01213</t>
  </si>
  <si>
    <t>CUST00260</t>
  </si>
  <si>
    <t>CUST01969</t>
  </si>
  <si>
    <t>CUST00239</t>
  </si>
  <si>
    <t>CUST01941</t>
  </si>
  <si>
    <t>CUST00653</t>
  </si>
  <si>
    <t>CUST01395</t>
  </si>
  <si>
    <t>CUST00830</t>
  </si>
  <si>
    <t>CUST00976</t>
  </si>
  <si>
    <t>CUST01524</t>
  </si>
  <si>
    <t>CUST00518</t>
  </si>
  <si>
    <t>CUST00120</t>
  </si>
  <si>
    <t>CUST00407</t>
  </si>
  <si>
    <t>CUST00355</t>
  </si>
  <si>
    <t>CUST00695</t>
  </si>
  <si>
    <t>CUST00116</t>
  </si>
  <si>
    <t>CUST00611</t>
  </si>
  <si>
    <t>CUST00701</t>
  </si>
  <si>
    <t>CUST01139</t>
  </si>
  <si>
    <t>CUST00301</t>
  </si>
  <si>
    <t>CUST01013</t>
  </si>
  <si>
    <t>CUST01626</t>
  </si>
  <si>
    <t>CUST00619</t>
  </si>
  <si>
    <t>CUST01849</t>
  </si>
  <si>
    <t>CUST01675</t>
  </si>
  <si>
    <t>CUST00730</t>
  </si>
  <si>
    <t>CUST00614</t>
  </si>
  <si>
    <t>CUST00691</t>
  </si>
  <si>
    <t>CUST00875</t>
  </si>
  <si>
    <t>CUST00373</t>
  </si>
  <si>
    <t>CUST01683</t>
  </si>
  <si>
    <t>CUST01227</t>
  </si>
  <si>
    <t>CUST00340</t>
  </si>
  <si>
    <t>CUST01350</t>
  </si>
  <si>
    <t>CUST01361</t>
  </si>
  <si>
    <t>CUST00218</t>
  </si>
  <si>
    <t>CUST01200</t>
  </si>
  <si>
    <t>Customer Segmentation</t>
  </si>
  <si>
    <t>Purchase Pattern Analysis</t>
  </si>
  <si>
    <t>Retention &amp; Churn Analysis</t>
  </si>
  <si>
    <t>Revenue by Segment</t>
  </si>
  <si>
    <t>Preferred Product Category</t>
  </si>
  <si>
    <t>Churn Rate</t>
  </si>
  <si>
    <t>Customer Segement</t>
  </si>
  <si>
    <t xml:space="preserve">Total_Spent (Revenue) </t>
  </si>
  <si>
    <t>% of Total_Spent</t>
  </si>
  <si>
    <t>Product Category</t>
  </si>
  <si>
    <t>Count of Customer_ID</t>
  </si>
  <si>
    <t>% of Customer_ID</t>
  </si>
  <si>
    <t>Churn Flag</t>
  </si>
  <si>
    <t>Grand Total</t>
  </si>
  <si>
    <t>Customer by Segment</t>
  </si>
  <si>
    <t>Purchase Channel Trends</t>
  </si>
  <si>
    <t>At-Risk Customers</t>
  </si>
  <si>
    <t>Purchase Channel</t>
  </si>
  <si>
    <t>High-Value Customer</t>
  </si>
  <si>
    <t>Average Order Value (AOV) Analysis</t>
  </si>
  <si>
    <t>Satisfaction vs Churn</t>
  </si>
  <si>
    <t>Sum of Average_Order_Value</t>
  </si>
  <si>
    <t>Column Labels</t>
  </si>
  <si>
    <t>High Value</t>
  </si>
  <si>
    <t>Low Value</t>
  </si>
  <si>
    <t>Medium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</si>
</sst>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3" borderId="0" xfId="0" applyFill="1"/>
    <xf numFmtId="0" fontId="0" fillId="0" borderId="0" xfId="0" applyAlignment="1">
      <alignment horizontal="left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10" fontId="0" fillId="0" borderId="1" xfId="0" applyNumberFormat="1" applyBorder="1"/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2" fillId="5" borderId="1" xfId="0" applyFont="1" applyFill="1" applyBorder="1"/>
    <xf numFmtId="10" fontId="2" fillId="5" borderId="1" xfId="0" applyNumberFormat="1" applyFont="1" applyFill="1" applyBorder="1"/>
    <xf numFmtId="1" fontId="0" fillId="0" borderId="1" xfId="0" applyNumberFormat="1" applyBorder="1" applyAlignment="1">
      <alignment horizontal="left"/>
    </xf>
    <xf numFmtId="0" fontId="4" fillId="6" borderId="2" xfId="0" applyFont="1" applyFill="1" applyBorder="1" applyAlignment="1">
      <alignment horizontal="center" vertical="top"/>
    </xf>
    <xf numFmtId="0" fontId="4" fillId="6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/>
    <xf numFmtId="0" fontId="4" fillId="6" borderId="0" xfId="0" applyFont="1" applyFill="1" applyAlignment="1">
      <alignment horizontal="center"/>
    </xf>
    <xf numFmtId="0" fontId="4" fillId="6" borderId="0" xfId="0" applyFont="1" applyFill="1"/>
  </cellXfs>
  <cellStyles count="1">
    <cellStyle name="Normal" xfId="0" builtinId="0"/>
  </cellStyles>
  <dxfs count="88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Revenue by Segment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shade val="76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77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Total_Spent (Revenue) 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Tables'!$A$5:$A$9</c:f>
              <c:strCache>
                <c:ptCount val="4"/>
                <c:pt idx="0">
                  <c:v>At Risk</c:v>
                </c:pt>
                <c:pt idx="1">
                  <c:v>Regular</c:v>
                </c:pt>
                <c:pt idx="2">
                  <c:v>Loyal</c:v>
                </c:pt>
                <c:pt idx="3">
                  <c:v>New</c:v>
                </c:pt>
              </c:strCache>
            </c:strRef>
          </c:cat>
          <c:val>
            <c:numRef>
              <c:f>'Pivot Tables'!$B$5:$B$9</c:f>
              <c:numCache>
                <c:formatCode>0.00</c:formatCode>
                <c:ptCount val="4"/>
                <c:pt idx="0">
                  <c:v>942959.22999999975</c:v>
                </c:pt>
                <c:pt idx="1">
                  <c:v>983577.22000000009</c:v>
                </c:pt>
                <c:pt idx="2">
                  <c:v>1037890.28</c:v>
                </c:pt>
                <c:pt idx="3">
                  <c:v>1120366.45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7-4441-828E-0A8ADC252BAF}"/>
            </c:ext>
          </c:extLst>
        </c:ser>
        <c:ser>
          <c:idx val="1"/>
          <c:order val="1"/>
          <c:tx>
            <c:strRef>
              <c:f>'Pivot Tables'!$C$4</c:f>
              <c:strCache>
                <c:ptCount val="1"/>
                <c:pt idx="0">
                  <c:v>% of Total_Spent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Tables'!$A$5:$A$9</c:f>
              <c:strCache>
                <c:ptCount val="4"/>
                <c:pt idx="0">
                  <c:v>At Risk</c:v>
                </c:pt>
                <c:pt idx="1">
                  <c:v>Regular</c:v>
                </c:pt>
                <c:pt idx="2">
                  <c:v>Loyal</c:v>
                </c:pt>
                <c:pt idx="3">
                  <c:v>New</c:v>
                </c:pt>
              </c:strCache>
            </c:strRef>
          </c:cat>
          <c:val>
            <c:numRef>
              <c:f>'Pivot Tables'!$C$5:$C$9</c:f>
              <c:numCache>
                <c:formatCode>0.00%</c:formatCode>
                <c:ptCount val="4"/>
                <c:pt idx="0">
                  <c:v>0.23084626037296699</c:v>
                </c:pt>
                <c:pt idx="1">
                  <c:v>0.24078996822061871</c:v>
                </c:pt>
                <c:pt idx="2">
                  <c:v>0.25408637212814772</c:v>
                </c:pt>
                <c:pt idx="3">
                  <c:v>0.27427739927826661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7-4441-828E-0A8ADC252B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53972735"/>
        <c:axId val="2663311"/>
      </c:barChart>
      <c:catAx>
        <c:axId val="25397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3311"/>
        <c:crosses val="autoZero"/>
        <c:auto val="1"/>
        <c:lblAlgn val="ctr"/>
        <c:lblOffset val="100"/>
        <c:noMultiLvlLbl val="0"/>
      </c:catAx>
      <c:valAx>
        <c:axId val="266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972735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Customer by Segment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>
            <a:prstDash val="solid"/>
          </a:ln>
        </c:spPr>
        <c:marker>
          <c:symbol val="none"/>
        </c:marker>
        <c:dLbl>
          <c:idx val="0"/>
          <c:spPr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05-4023-9600-BB5382EC13D1}"/>
              </c:ext>
            </c:extLst>
          </c:dPt>
          <c:dPt>
            <c:idx val="1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05-4023-9600-BB5382EC13D1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05-4023-9600-BB5382EC13D1}"/>
              </c:ext>
            </c:extLst>
          </c:dPt>
          <c:dPt>
            <c:idx val="3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505-4023-9600-BB5382EC13D1}"/>
              </c:ext>
            </c:extLst>
          </c:dPt>
          <c:dLbls>
            <c:spPr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Tables'!$A$14:$A$18</c:f>
              <c:strCache>
                <c:ptCount val="4"/>
                <c:pt idx="0">
                  <c:v>At Risk</c:v>
                </c:pt>
                <c:pt idx="1">
                  <c:v>Regular</c:v>
                </c:pt>
                <c:pt idx="2">
                  <c:v>Loyal</c:v>
                </c:pt>
                <c:pt idx="3">
                  <c:v>New</c:v>
                </c:pt>
              </c:strCache>
            </c:strRef>
          </c:cat>
          <c:val>
            <c:numRef>
              <c:f>'Pivot Tables'!$B$14:$B$18</c:f>
              <c:numCache>
                <c:formatCode>General</c:formatCode>
                <c:ptCount val="4"/>
                <c:pt idx="0">
                  <c:v>481</c:v>
                </c:pt>
                <c:pt idx="1">
                  <c:v>493</c:v>
                </c:pt>
                <c:pt idx="2">
                  <c:v>499</c:v>
                </c:pt>
                <c:pt idx="3">
                  <c:v>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05-4023-9600-BB5382EC1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Customer Value Bands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Tables'!$A$23:$A$26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'Pivot Tables'!$B$23:$B$26</c:f>
              <c:numCache>
                <c:formatCode>General</c:formatCode>
                <c:ptCount val="3"/>
                <c:pt idx="0">
                  <c:v>142</c:v>
                </c:pt>
                <c:pt idx="1">
                  <c:v>689</c:v>
                </c:pt>
                <c:pt idx="2">
                  <c:v>1169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70-4C12-A041-96027BCA7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4059295"/>
        <c:axId val="299998575"/>
      </c:barChart>
      <c:catAx>
        <c:axId val="25405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998575"/>
        <c:crosses val="autoZero"/>
        <c:auto val="1"/>
        <c:lblAlgn val="ctr"/>
        <c:lblOffset val="100"/>
        <c:noMultiLvlLbl val="0"/>
      </c:catAx>
      <c:valAx>
        <c:axId val="29999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59295"/>
        <c:crosses val="autoZero"/>
        <c:crossBetween val="between"/>
      </c:valAx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Preferred Product Category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Tables'!$F$4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Tables'!$E$5:$E$10</c:f>
              <c:strCache>
                <c:ptCount val="5"/>
                <c:pt idx="0">
                  <c:v>Home</c:v>
                </c:pt>
                <c:pt idx="1">
                  <c:v>Beauty</c:v>
                </c:pt>
                <c:pt idx="2">
                  <c:v>Fashion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'Pivot Tables'!$F$5:$F$10</c:f>
              <c:numCache>
                <c:formatCode>General</c:formatCode>
                <c:ptCount val="5"/>
                <c:pt idx="0">
                  <c:v>379</c:v>
                </c:pt>
                <c:pt idx="1">
                  <c:v>388</c:v>
                </c:pt>
                <c:pt idx="2">
                  <c:v>401</c:v>
                </c:pt>
                <c:pt idx="3">
                  <c:v>411</c:v>
                </c:pt>
                <c:pt idx="4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1-4543-8C25-638F90B11231}"/>
            </c:ext>
          </c:extLst>
        </c:ser>
        <c:ser>
          <c:idx val="1"/>
          <c:order val="1"/>
          <c:tx>
            <c:strRef>
              <c:f>'Pivot Tables'!$G$4</c:f>
              <c:strCache>
                <c:ptCount val="1"/>
                <c:pt idx="0">
                  <c:v>% of Customer_ID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Tables'!$E$5:$E$10</c:f>
              <c:strCache>
                <c:ptCount val="5"/>
                <c:pt idx="0">
                  <c:v>Home</c:v>
                </c:pt>
                <c:pt idx="1">
                  <c:v>Beauty</c:v>
                </c:pt>
                <c:pt idx="2">
                  <c:v>Fashion</c:v>
                </c:pt>
                <c:pt idx="3">
                  <c:v>Sports</c:v>
                </c:pt>
                <c:pt idx="4">
                  <c:v>Electronics</c:v>
                </c:pt>
              </c:strCache>
            </c:strRef>
          </c:cat>
          <c:val>
            <c:numRef>
              <c:f>'Pivot Tables'!$G$5:$G$10</c:f>
              <c:numCache>
                <c:formatCode>0.00%</c:formatCode>
                <c:ptCount val="5"/>
                <c:pt idx="0">
                  <c:v>0.1895</c:v>
                </c:pt>
                <c:pt idx="1">
                  <c:v>0.19400000000000001</c:v>
                </c:pt>
                <c:pt idx="2">
                  <c:v>0.20050000000000001</c:v>
                </c:pt>
                <c:pt idx="3">
                  <c:v>0.20549999999999999</c:v>
                </c:pt>
                <c:pt idx="4">
                  <c:v>0.21049999999999999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51-4543-8C25-638F90B112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1772463"/>
        <c:axId val="1946682287"/>
      </c:barChart>
      <c:catAx>
        <c:axId val="2121772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682287"/>
        <c:crosses val="autoZero"/>
        <c:auto val="1"/>
        <c:lblAlgn val="ctr"/>
        <c:lblOffset val="100"/>
        <c:noMultiLvlLbl val="0"/>
      </c:catAx>
      <c:valAx>
        <c:axId val="194668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772463"/>
        <c:crosses val="autoZero"/>
        <c:crossBetween val="between"/>
      </c:valAx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Tables!PivotTable5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Purchase Channel Trends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>
            <a:prstDash val="solid"/>
          </a:ln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Tables'!$F$14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64-4D5C-9940-46093B591A66}"/>
              </c:ext>
            </c:extLst>
          </c:dPt>
          <c:dPt>
            <c:idx val="1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64-4D5C-9940-46093B591A66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64-4D5C-9940-46093B591A6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Tables'!$E$15:$E$18</c:f>
              <c:strCache>
                <c:ptCount val="3"/>
                <c:pt idx="0">
                  <c:v>Store</c:v>
                </c:pt>
                <c:pt idx="1">
                  <c:v>App</c:v>
                </c:pt>
                <c:pt idx="2">
                  <c:v>Online</c:v>
                </c:pt>
              </c:strCache>
            </c:strRef>
          </c:cat>
          <c:val>
            <c:numRef>
              <c:f>'Pivot Tables'!$F$15:$F$18</c:f>
              <c:numCache>
                <c:formatCode>General</c:formatCode>
                <c:ptCount val="3"/>
                <c:pt idx="0">
                  <c:v>649</c:v>
                </c:pt>
                <c:pt idx="1">
                  <c:v>673</c:v>
                </c:pt>
                <c:pt idx="2">
                  <c:v>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64-4D5C-9940-46093B591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Tables!PivotTable6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Order Value (AOV) Analysis</a:t>
            </a:r>
            <a:r>
              <a:rPr lang="en-US" b="1" baseline="0">
                <a:solidFill>
                  <a:sysClr val="windowText" lastClr="000000"/>
                </a:solidFill>
              </a:rPr>
              <a:t> by Customer Segmet</a:t>
            </a:r>
          </a:p>
        </c:rich>
      </c:tx>
      <c:layout>
        <c:manualLayout>
          <c:xMode val="edge"/>
          <c:yMode val="edge"/>
          <c:x val="0.12536097221423961"/>
          <c:y val="2.713178570589287E-2"/>
        </c:manualLayout>
      </c:layout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Tables'!$E$23:$E$27</c:f>
              <c:strCache>
                <c:ptCount val="4"/>
                <c:pt idx="0">
                  <c:v>Regular</c:v>
                </c:pt>
                <c:pt idx="1">
                  <c:v>At Risk</c:v>
                </c:pt>
                <c:pt idx="2">
                  <c:v>Loyal</c:v>
                </c:pt>
                <c:pt idx="3">
                  <c:v>New</c:v>
                </c:pt>
              </c:strCache>
            </c:strRef>
          </c:cat>
          <c:val>
            <c:numRef>
              <c:f>'Pivot Tables'!$F$23:$F$27</c:f>
              <c:numCache>
                <c:formatCode>0.00</c:formatCode>
                <c:ptCount val="4"/>
                <c:pt idx="0">
                  <c:v>76108.589999999967</c:v>
                </c:pt>
                <c:pt idx="1">
                  <c:v>77217.450000000012</c:v>
                </c:pt>
                <c:pt idx="2">
                  <c:v>80557.629999999903</c:v>
                </c:pt>
                <c:pt idx="3">
                  <c:v>83762.259999999864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1-4142-BCAE-37190CDDD9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953839"/>
        <c:axId val="69163823"/>
      </c:barChart>
      <c:catAx>
        <c:axId val="10595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823"/>
        <c:crosses val="autoZero"/>
        <c:auto val="1"/>
        <c:lblAlgn val="ctr"/>
        <c:lblOffset val="100"/>
        <c:noMultiLvlLbl val="0"/>
      </c:catAx>
      <c:valAx>
        <c:axId val="6916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3839"/>
        <c:crosses val="autoZero"/>
        <c:crossBetween val="between"/>
      </c:valAx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Tables!PivotTable8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strike="noStrike" baseline="0">
                <a:solidFill>
                  <a:sysClr val="windowText" lastClr="000000"/>
                </a:solidFill>
              </a:rPr>
              <a:t>Churn Rate Analysis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>
            <a:prstDash val="solid"/>
          </a:ln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  <a:prstDash val="solid"/>
          </a:ln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09604519774009"/>
          <c:y val="0.2276079434266903"/>
          <c:w val="0.67068926553672314"/>
          <c:h val="0.67199097713904277"/>
        </c:manualLayout>
      </c:layout>
      <c:doughnutChart>
        <c:varyColors val="1"/>
        <c:ser>
          <c:idx val="0"/>
          <c:order val="0"/>
          <c:tx>
            <c:strRef>
              <c:f>'Pivot Tables'!$J$4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7C-414E-896F-2429E5F185FD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7C-414E-896F-2429E5F185F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Tables'!$I$5:$I$7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Tables'!$J$5:$J$7</c:f>
              <c:numCache>
                <c:formatCode>General</c:formatCode>
                <c:ptCount val="2"/>
                <c:pt idx="0">
                  <c:v>1673</c:v>
                </c:pt>
                <c:pt idx="1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7C-414E-896F-2429E5F18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Tables!PivotTable9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At-Risk</a:t>
            </a:r>
            <a:r>
              <a:rPr lang="en-US" b="1" baseline="0">
                <a:solidFill>
                  <a:sysClr val="windowText" lastClr="000000"/>
                </a:solidFill>
              </a:rPr>
              <a:t> Customers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Tables'!$I$15:$I$19</c:f>
              <c:strCache>
                <c:ptCount val="4"/>
                <c:pt idx="0">
                  <c:v>At Risk</c:v>
                </c:pt>
                <c:pt idx="1">
                  <c:v>Loyal</c:v>
                </c:pt>
                <c:pt idx="2">
                  <c:v>New</c:v>
                </c:pt>
                <c:pt idx="3">
                  <c:v>Regular</c:v>
                </c:pt>
              </c:strCache>
            </c:strRef>
          </c:cat>
          <c:val>
            <c:numRef>
              <c:f>'Pivot Tables'!$J$15:$J$19</c:f>
              <c:numCache>
                <c:formatCode>General</c:formatCode>
                <c:ptCount val="4"/>
                <c:pt idx="0">
                  <c:v>481</c:v>
                </c:pt>
                <c:pt idx="1">
                  <c:v>499</c:v>
                </c:pt>
                <c:pt idx="2">
                  <c:v>527</c:v>
                </c:pt>
                <c:pt idx="3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B-44AC-A85D-8821BE7225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037823"/>
        <c:axId val="69139823"/>
      </c:barChart>
      <c:catAx>
        <c:axId val="10603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39823"/>
        <c:crosses val="autoZero"/>
        <c:auto val="1"/>
        <c:lblAlgn val="ctr"/>
        <c:lblOffset val="100"/>
        <c:noMultiLvlLbl val="0"/>
      </c:catAx>
      <c:valAx>
        <c:axId val="6913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7823"/>
        <c:crosses val="autoZero"/>
        <c:crossBetween val="between"/>
      </c:valAx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pivotSource>
    <c:name>[Avinash project 2.xlsx]Pivot Tables!PivotTable10</c:name>
    <c:fmtId val="5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strike="noStrike" baseline="0">
                <a:solidFill>
                  <a:sysClr val="windowText" lastClr="000000"/>
                </a:solidFill>
              </a:rPr>
              <a:t>Satisfaction vs Churn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tint val="77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76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Tables'!$J$22:$J$23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Tables'!$I$24:$I$34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'Pivot Tables'!$J$24:$J$34</c:f>
              <c:numCache>
                <c:formatCode>General</c:formatCode>
                <c:ptCount val="10"/>
                <c:pt idx="0">
                  <c:v>175</c:v>
                </c:pt>
                <c:pt idx="1">
                  <c:v>171</c:v>
                </c:pt>
                <c:pt idx="2">
                  <c:v>168</c:v>
                </c:pt>
                <c:pt idx="3">
                  <c:v>137</c:v>
                </c:pt>
                <c:pt idx="4">
                  <c:v>174</c:v>
                </c:pt>
                <c:pt idx="5">
                  <c:v>182</c:v>
                </c:pt>
                <c:pt idx="6">
                  <c:v>183</c:v>
                </c:pt>
                <c:pt idx="7">
                  <c:v>171</c:v>
                </c:pt>
                <c:pt idx="8">
                  <c:v>136</c:v>
                </c:pt>
                <c:pt idx="9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B-4A05-9E7C-C02DCD9DD640}"/>
            </c:ext>
          </c:extLst>
        </c:ser>
        <c:ser>
          <c:idx val="1"/>
          <c:order val="1"/>
          <c:tx>
            <c:strRef>
              <c:f>'Pivot Tables'!$K$22:$K$23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'Pivot Tables'!$I$24:$I$34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'Pivot Tables'!$K$24:$K$34</c:f>
              <c:numCache>
                <c:formatCode>General</c:formatCode>
                <c:ptCount val="10"/>
                <c:pt idx="0">
                  <c:v>28</c:v>
                </c:pt>
                <c:pt idx="1">
                  <c:v>30</c:v>
                </c:pt>
                <c:pt idx="2">
                  <c:v>33</c:v>
                </c:pt>
                <c:pt idx="3">
                  <c:v>23</c:v>
                </c:pt>
                <c:pt idx="4">
                  <c:v>37</c:v>
                </c:pt>
                <c:pt idx="5">
                  <c:v>35</c:v>
                </c:pt>
                <c:pt idx="6">
                  <c:v>40</c:v>
                </c:pt>
                <c:pt idx="7">
                  <c:v>34</c:v>
                </c:pt>
                <c:pt idx="8">
                  <c:v>37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B-4A05-9E7C-C02DCD9DD6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1766431"/>
        <c:axId val="69125903"/>
      </c:barChart>
      <c:catAx>
        <c:axId val="212176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endParaRPr lang="en-IN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5903"/>
        <c:crosses val="autoZero"/>
        <c:auto val="1"/>
        <c:lblAlgn val="ctr"/>
        <c:lblOffset val="100"/>
        <c:noMultiLvlLbl val="0"/>
      </c:catAx>
      <c:valAx>
        <c:axId val="6912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Customers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766431"/>
        <c:crosses val="autoZero"/>
        <c:crossBetween val="between"/>
      </c:valAx>
    </c:plotArea>
    <c:plotVisOnly val="1"/>
    <c:dispBlanksAs val="gap"/>
    <c:showDLblsOverMax val="1"/>
  </c:chart>
  <c:spPr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</xdr:row>
      <xdr:rowOff>53340</xdr:rowOff>
    </xdr:from>
    <xdr:to>
      <xdr:col>6</xdr:col>
      <xdr:colOff>327660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388620</xdr:colOff>
      <xdr:row>2</xdr:row>
      <xdr:rowOff>45720</xdr:rowOff>
    </xdr:from>
    <xdr:to>
      <xdr:col>12</xdr:col>
      <xdr:colOff>289560</xdr:colOff>
      <xdr:row>15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358141</xdr:colOff>
      <xdr:row>2</xdr:row>
      <xdr:rowOff>22860</xdr:rowOff>
    </xdr:from>
    <xdr:to>
      <xdr:col>18</xdr:col>
      <xdr:colOff>281941</xdr:colOff>
      <xdr:row>15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20</xdr:row>
      <xdr:rowOff>169334</xdr:rowOff>
    </xdr:from>
    <xdr:to>
      <xdr:col>6</xdr:col>
      <xdr:colOff>495300</xdr:colOff>
      <xdr:row>35</xdr:row>
      <xdr:rowOff>118534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28575</xdr:colOff>
      <xdr:row>20</xdr:row>
      <xdr:rowOff>161925</xdr:rowOff>
    </xdr:from>
    <xdr:to>
      <xdr:col>12</xdr:col>
      <xdr:colOff>571500</xdr:colOff>
      <xdr:row>36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57150</xdr:colOff>
      <xdr:row>20</xdr:row>
      <xdr:rowOff>171450</xdr:rowOff>
    </xdr:from>
    <xdr:to>
      <xdr:col>19</xdr:col>
      <xdr:colOff>314325</xdr:colOff>
      <xdr:row>36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42</xdr:row>
      <xdr:rowOff>58510</xdr:rowOff>
    </xdr:from>
    <xdr:to>
      <xdr:col>4</xdr:col>
      <xdr:colOff>371475</xdr:colOff>
      <xdr:row>57</xdr:row>
      <xdr:rowOff>87085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10885</xdr:colOff>
      <xdr:row>42</xdr:row>
      <xdr:rowOff>43543</xdr:rowOff>
    </xdr:from>
    <xdr:to>
      <xdr:col>11</xdr:col>
      <xdr:colOff>227550</xdr:colOff>
      <xdr:row>57</xdr:row>
      <xdr:rowOff>10886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19</xdr:col>
      <xdr:colOff>304800</xdr:colOff>
      <xdr:row>56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0.490886458327" createdVersion="8" refreshedVersion="8" minRefreshableVersion="3" recordCount="2000" xr:uid="{00000000-000A-0000-FFFF-FFFF00000000}">
  <cacheSource type="worksheet">
    <worksheetSource name="Table1"/>
  </cacheSource>
  <cacheFields count="21">
    <cacheField name="Customer_ID" numFmtId="0">
      <sharedItems/>
    </cacheField>
    <cacheField name="Age" numFmtId="1">
      <sharedItems containsSemiMixedTypes="0" containsString="0" containsNumber="1" containsInteger="1" minValue="18" maxValue="65"/>
    </cacheField>
    <cacheField name="Gender" numFmtId="0">
      <sharedItems/>
    </cacheField>
    <cacheField name="City" numFmtId="0">
      <sharedItems/>
    </cacheField>
    <cacheField name="Customer_Segment" numFmtId="0">
      <sharedItems count="4">
        <s v="New"/>
        <s v="Regular"/>
        <s v="Loyal"/>
        <s v="At Risk"/>
      </sharedItems>
    </cacheField>
    <cacheField name="Registration_Date" numFmtId="14">
      <sharedItems containsSemiMixedTypes="0" containsNonDate="0" containsDate="1" containsString="0" minDate="2024-01-01T00:00:00" maxDate="2025-12-02T00:00:00" count="668">
        <d v="2024-09-11T00:00:00"/>
        <d v="2025-11-09T00:00:00"/>
        <d v="2025-08-09T00:00:00"/>
        <d v="2025-05-03T00:00:00"/>
        <d v="2025-05-15T00:00:00"/>
        <d v="2024-06-17T00:00:00"/>
        <d v="2024-03-26T00:00:00"/>
        <d v="2025-04-07T00:00:00"/>
        <d v="2025-04-29T00:00:00"/>
        <d v="2024-04-12T00:00:00"/>
        <d v="2025-04-11T00:00:00"/>
        <d v="2025-04-19T00:00:00"/>
        <d v="2025-05-17T00:00:00"/>
        <d v="2024-06-11T00:00:00"/>
        <d v="2024-11-13T00:00:00"/>
        <d v="2024-02-17T00:00:00"/>
        <d v="2024-02-20T00:00:00"/>
        <d v="2024-05-22T00:00:00"/>
        <d v="2024-05-27T00:00:00"/>
        <d v="2025-11-03T00:00:00"/>
        <d v="2024-08-23T00:00:00"/>
        <d v="2024-10-04T00:00:00"/>
        <d v="2025-06-07T00:00:00"/>
        <d v="2025-09-20T00:00:00"/>
        <d v="2024-09-26T00:00:00"/>
        <d v="2024-07-20T00:00:00"/>
        <d v="2024-05-26T00:00:00"/>
        <d v="2025-04-16T00:00:00"/>
        <d v="2024-06-24T00:00:00"/>
        <d v="2024-08-09T00:00:00"/>
        <d v="2024-02-05T00:00:00"/>
        <d v="2025-05-13T00:00:00"/>
        <d v="2025-04-20T00:00:00"/>
        <d v="2025-05-10T00:00:00"/>
        <d v="2025-03-14T00:00:00"/>
        <d v="2025-02-11T00:00:00"/>
        <d v="2025-10-08T00:00:00"/>
        <d v="2025-02-14T00:00:00"/>
        <d v="2025-09-13T00:00:00"/>
        <d v="2024-11-27T00:00:00"/>
        <d v="2024-12-06T00:00:00"/>
        <d v="2024-10-11T00:00:00"/>
        <d v="2024-06-10T00:00:00"/>
        <d v="2024-06-08T00:00:00"/>
        <d v="2024-11-04T00:00:00"/>
        <d v="2024-10-10T00:00:00"/>
        <d v="2025-02-07T00:00:00"/>
        <d v="2025-08-30T00:00:00"/>
        <d v="2024-08-19T00:00:00"/>
        <d v="2024-12-13T00:00:00"/>
        <d v="2025-07-26T00:00:00"/>
        <d v="2025-05-12T00:00:00"/>
        <d v="2024-03-21T00:00:00"/>
        <d v="2025-10-27T00:00:00"/>
        <d v="2025-06-21T00:00:00"/>
        <d v="2024-04-01T00:00:00"/>
        <d v="2025-01-12T00:00:00"/>
        <d v="2024-12-10T00:00:00"/>
        <d v="2025-08-14T00:00:00"/>
        <d v="2024-08-24T00:00:00"/>
        <d v="2025-05-27T00:00:00"/>
        <d v="2024-07-26T00:00:00"/>
        <d v="2025-02-27T00:00:00"/>
        <d v="2025-11-29T00:00:00"/>
        <d v="2025-07-04T00:00:00"/>
        <d v="2025-07-02T00:00:00"/>
        <d v="2024-10-20T00:00:00"/>
        <d v="2024-02-06T00:00:00"/>
        <d v="2024-07-01T00:00:00"/>
        <d v="2025-10-05T00:00:00"/>
        <d v="2024-12-27T00:00:00"/>
        <d v="2024-05-14T00:00:00"/>
        <d v="2025-06-05T00:00:00"/>
        <d v="2024-11-16T00:00:00"/>
        <d v="2024-10-26T00:00:00"/>
        <d v="2025-05-04T00:00:00"/>
        <d v="2024-04-03T00:00:00"/>
        <d v="2025-09-09T00:00:00"/>
        <d v="2024-11-11T00:00:00"/>
        <d v="2024-07-16T00:00:00"/>
        <d v="2024-05-29T00:00:00"/>
        <d v="2024-08-10T00:00:00"/>
        <d v="2024-08-02T00:00:00"/>
        <d v="2024-01-18T00:00:00"/>
        <d v="2024-06-25T00:00:00"/>
        <d v="2024-09-16T00:00:00"/>
        <d v="2024-08-04T00:00:00"/>
        <d v="2025-08-16T00:00:00"/>
        <d v="2025-09-24T00:00:00"/>
        <d v="2025-06-19T00:00:00"/>
        <d v="2025-07-08T00:00:00"/>
        <d v="2024-07-07T00:00:00"/>
        <d v="2025-04-27T00:00:00"/>
        <d v="2024-06-06T00:00:00"/>
        <d v="2024-07-14T00:00:00"/>
        <d v="2024-06-15T00:00:00"/>
        <d v="2025-11-07T00:00:00"/>
        <d v="2024-07-31T00:00:00"/>
        <d v="2024-08-07T00:00:00"/>
        <d v="2025-05-28T00:00:00"/>
        <d v="2024-06-14T00:00:00"/>
        <d v="2025-01-16T00:00:00"/>
        <d v="2025-03-07T00:00:00"/>
        <d v="2025-04-09T00:00:00"/>
        <d v="2024-07-19T00:00:00"/>
        <d v="2025-06-17T00:00:00"/>
        <d v="2025-07-13T00:00:00"/>
        <d v="2025-01-06T00:00:00"/>
        <d v="2024-08-28T00:00:00"/>
        <d v="2024-07-02T00:00:00"/>
        <d v="2024-10-21T00:00:00"/>
        <d v="2024-03-19T00:00:00"/>
        <d v="2024-05-21T00:00:00"/>
        <d v="2024-12-12T00:00:00"/>
        <d v="2024-10-29T00:00:00"/>
        <d v="2024-08-08T00:00:00"/>
        <d v="2024-10-07T00:00:00"/>
        <d v="2024-07-27T00:00:00"/>
        <d v="2024-05-24T00:00:00"/>
        <d v="2024-11-12T00:00:00"/>
        <d v="2024-06-13T00:00:00"/>
        <d v="2024-03-10T00:00:00"/>
        <d v="2024-01-01T00:00:00"/>
        <d v="2025-02-16T00:00:00"/>
        <d v="2024-07-03T00:00:00"/>
        <d v="2025-03-25T00:00:00"/>
        <d v="2024-02-26T00:00:00"/>
        <d v="2025-02-21T00:00:00"/>
        <d v="2024-10-08T00:00:00"/>
        <d v="2024-07-10T00:00:00"/>
        <d v="2024-02-21T00:00:00"/>
        <d v="2024-07-09T00:00:00"/>
        <d v="2025-10-22T00:00:00"/>
        <d v="2024-03-06T00:00:00"/>
        <d v="2024-04-07T00:00:00"/>
        <d v="2024-03-30T00:00:00"/>
        <d v="2025-10-04T00:00:00"/>
        <d v="2025-09-30T00:00:00"/>
        <d v="2024-11-01T00:00:00"/>
        <d v="2024-11-22T00:00:00"/>
        <d v="2025-07-17T00:00:00"/>
        <d v="2024-02-13T00:00:00"/>
        <d v="2025-02-12T00:00:00"/>
        <d v="2024-01-02T00:00:00"/>
        <d v="2025-01-10T00:00:00"/>
        <d v="2024-07-28T00:00:00"/>
        <d v="2025-09-18T00:00:00"/>
        <d v="2024-07-13T00:00:00"/>
        <d v="2025-08-13T00:00:00"/>
        <d v="2025-05-09T00:00:00"/>
        <d v="2025-02-02T00:00:00"/>
        <d v="2024-08-31T00:00:00"/>
        <d v="2025-08-26T00:00:00"/>
        <d v="2025-01-01T00:00:00"/>
        <d v="2025-11-11T00:00:00"/>
        <d v="2024-06-30T00:00:00"/>
        <d v="2025-07-27T00:00:00"/>
        <d v="2024-10-19T00:00:00"/>
        <d v="2024-04-04T00:00:00"/>
        <d v="2024-08-14T00:00:00"/>
        <d v="2024-05-06T00:00:00"/>
        <d v="2025-06-01T00:00:00"/>
        <d v="2025-06-14T00:00:00"/>
        <d v="2024-12-04T00:00:00"/>
        <d v="2024-01-15T00:00:00"/>
        <d v="2025-10-15T00:00:00"/>
        <d v="2025-03-17T00:00:00"/>
        <d v="2025-09-15T00:00:00"/>
        <d v="2024-10-22T00:00:00"/>
        <d v="2025-11-20T00:00:00"/>
        <d v="2025-09-12T00:00:00"/>
        <d v="2024-10-17T00:00:00"/>
        <d v="2025-07-10T00:00:00"/>
        <d v="2024-01-28T00:00:00"/>
        <d v="2024-03-15T00:00:00"/>
        <d v="2025-06-12T00:00:00"/>
        <d v="2025-10-11T00:00:00"/>
        <d v="2025-09-27T00:00:00"/>
        <d v="2024-12-19T00:00:00"/>
        <d v="2024-04-24T00:00:00"/>
        <d v="2024-05-05T00:00:00"/>
        <d v="2024-09-03T00:00:00"/>
        <d v="2024-06-12T00:00:00"/>
        <d v="2024-11-09T00:00:00"/>
        <d v="2025-02-09T00:00:00"/>
        <d v="2024-07-24T00:00:00"/>
        <d v="2024-11-29T00:00:00"/>
        <d v="2024-04-15T00:00:00"/>
        <d v="2024-09-21T00:00:00"/>
        <d v="2025-03-27T00:00:00"/>
        <d v="2025-05-26T00:00:00"/>
        <d v="2025-06-29T00:00:00"/>
        <d v="2025-07-15T00:00:00"/>
        <d v="2024-02-01T00:00:00"/>
        <d v="2024-04-28T00:00:00"/>
        <d v="2025-04-23T00:00:00"/>
        <d v="2025-02-05T00:00:00"/>
        <d v="2025-11-08T00:00:00"/>
        <d v="2024-08-29T00:00:00"/>
        <d v="2024-11-02T00:00:00"/>
        <d v="2024-04-13T00:00:00"/>
        <d v="2024-08-18T00:00:00"/>
        <d v="2024-06-19T00:00:00"/>
        <d v="2024-11-14T00:00:00"/>
        <d v="2024-10-16T00:00:00"/>
        <d v="2025-10-31T00:00:00"/>
        <d v="2025-11-28T00:00:00"/>
        <d v="2024-04-10T00:00:00"/>
        <d v="2025-01-29T00:00:00"/>
        <d v="2024-10-31T00:00:00"/>
        <d v="2024-09-17T00:00:00"/>
        <d v="2024-12-03T00:00:00"/>
        <d v="2025-08-31T00:00:00"/>
        <d v="2024-12-16T00:00:00"/>
        <d v="2025-11-17T00:00:00"/>
        <d v="2024-09-07T00:00:00"/>
        <d v="2025-08-28T00:00:00"/>
        <d v="2024-03-22T00:00:00"/>
        <d v="2025-04-04T00:00:00"/>
        <d v="2025-07-12T00:00:00"/>
        <d v="2024-06-29T00:00:00"/>
        <d v="2024-05-13T00:00:00"/>
        <d v="2024-08-30T00:00:00"/>
        <d v="2024-11-18T00:00:00"/>
        <d v="2024-01-08T00:00:00"/>
        <d v="2025-07-25T00:00:00"/>
        <d v="2024-10-28T00:00:00"/>
        <d v="2025-08-19T00:00:00"/>
        <d v="2025-07-19T00:00:00"/>
        <d v="2025-10-10T00:00:00"/>
        <d v="2024-02-16T00:00:00"/>
        <d v="2024-12-21T00:00:00"/>
        <d v="2025-10-30T00:00:00"/>
        <d v="2025-09-16T00:00:00"/>
        <d v="2024-09-08T00:00:00"/>
        <d v="2024-01-31T00:00:00"/>
        <d v="2025-08-08T00:00:00"/>
        <d v="2025-04-01T00:00:00"/>
        <d v="2024-05-04T00:00:00"/>
        <d v="2025-07-07T00:00:00"/>
        <d v="2024-12-11T00:00:00"/>
        <d v="2024-07-11T00:00:00"/>
        <d v="2025-03-08T00:00:00"/>
        <d v="2024-01-09T00:00:00"/>
        <d v="2024-12-25T00:00:00"/>
        <d v="2025-05-18T00:00:00"/>
        <d v="2024-03-24T00:00:00"/>
        <d v="2024-08-11T00:00:00"/>
        <d v="2025-09-07T00:00:00"/>
        <d v="2024-01-17T00:00:00"/>
        <d v="2025-08-02T00:00:00"/>
        <d v="2024-01-14T00:00:00"/>
        <d v="2024-12-15T00:00:00"/>
        <d v="2024-02-08T00:00:00"/>
        <d v="2024-03-20T00:00:00"/>
        <d v="2025-01-17T00:00:00"/>
        <d v="2025-05-25T00:00:00"/>
        <d v="2025-01-14T00:00:00"/>
        <d v="2024-12-31T00:00:00"/>
        <d v="2024-06-01T00:00:00"/>
        <d v="2025-10-25T00:00:00"/>
        <d v="2024-12-05T00:00:00"/>
        <d v="2024-09-09T00:00:00"/>
        <d v="2025-03-22T00:00:00"/>
        <d v="2025-04-05T00:00:00"/>
        <d v="2025-09-14T00:00:00"/>
        <d v="2025-04-18T00:00:00"/>
        <d v="2025-08-06T00:00:00"/>
        <d v="2024-12-01T00:00:00"/>
        <d v="2025-05-14T00:00:00"/>
        <d v="2024-01-03T00:00:00"/>
        <d v="2024-10-27T00:00:00"/>
        <d v="2025-08-27T00:00:00"/>
        <d v="2025-11-06T00:00:00"/>
        <d v="2025-05-16T00:00:00"/>
        <d v="2024-06-18T00:00:00"/>
        <d v="2024-01-04T00:00:00"/>
        <d v="2024-03-31T00:00:00"/>
        <d v="2024-10-24T00:00:00"/>
        <d v="2025-06-16T00:00:00"/>
        <d v="2024-10-02T00:00:00"/>
        <d v="2025-06-15T00:00:00"/>
        <d v="2024-04-14T00:00:00"/>
        <d v="2024-09-12T00:00:00"/>
        <d v="2024-10-14T00:00:00"/>
        <d v="2025-05-29T00:00:00"/>
        <d v="2024-11-19T00:00:00"/>
        <d v="2024-02-09T00:00:00"/>
        <d v="2025-02-04T00:00:00"/>
        <d v="2025-01-26T00:00:00"/>
        <d v="2025-03-16T00:00:00"/>
        <d v="2024-04-11T00:00:00"/>
        <d v="2024-11-17T00:00:00"/>
        <d v="2025-03-28T00:00:00"/>
        <d v="2024-01-27T00:00:00"/>
        <d v="2024-03-07T00:00:00"/>
        <d v="2024-12-23T00:00:00"/>
        <d v="2025-04-28T00:00:00"/>
        <d v="2025-05-07T00:00:00"/>
        <d v="2025-10-12T00:00:00"/>
        <d v="2025-07-31T00:00:00"/>
        <d v="2025-06-03T00:00:00"/>
        <d v="2024-04-08T00:00:00"/>
        <d v="2025-02-20T00:00:00"/>
        <d v="2024-03-04T00:00:00"/>
        <d v="2025-11-26T00:00:00"/>
        <d v="2025-05-30T00:00:00"/>
        <d v="2024-12-24T00:00:00"/>
        <d v="2025-03-21T00:00:00"/>
        <d v="2024-04-23T00:00:00"/>
        <d v="2025-03-31T00:00:00"/>
        <d v="2024-03-13T00:00:00"/>
        <d v="2024-12-26T00:00:00"/>
        <d v="2025-01-13T00:00:00"/>
        <d v="2025-05-02T00:00:00"/>
        <d v="2025-03-30T00:00:00"/>
        <d v="2024-12-07T00:00:00"/>
        <d v="2024-01-23T00:00:00"/>
        <d v="2024-04-05T00:00:00"/>
        <d v="2024-04-19T00:00:00"/>
        <d v="2025-09-01T00:00:00"/>
        <d v="2024-05-15T00:00:00"/>
        <d v="2024-08-06T00:00:00"/>
        <d v="2024-09-27T00:00:00"/>
        <d v="2025-08-25T00:00:00"/>
        <d v="2025-02-06T00:00:00"/>
        <d v="2024-02-25T00:00:00"/>
        <d v="2024-06-04T00:00:00"/>
        <d v="2024-08-22T00:00:00"/>
        <d v="2024-04-16T00:00:00"/>
        <d v="2024-11-24T00:00:00"/>
        <d v="2024-02-10T00:00:00"/>
        <d v="2024-05-31T00:00:00"/>
        <d v="2025-06-30T00:00:00"/>
        <d v="2025-06-04T00:00:00"/>
        <d v="2024-08-12T00:00:00"/>
        <d v="2024-02-27T00:00:00"/>
        <d v="2024-03-29T00:00:00"/>
        <d v="2024-11-26T00:00:00"/>
        <d v="2025-07-05T00:00:00"/>
        <d v="2025-07-06T00:00:00"/>
        <d v="2025-03-26T00:00:00"/>
        <d v="2025-01-23T00:00:00"/>
        <d v="2024-05-08T00:00:00"/>
        <d v="2024-06-28T00:00:00"/>
        <d v="2024-07-22T00:00:00"/>
        <d v="2024-02-07T00:00:00"/>
        <d v="2025-09-08T00:00:00"/>
        <d v="2025-11-05T00:00:00"/>
        <d v="2024-06-05T00:00:00"/>
        <d v="2025-06-13T00:00:00"/>
        <d v="2024-03-09T00:00:00"/>
        <d v="2025-01-24T00:00:00"/>
        <d v="2024-08-17T00:00:00"/>
        <d v="2025-06-27T00:00:00"/>
        <d v="2025-06-08T00:00:00"/>
        <d v="2025-09-04T00:00:00"/>
        <d v="2024-05-17T00:00:00"/>
        <d v="2024-04-06T00:00:00"/>
        <d v="2025-03-20T00:00:00"/>
        <d v="2025-10-14T00:00:00"/>
        <d v="2024-10-09T00:00:00"/>
        <d v="2024-12-02T00:00:00"/>
        <d v="2024-04-18T00:00:00"/>
        <d v="2024-12-09T00:00:00"/>
        <d v="2024-09-24T00:00:00"/>
        <d v="2025-07-20T00:00:00"/>
        <d v="2024-06-26T00:00:00"/>
        <d v="2025-11-15T00:00:00"/>
        <d v="2024-07-06T00:00:00"/>
        <d v="2024-06-23T00:00:00"/>
        <d v="2024-04-30T00:00:00"/>
        <d v="2025-10-20T00:00:00"/>
        <d v="2025-11-19T00:00:00"/>
        <d v="2025-03-23T00:00:00"/>
        <d v="2025-05-31T00:00:00"/>
        <d v="2024-05-02T00:00:00"/>
        <d v="2025-11-23T00:00:00"/>
        <d v="2024-02-11T00:00:00"/>
        <d v="2024-05-23T00:00:00"/>
        <d v="2024-01-22T00:00:00"/>
        <d v="2025-10-21T00:00:00"/>
        <d v="2024-09-04T00:00:00"/>
        <d v="2025-06-26T00:00:00"/>
        <d v="2024-03-05T00:00:00"/>
        <d v="2024-02-18T00:00:00"/>
        <d v="2025-04-02T00:00:00"/>
        <d v="2025-08-23T00:00:00"/>
        <d v="2024-11-06T00:00:00"/>
        <d v="2024-09-14T00:00:00"/>
        <d v="2024-10-12T00:00:00"/>
        <d v="2025-06-09T00:00:00"/>
        <d v="2025-01-19T00:00:00"/>
        <d v="2024-11-05T00:00:00"/>
        <d v="2024-02-24T00:00:00"/>
        <d v="2024-04-29T00:00:00"/>
        <d v="2025-02-08T00:00:00"/>
        <d v="2024-03-12T00:00:00"/>
        <d v="2024-02-04T00:00:00"/>
        <d v="2024-10-05T00:00:00"/>
        <d v="2025-02-01T00:00:00"/>
        <d v="2024-11-08T00:00:00"/>
        <d v="2025-05-21T00:00:00"/>
        <d v="2025-03-05T00:00:00"/>
        <d v="2024-07-21T00:00:00"/>
        <d v="2025-11-14T00:00:00"/>
        <d v="2025-07-01T00:00:00"/>
        <d v="2024-08-16T00:00:00"/>
        <d v="2024-06-27T00:00:00"/>
        <d v="2025-02-24T00:00:00"/>
        <d v="2024-05-16T00:00:00"/>
        <d v="2025-05-11T00:00:00"/>
        <d v="2025-11-22T00:00:00"/>
        <d v="2025-01-31T00:00:00"/>
        <d v="2024-09-29T00:00:00"/>
        <d v="2024-11-15T00:00:00"/>
        <d v="2024-01-25T00:00:00"/>
        <d v="2024-02-15T00:00:00"/>
        <d v="2025-02-19T00:00:00"/>
        <d v="2025-08-12T00:00:00"/>
        <d v="2025-06-24T00:00:00"/>
        <d v="2025-08-05T00:00:00"/>
        <d v="2025-03-12T00:00:00"/>
        <d v="2025-09-29T00:00:00"/>
        <d v="2024-08-01T00:00:00"/>
        <d v="2025-10-17T00:00:00"/>
        <d v="2025-06-25T00:00:00"/>
        <d v="2024-09-13T00:00:00"/>
        <d v="2025-11-12T00:00:00"/>
        <d v="2024-09-10T00:00:00"/>
        <d v="2024-05-28T00:00:00"/>
        <d v="2025-03-11T00:00:00"/>
        <d v="2025-04-14T00:00:00"/>
        <d v="2024-05-25T00:00:00"/>
        <d v="2025-03-02T00:00:00"/>
        <d v="2024-02-12T00:00:00"/>
        <d v="2025-09-02T00:00:00"/>
        <d v="2024-07-12T00:00:00"/>
        <d v="2024-07-08T00:00:00"/>
        <d v="2024-02-28T00:00:00"/>
        <d v="2025-10-29T00:00:00"/>
        <d v="2024-11-03T00:00:00"/>
        <d v="2025-04-15T00:00:00"/>
        <d v="2024-01-13T00:00:00"/>
        <d v="2025-08-21T00:00:00"/>
        <d v="2025-10-26T00:00:00"/>
        <d v="2025-09-26T00:00:00"/>
        <d v="2025-08-01T00:00:00"/>
        <d v="2024-03-17T00:00:00"/>
        <d v="2024-07-04T00:00:00"/>
        <d v="2025-10-02T00:00:00"/>
        <d v="2024-05-18T00:00:00"/>
        <d v="2024-10-18T00:00:00"/>
        <d v="2025-04-21T00:00:00"/>
        <d v="2025-08-20T00:00:00"/>
        <d v="2025-04-06T00:00:00"/>
        <d v="2024-12-14T00:00:00"/>
        <d v="2025-01-11T00:00:00"/>
        <d v="2024-07-30T00:00:00"/>
        <d v="2024-02-03T00:00:00"/>
        <d v="2025-02-15T00:00:00"/>
        <d v="2024-12-18T00:00:00"/>
        <d v="2025-08-11T00:00:00"/>
        <d v="2024-03-02T00:00:00"/>
        <d v="2025-07-21T00:00:00"/>
        <d v="2025-08-18T00:00:00"/>
        <d v="2025-02-23T00:00:00"/>
        <d v="2025-08-15T00:00:00"/>
        <d v="2025-05-22T00:00:00"/>
        <d v="2024-09-25T00:00:00"/>
        <d v="2025-10-16T00:00:00"/>
        <d v="2025-07-22T00:00:00"/>
        <d v="2024-05-30T00:00:00"/>
        <d v="2024-02-23T00:00:00"/>
        <d v="2024-03-16T00:00:00"/>
        <d v="2025-02-25T00:00:00"/>
        <d v="2025-11-16T00:00:00"/>
        <d v="2024-02-14T00:00:00"/>
        <d v="2024-05-10T00:00:00"/>
        <d v="2025-02-18T00:00:00"/>
        <d v="2024-06-09T00:00:00"/>
        <d v="2024-03-27T00:00:00"/>
        <d v="2024-12-22T00:00:00"/>
        <d v="2024-05-01T00:00:00"/>
        <d v="2025-08-04T00:00:00"/>
        <d v="2024-04-09T00:00:00"/>
        <d v="2025-03-01T00:00:00"/>
        <d v="2024-11-07T00:00:00"/>
        <d v="2024-07-15T00:00:00"/>
        <d v="2024-08-27T00:00:00"/>
        <d v="2024-07-23T00:00:00"/>
        <d v="2024-01-21T00:00:00"/>
        <d v="2024-04-02T00:00:00"/>
        <d v="2025-03-06T00:00:00"/>
        <d v="2025-03-09T00:00:00"/>
        <d v="2024-11-25T00:00:00"/>
        <d v="2024-01-05T00:00:00"/>
        <d v="2024-04-20T00:00:00"/>
        <d v="2025-08-29T00:00:00"/>
        <d v="2025-02-03T00:00:00"/>
        <d v="2024-06-22T00:00:00"/>
        <d v="2024-11-23T00:00:00"/>
        <d v="2025-08-03T00:00:00"/>
        <d v="2025-05-06T00:00:00"/>
        <d v="2025-02-28T00:00:00"/>
        <d v="2025-10-03T00:00:00"/>
        <d v="2025-06-20T00:00:00"/>
        <d v="2025-03-18T00:00:00"/>
        <d v="2024-08-21T00:00:00"/>
        <d v="2025-04-08T00:00:00"/>
        <d v="2024-09-05T00:00:00"/>
        <d v="2025-06-18T00:00:00"/>
        <d v="2025-04-26T00:00:00"/>
        <d v="2024-04-25T00:00:00"/>
        <d v="2025-10-06T00:00:00"/>
        <d v="2025-01-30T00:00:00"/>
        <d v="2025-04-13T00:00:00"/>
        <d v="2025-09-11T00:00:00"/>
        <d v="2024-08-15T00:00:00"/>
        <d v="2025-05-05T00:00:00"/>
        <d v="2024-09-28T00:00:00"/>
        <d v="2025-05-19T00:00:00"/>
        <d v="2024-03-14T00:00:00"/>
        <d v="2024-02-19T00:00:00"/>
        <d v="2025-10-09T00:00:00"/>
        <d v="2025-07-23T00:00:00"/>
        <d v="2024-05-12T00:00:00"/>
        <d v="2025-02-17T00:00:00"/>
        <d v="2024-01-10T00:00:00"/>
        <d v="2024-06-21T00:00:00"/>
        <d v="2025-10-01T00:00:00"/>
        <d v="2025-03-13T00:00:00"/>
        <d v="2024-02-02T00:00:00"/>
        <d v="2025-01-25T00:00:00"/>
        <d v="2025-01-02T00:00:00"/>
        <d v="2024-09-23T00:00:00"/>
        <d v="2024-10-25T00:00:00"/>
        <d v="2025-09-25T00:00:00"/>
        <d v="2025-04-30T00:00:00"/>
        <d v="2025-11-25T00:00:00"/>
        <d v="2025-11-13T00:00:00"/>
        <d v="2024-11-30T00:00:00"/>
        <d v="2024-03-11T00:00:00"/>
        <d v="2024-06-16T00:00:00"/>
        <d v="2025-11-21T00:00:00"/>
        <d v="2024-05-11T00:00:00"/>
        <d v="2024-08-05T00:00:00"/>
        <d v="2025-06-02T00:00:00"/>
        <d v="2024-06-07T00:00:00"/>
        <d v="2024-03-18T00:00:00"/>
        <d v="2025-03-04T00:00:00"/>
        <d v="2024-07-29T00:00:00"/>
        <d v="2025-12-01T00:00:00"/>
        <d v="2025-04-24T00:00:00"/>
        <d v="2025-04-12T00:00:00"/>
        <d v="2024-10-23T00:00:00"/>
        <d v="2024-07-18T00:00:00"/>
        <d v="2025-11-01T00:00:00"/>
        <d v="2024-04-17T00:00:00"/>
        <d v="2024-10-13T00:00:00"/>
        <d v="2025-07-03T00:00:00"/>
        <d v="2025-07-24T00:00:00"/>
        <d v="2024-06-03T00:00:00"/>
        <d v="2024-01-30T00:00:00"/>
        <d v="2024-01-26T00:00:00"/>
        <d v="2025-03-10T00:00:00"/>
        <d v="2025-08-10T00:00:00"/>
        <d v="2025-09-03T00:00:00"/>
        <d v="2025-11-24T00:00:00"/>
        <d v="2025-01-27T00:00:00"/>
        <d v="2025-05-24T00:00:00"/>
        <d v="2025-04-22T00:00:00"/>
        <d v="2025-08-24T00:00:00"/>
        <d v="2024-09-20T00:00:00"/>
        <d v="2024-10-01T00:00:00"/>
        <d v="2024-09-30T00:00:00"/>
        <d v="2025-02-22T00:00:00"/>
        <d v="2025-03-24T00:00:00"/>
        <d v="2025-04-25T00:00:00"/>
        <d v="2024-09-15T00:00:00"/>
        <d v="2024-12-17T00:00:00"/>
        <d v="2025-01-04T00:00:00"/>
        <d v="2024-05-20T00:00:00"/>
        <d v="2024-02-22T00:00:00"/>
        <d v="2025-09-28T00:00:00"/>
        <d v="2025-09-10T00:00:00"/>
        <d v="2024-09-18T00:00:00"/>
        <d v="2024-01-12T00:00:00"/>
        <d v="2025-03-15T00:00:00"/>
        <d v="2025-10-13T00:00:00"/>
        <d v="2025-01-18T00:00:00"/>
        <d v="2024-04-22T00:00:00"/>
        <d v="2025-11-30T00:00:00"/>
        <d v="2025-09-21T00:00:00"/>
        <d v="2025-11-04T00:00:00"/>
        <d v="2025-06-22T00:00:00"/>
        <d v="2025-02-26T00:00:00"/>
        <d v="2024-01-11T00:00:00"/>
        <d v="2025-06-06T00:00:00"/>
        <d v="2024-05-09T00:00:00"/>
        <d v="2024-03-03T00:00:00"/>
        <d v="2025-06-10T00:00:00"/>
        <d v="2024-11-20T00:00:00"/>
        <d v="2024-01-07T00:00:00"/>
        <d v="2024-05-07T00:00:00"/>
        <d v="2024-11-28T00:00:00"/>
        <d v="2025-11-02T00:00:00"/>
        <d v="2024-08-03T00:00:00"/>
        <d v="2025-11-18T00:00:00"/>
        <d v="2024-10-03T00:00:00"/>
        <d v="2025-10-23T00:00:00"/>
        <d v="2025-04-10T00:00:00"/>
        <d v="2024-09-19T00:00:00"/>
        <d v="2025-09-05T00:00:00"/>
        <d v="2025-07-30T00:00:00"/>
        <d v="2024-09-01T00:00:00"/>
        <d v="2025-09-19T00:00:00"/>
        <d v="2024-06-02T00:00:00"/>
        <d v="2025-07-09T00:00:00"/>
        <d v="2025-01-15T00:00:00"/>
        <d v="2024-08-20T00:00:00"/>
        <d v="2025-05-01T00:00:00"/>
        <d v="2024-07-25T00:00:00"/>
        <d v="2024-08-26T00:00:00"/>
        <d v="2024-03-28T00:00:00"/>
        <d v="2025-03-03T00:00:00"/>
        <d v="2024-04-26T00:00:00"/>
        <d v="2024-10-15T00:00:00"/>
        <d v="2024-08-25T00:00:00"/>
        <d v="2025-08-07T00:00:00"/>
        <d v="2025-11-27T00:00:00"/>
        <d v="2025-08-17T00:00:00"/>
        <d v="2025-01-05T00:00:00"/>
        <d v="2025-09-23T00:00:00"/>
        <d v="2025-07-18T00:00:00"/>
        <d v="2025-09-06T00:00:00"/>
        <d v="2024-01-20T00:00:00"/>
        <d v="2024-01-06T00:00:00"/>
        <d v="2025-01-09T00:00:00"/>
        <d v="2025-01-21T00:00:00"/>
        <d v="2025-07-16T00:00:00"/>
        <d v="2024-12-20T00:00:00"/>
        <d v="2024-04-21T00:00:00"/>
        <d v="2024-07-05T00:00:00"/>
        <d v="2024-07-17T00:00:00"/>
        <d v="2025-03-19T00:00:00"/>
        <d v="2024-10-06T00:00:00"/>
        <d v="2024-12-28T00:00:00"/>
        <d v="2025-01-20T00:00:00"/>
        <d v="2025-10-19T00:00:00"/>
        <d v="2025-10-24T00:00:00"/>
        <d v="2024-05-19T00:00:00"/>
        <d v="2025-09-17T00:00:00"/>
        <d v="2024-09-06T00:00:00"/>
        <d v="2025-02-10T00:00:00"/>
        <d v="2024-05-03T00:00:00"/>
        <d v="2025-01-28T00:00:00"/>
        <d v="2024-12-29T00:00:00"/>
        <d v="2024-02-29T00:00:00"/>
        <d v="2025-03-29T00:00:00"/>
        <d v="2025-07-11T00:00:00"/>
        <d v="2024-12-30T00:00:00"/>
        <d v="2024-04-27T00:00:00"/>
        <d v="2025-05-23T00:00:00"/>
        <d v="2025-07-28T00:00:00"/>
        <d v="2025-10-18T00:00:00"/>
        <d v="2024-06-20T00:00:00"/>
        <d v="2024-08-13T00:00:00"/>
      </sharedItems>
      <fieldGroup par="20"/>
    </cacheField>
    <cacheField name="Last_Purchase_Date" numFmtId="14">
      <sharedItems containsSemiMixedTypes="0" containsNonDate="0" containsDate="1" containsString="0" minDate="2024-01-09T00:00:00" maxDate="2026-09-17T00:00:00" count="785">
        <d v="2025-03-27T00:00:00"/>
        <d v="2026-07-24T00:00:00"/>
        <d v="2026-02-25T00:00:00"/>
        <d v="2025-08-13T00:00:00"/>
        <d v="2025-11-14T00:00:00"/>
        <d v="2024-11-25T00:00:00"/>
        <d v="2024-07-10T00:00:00"/>
        <d v="2026-01-25T00:00:00"/>
        <d v="2025-08-17T00:00:00"/>
        <d v="2024-11-04T00:00:00"/>
        <d v="2025-09-19T00:00:00"/>
        <d v="2025-08-21T00:00:00"/>
        <d v="2025-08-18T00:00:00"/>
        <d v="2025-04-05T00:00:00"/>
        <d v="2025-06-24T00:00:00"/>
        <d v="2024-04-20T00:00:00"/>
        <d v="2024-09-02T00:00:00"/>
        <d v="2024-09-01T00:00:00"/>
        <d v="2024-07-02T00:00:00"/>
        <d v="2026-03-07T00:00:00"/>
        <d v="2025-04-08T00:00:00"/>
        <d v="2025-05-19T00:00:00"/>
        <d v="2026-03-24T00:00:00"/>
        <d v="2025-09-23T00:00:00"/>
        <d v="2026-02-08T00:00:00"/>
        <d v="2025-07-06T00:00:00"/>
        <d v="2024-12-01T00:00:00"/>
        <d v="2024-06-16T00:00:00"/>
        <d v="2025-11-09T00:00:00"/>
        <d v="2025-02-14T00:00:00"/>
        <d v="2024-12-25T00:00:00"/>
        <d v="2024-03-03T00:00:00"/>
        <d v="2025-07-23T00:00:00"/>
        <d v="2025-04-26T00:00:00"/>
        <d v="2026-02-05T00:00:00"/>
        <d v="2025-06-25T00:00:00"/>
        <d v="2025-07-16T00:00:00"/>
        <d v="2026-07-12T00:00:00"/>
        <d v="2025-03-14T00:00:00"/>
        <d v="2025-11-10T00:00:00"/>
        <d v="2025-03-25T00:00:00"/>
        <d v="2025-02-17T00:00:00"/>
        <d v="2024-10-14T00:00:00"/>
        <d v="2024-08-09T00:00:00"/>
        <d v="2025-04-02T00:00:00"/>
        <d v="2025-06-26T00:00:00"/>
        <d v="2024-12-13T00:00:00"/>
        <d v="2025-03-10T00:00:00"/>
        <d v="2026-01-16T00:00:00"/>
        <d v="2024-10-11T00:00:00"/>
        <d v="2025-08-05T00:00:00"/>
        <d v="2025-10-27T00:00:00"/>
        <d v="2026-02-02T00:00:00"/>
        <d v="2024-10-27T00:00:00"/>
        <d v="2026-02-28T00:00:00"/>
        <d v="2026-02-14T00:00:00"/>
        <d v="2024-07-07T00:00:00"/>
        <d v="2025-09-21T00:00:00"/>
        <d v="2025-06-17T00:00:00"/>
        <d v="2025-12-17T00:00:00"/>
        <d v="2024-10-03T00:00:00"/>
        <d v="2026-02-23T00:00:00"/>
        <d v="2025-07-09T00:00:00"/>
        <d v="2025-12-20T00:00:00"/>
        <d v="2025-07-11T00:00:00"/>
        <d v="2025-07-30T00:00:00"/>
        <d v="2025-06-18T00:00:00"/>
        <d v="2024-07-09T00:00:00"/>
        <d v="2026-06-05T00:00:00"/>
        <d v="2024-11-23T00:00:00"/>
        <d v="2025-10-22T00:00:00"/>
        <d v="2025-06-05T00:00:00"/>
        <d v="2025-05-17T00:00:00"/>
        <d v="2025-12-05T00:00:00"/>
        <d v="2024-07-29T00:00:00"/>
        <d v="2025-07-05T00:00:00"/>
        <d v="2025-12-18T00:00:00"/>
        <d v="2025-02-16T00:00:00"/>
        <d v="2025-04-04T00:00:00"/>
        <d v="2025-09-22T00:00:00"/>
        <d v="2024-06-29T00:00:00"/>
        <d v="2025-03-28T00:00:00"/>
        <d v="2024-11-28T00:00:00"/>
        <d v="2024-09-21T00:00:00"/>
        <d v="2025-08-04T00:00:00"/>
        <d v="2024-04-28T00:00:00"/>
        <d v="2024-05-07T00:00:00"/>
        <d v="2024-09-12T00:00:00"/>
        <d v="2025-02-24T00:00:00"/>
        <d v="2025-03-03T00:00:00"/>
        <d v="2025-12-07T00:00:00"/>
        <d v="2026-07-14T00:00:00"/>
        <d v="2025-12-01T00:00:00"/>
        <d v="2026-01-01T00:00:00"/>
        <d v="2024-08-18T00:00:00"/>
        <d v="2025-05-09T00:00:00"/>
        <d v="2024-11-30T00:00:00"/>
        <d v="2025-01-18T00:00:00"/>
        <d v="2025-01-04T00:00:00"/>
        <d v="2026-06-20T00:00:00"/>
        <d v="2024-09-10T00:00:00"/>
        <d v="2024-10-31T00:00:00"/>
        <d v="2025-12-11T00:00:00"/>
        <d v="2024-10-07T00:00:00"/>
        <d v="2024-08-15T00:00:00"/>
        <d v="2024-12-22T00:00:00"/>
        <d v="2025-09-02T00:00:00"/>
        <d v="2025-09-24T00:00:00"/>
        <d v="2025-12-27T00:00:00"/>
        <d v="2025-04-18T00:00:00"/>
        <d v="2025-08-09T00:00:00"/>
        <d v="2026-01-15T00:00:00"/>
        <d v="2026-01-10T00:00:00"/>
        <d v="2025-06-16T00:00:00"/>
        <d v="2025-01-03T00:00:00"/>
        <d v="2025-02-19T00:00:00"/>
        <d v="2025-05-27T00:00:00"/>
        <d v="2024-05-10T00:00:00"/>
        <d v="2025-03-13T00:00:00"/>
        <d v="2025-03-24T00:00:00"/>
        <d v="2025-08-15T00:00:00"/>
        <d v="2024-10-23T00:00:00"/>
        <d v="2025-07-08T00:00:00"/>
        <d v="2025-01-06T00:00:00"/>
        <d v="2024-12-16T00:00:00"/>
        <d v="2025-06-03T00:00:00"/>
        <d v="2024-07-05T00:00:00"/>
        <d v="2024-01-27T00:00:00"/>
        <d v="2025-06-13T00:00:00"/>
        <d v="2025-09-03T00:00:00"/>
        <d v="2024-08-02T00:00:00"/>
        <d v="2024-12-24T00:00:00"/>
        <d v="2025-05-12T00:00:00"/>
        <d v="2024-10-12T00:00:00"/>
        <d v="2024-08-22T00:00:00"/>
        <d v="2024-10-18T00:00:00"/>
        <d v="2025-12-02T00:00:00"/>
        <d v="2024-09-26T00:00:00"/>
        <d v="2024-11-14T00:00:00"/>
        <d v="2026-05-27T00:00:00"/>
        <d v="2026-05-03T00:00:00"/>
        <d v="2025-05-26T00:00:00"/>
        <d v="2026-03-27T00:00:00"/>
        <d v="2024-04-08T00:00:00"/>
        <d v="2025-06-29T00:00:00"/>
        <d v="2024-01-24T00:00:00"/>
        <d v="2024-09-27T00:00:00"/>
        <d v="2026-03-18T00:00:00"/>
        <d v="2024-10-02T00:00:00"/>
        <d v="2025-11-21T00:00:00"/>
        <d v="2025-12-09T00:00:00"/>
        <d v="2025-04-13T00:00:00"/>
        <d v="2025-12-29T00:00:00"/>
        <d v="2025-08-23T00:00:00"/>
        <d v="2025-03-02T00:00:00"/>
        <d v="2025-02-18T00:00:00"/>
        <d v="2025-04-17T00:00:00"/>
        <d v="2026-03-26T00:00:00"/>
        <d v="2025-07-21T00:00:00"/>
        <d v="2024-12-11T00:00:00"/>
        <d v="2024-08-16T00:00:00"/>
        <d v="2024-11-09T00:00:00"/>
        <d v="2025-10-25T00:00:00"/>
        <d v="2025-12-16T00:00:00"/>
        <d v="2025-07-29T00:00:00"/>
        <d v="2025-04-09T00:00:00"/>
        <d v="2026-02-04T00:00:00"/>
        <d v="2024-05-29T00:00:00"/>
        <d v="2025-10-18T00:00:00"/>
        <d v="2024-12-09T00:00:00"/>
        <d v="2025-11-20T00:00:00"/>
        <d v="2025-05-30T00:00:00"/>
        <d v="2025-11-17T00:00:00"/>
        <d v="2026-03-22T00:00:00"/>
        <d v="2026-08-19T00:00:00"/>
        <d v="2024-05-17T00:00:00"/>
        <d v="2025-06-07T00:00:00"/>
        <d v="2026-01-13T00:00:00"/>
        <d v="2024-03-05T00:00:00"/>
        <d v="2024-05-21T00:00:00"/>
        <d v="2026-03-05T00:00:00"/>
        <d v="2025-07-12T00:00:00"/>
        <d v="2026-07-10T00:00:00"/>
        <d v="2025-08-10T00:00:00"/>
        <d v="2024-10-13T00:00:00"/>
        <d v="2025-02-11T00:00:00"/>
        <d v="2024-09-28T00:00:00"/>
        <d v="2024-07-30T00:00:00"/>
        <d v="2025-07-07T00:00:00"/>
        <d v="2024-11-08T00:00:00"/>
        <d v="2024-04-21T00:00:00"/>
        <d v="2024-04-27T00:00:00"/>
        <d v="2025-06-23T00:00:00"/>
        <d v="2025-05-24T00:00:00"/>
        <d v="2025-12-21T00:00:00"/>
        <d v="2025-09-30T00:00:00"/>
        <d v="2026-02-18T00:00:00"/>
        <d v="2025-12-31T00:00:00"/>
        <d v="2024-06-05T00:00:00"/>
        <d v="2024-07-27T00:00:00"/>
        <d v="2025-07-18T00:00:00"/>
        <d v="2025-02-07T00:00:00"/>
        <d v="2025-10-09T00:00:00"/>
        <d v="2025-05-03T00:00:00"/>
        <d v="2025-05-29T00:00:00"/>
        <d v="2025-10-16T00:00:00"/>
        <d v="2025-05-07T00:00:00"/>
        <d v="2026-01-21T00:00:00"/>
        <d v="2025-08-25T00:00:00"/>
        <d v="2024-10-25T00:00:00"/>
        <d v="2025-04-23T00:00:00"/>
        <d v="2024-12-28T00:00:00"/>
        <d v="2024-10-15T00:00:00"/>
        <d v="2025-01-16T00:00:00"/>
        <d v="2024-07-17T00:00:00"/>
        <d v="2025-09-08T00:00:00"/>
        <d v="2024-10-28T00:00:00"/>
        <d v="2026-07-25T00:00:00"/>
        <d v="2024-05-02T00:00:00"/>
        <d v="2024-12-14T00:00:00"/>
        <d v="2025-08-31T00:00:00"/>
        <d v="2024-11-12T00:00:00"/>
        <d v="2025-01-07T00:00:00"/>
        <d v="2025-05-28T00:00:00"/>
        <d v="2025-05-06T00:00:00"/>
        <d v="2026-05-24T00:00:00"/>
        <d v="2025-03-08T00:00:00"/>
        <d v="2026-01-02T00:00:00"/>
        <d v="2026-01-27T00:00:00"/>
        <d v="2025-06-04T00:00:00"/>
        <d v="2026-04-10T00:00:00"/>
        <d v="2026-03-09T00:00:00"/>
        <d v="2026-01-05T00:00:00"/>
        <d v="2026-01-18T00:00:00"/>
        <d v="2024-06-10T00:00:00"/>
        <d v="2025-12-13T00:00:00"/>
        <d v="2025-09-25T00:00:00"/>
        <d v="2025-02-05T00:00:00"/>
        <d v="2024-12-31T00:00:00"/>
        <d v="2025-05-02T00:00:00"/>
        <d v="2025-07-22T00:00:00"/>
        <d v="2024-10-29T00:00:00"/>
        <d v="2025-08-12T00:00:00"/>
        <d v="2026-08-13T00:00:00"/>
        <d v="2024-12-30T00:00:00"/>
        <d v="2025-08-22T00:00:00"/>
        <d v="2026-05-15T00:00:00"/>
        <d v="2025-01-09T00:00:00"/>
        <d v="2024-05-08T00:00:00"/>
        <d v="2025-09-14T00:00:00"/>
        <d v="2024-12-04T00:00:00"/>
        <d v="2026-02-01T00:00:00"/>
        <d v="2025-06-10T00:00:00"/>
        <d v="2024-07-12T00:00:00"/>
        <d v="2025-11-29T00:00:00"/>
        <d v="2025-03-06T00:00:00"/>
        <d v="2025-10-14T00:00:00"/>
        <d v="2025-08-02T00:00:00"/>
        <d v="2024-09-24T00:00:00"/>
        <d v="2024-05-18T00:00:00"/>
        <d v="2025-10-11T00:00:00"/>
        <d v="2024-05-11T00:00:00"/>
        <d v="2024-09-25T00:00:00"/>
        <d v="2024-06-11T00:00:00"/>
        <d v="2025-05-31T00:00:00"/>
        <d v="2024-09-18T00:00:00"/>
        <d v="2024-11-07T00:00:00"/>
        <d v="2024-04-05T00:00:00"/>
        <d v="2025-05-04T00:00:00"/>
        <d v="2024-05-14T00:00:00"/>
        <d v="2024-03-29T00:00:00"/>
        <d v="2025-09-09T00:00:00"/>
        <d v="2025-08-19T00:00:00"/>
        <d v="2024-06-18T00:00:00"/>
        <d v="2025-11-06T00:00:00"/>
        <d v="2025-07-01T00:00:00"/>
        <d v="2025-05-20T00:00:00"/>
        <d v="2024-12-17T00:00:00"/>
        <d v="2025-04-16T00:00:00"/>
        <d v="2026-07-04T00:00:00"/>
        <d v="2025-11-02T00:00:00"/>
        <d v="2026-01-08T00:00:00"/>
        <d v="2025-11-30T00:00:00"/>
        <d v="2025-09-17T00:00:00"/>
        <d v="2024-02-25T00:00:00"/>
        <d v="2026-02-26T00:00:00"/>
        <d v="2026-08-16T00:00:00"/>
        <d v="2024-10-01T00:00:00"/>
        <d v="2024-06-28T00:00:00"/>
        <d v="2024-11-03T00:00:00"/>
        <d v="2024-10-05T00:00:00"/>
        <d v="2025-02-27T00:00:00"/>
        <d v="2025-08-24T00:00:00"/>
        <d v="2025-01-14T00:00:00"/>
        <d v="2025-11-12T00:00:00"/>
        <d v="2024-12-18T00:00:00"/>
        <d v="2024-12-06T00:00:00"/>
        <d v="2025-03-07T00:00:00"/>
        <d v="2025-07-31T00:00:00"/>
        <d v="2024-04-12T00:00:00"/>
        <d v="2025-11-01T00:00:00"/>
        <d v="2024-09-08T00:00:00"/>
        <d v="2025-04-25T00:00:00"/>
        <d v="2024-08-28T00:00:00"/>
        <d v="2025-12-12T00:00:00"/>
        <d v="2026-02-27T00:00:00"/>
        <d v="2024-08-29T00:00:00"/>
        <d v="2024-12-12T00:00:00"/>
        <d v="2026-01-06T00:00:00"/>
        <d v="2025-12-10T00:00:00"/>
        <d v="2025-08-30T00:00:00"/>
        <d v="2024-12-23T00:00:00"/>
        <d v="2025-03-22T00:00:00"/>
        <d v="2025-09-04T00:00:00"/>
        <d v="2025-04-12T00:00:00"/>
        <d v="2024-07-13T00:00:00"/>
        <d v="2026-01-29T00:00:00"/>
        <d v="2025-07-25T00:00:00"/>
        <d v="2025-11-08T00:00:00"/>
        <d v="2025-02-10T00:00:00"/>
        <d v="2025-04-21T00:00:00"/>
        <d v="2024-07-11T00:00:00"/>
        <d v="2025-02-04T00:00:00"/>
        <d v="2025-05-25T00:00:00"/>
        <d v="2026-04-15T00:00:00"/>
        <d v="2026-08-06T00:00:00"/>
        <d v="2025-06-20T00:00:00"/>
        <d v="2024-05-20T00:00:00"/>
        <d v="2024-08-11T00:00:00"/>
        <d v="2025-11-22T00:00:00"/>
        <d v="2025-10-06T00:00:00"/>
        <d v="2024-07-24T00:00:00"/>
        <d v="2024-08-23T00:00:00"/>
        <d v="2024-11-10T00:00:00"/>
        <d v="2025-03-29T00:00:00"/>
        <d v="2025-07-15T00:00:00"/>
        <d v="2024-05-31T00:00:00"/>
        <d v="2026-05-29T00:00:00"/>
        <d v="2026-04-30T00:00:00"/>
        <d v="2025-01-20T00:00:00"/>
        <d v="2025-05-08T00:00:00"/>
        <d v="2024-06-15T00:00:00"/>
        <d v="2025-02-20T00:00:00"/>
        <d v="2025-04-10T00:00:00"/>
        <d v="2024-03-09T00:00:00"/>
        <d v="2024-09-04T00:00:00"/>
        <d v="2025-02-28T00:00:00"/>
        <d v="2024-06-07T00:00:00"/>
        <d v="2026-02-11T00:00:00"/>
        <d v="2024-09-20T00:00:00"/>
        <d v="2025-09-26T00:00:00"/>
        <d v="2025-08-20T00:00:00"/>
        <d v="2025-04-24T00:00:00"/>
        <d v="2024-09-16T00:00:00"/>
        <d v="2025-06-02T00:00:00"/>
        <d v="2025-09-29T00:00:00"/>
        <d v="2026-04-27T00:00:00"/>
        <d v="2025-10-23T00:00:00"/>
        <d v="2025-06-14T00:00:00"/>
        <d v="2025-07-20T00:00:00"/>
        <d v="2026-01-23T00:00:00"/>
        <d v="2025-07-27T00:00:00"/>
        <d v="2024-12-26T00:00:00"/>
        <d v="2024-11-05T00:00:00"/>
        <d v="2025-10-30T00:00:00"/>
        <d v="2026-02-24T00:00:00"/>
        <d v="2025-01-08T00:00:00"/>
        <d v="2026-08-12T00:00:00"/>
        <d v="2024-07-18T00:00:00"/>
        <d v="2025-12-15T00:00:00"/>
        <d v="2026-02-13T00:00:00"/>
        <d v="2024-10-22T00:00:00"/>
        <d v="2025-12-14T00:00:00"/>
        <d v="2024-08-03T00:00:00"/>
        <d v="2024-12-05T00:00:00"/>
        <d v="2026-01-11T00:00:00"/>
        <d v="2026-05-13T00:00:00"/>
        <d v="2025-01-29T00:00:00"/>
        <d v="2025-04-20T00:00:00"/>
        <d v="2026-03-08T00:00:00"/>
        <d v="2025-07-19T00:00:00"/>
        <d v="2025-06-15T00:00:00"/>
        <d v="2024-09-03T00:00:00"/>
        <d v="2025-05-05T00:00:00"/>
        <d v="2025-06-19T00:00:00"/>
        <d v="2025-02-15T00:00:00"/>
        <d v="2025-04-14T00:00:00"/>
        <d v="2024-06-14T00:00:00"/>
        <d v="2025-05-21T00:00:00"/>
        <d v="2025-09-28T00:00:00"/>
        <d v="2025-10-31T00:00:00"/>
        <d v="2025-09-11T00:00:00"/>
        <d v="2026-05-08T00:00:00"/>
        <d v="2024-02-05T00:00:00"/>
        <d v="2024-05-25T00:00:00"/>
        <d v="2024-10-16T00:00:00"/>
        <d v="2026-05-05T00:00:00"/>
        <d v="2024-04-30T00:00:00"/>
        <d v="2025-03-31T00:00:00"/>
        <d v="2024-06-19T00:00:00"/>
        <d v="2025-12-03T00:00:00"/>
        <d v="2025-08-26T00:00:00"/>
        <d v="2025-12-22T00:00:00"/>
        <d v="2025-04-01T00:00:00"/>
        <d v="2024-08-24T00:00:00"/>
        <d v="2025-04-19T00:00:00"/>
        <d v="2026-01-09T00:00:00"/>
        <d v="2024-04-16T00:00:00"/>
        <d v="2024-09-30T00:00:00"/>
        <d v="2024-11-16T00:00:00"/>
        <d v="2024-11-26T00:00:00"/>
        <d v="2025-06-28T00:00:00"/>
        <d v="2026-04-17T00:00:00"/>
        <d v="2025-03-05T00:00:00"/>
        <d v="2025-02-03T00:00:00"/>
        <d v="2026-01-07T00:00:00"/>
        <d v="2025-05-10T00:00:00"/>
        <d v="2024-08-08T00:00:00"/>
        <d v="2026-02-10T00:00:00"/>
        <d v="2026-03-01T00:00:00"/>
        <d v="2025-01-05T00:00:00"/>
        <d v="2024-07-25T00:00:00"/>
        <d v="2024-05-01T00:00:00"/>
        <d v="2024-08-26T00:00:00"/>
        <d v="2025-10-19T00:00:00"/>
        <d v="2024-09-15T00:00:00"/>
        <d v="2024-05-04T00:00:00"/>
        <d v="2025-06-11T00:00:00"/>
        <d v="2026-03-11T00:00:00"/>
        <d v="2025-07-14T00:00:00"/>
        <d v="2024-12-15T00:00:00"/>
        <d v="2024-04-02T00:00:00"/>
        <d v="2024-06-17T00:00:00"/>
        <d v="2025-03-18T00:00:00"/>
        <d v="2026-03-20T00:00:00"/>
        <d v="2025-10-21T00:00:00"/>
        <d v="2026-04-19T00:00:00"/>
        <d v="2026-03-17T00:00:00"/>
        <d v="2026-05-31T00:00:00"/>
        <d v="2024-12-10T00:00:00"/>
        <d v="2024-02-26T00:00:00"/>
        <d v="2026-03-10T00:00:00"/>
        <d v="2025-01-27T00:00:00"/>
        <d v="2025-11-15T00:00:00"/>
        <d v="2026-01-04T00:00:00"/>
        <d v="2025-09-10T00:00:00"/>
        <d v="2026-05-06T00:00:00"/>
        <d v="2024-10-21T00:00:00"/>
        <d v="2024-08-27T00:00:00"/>
        <d v="2024-11-01T00:00:00"/>
        <d v="2025-09-13T00:00:00"/>
        <d v="2025-12-25T00:00:00"/>
        <d v="2024-06-21T00:00:00"/>
        <d v="2025-11-11T00:00:00"/>
        <d v="2024-04-11T00:00:00"/>
        <d v="2025-01-02T00:00:00"/>
        <d v="2026-05-20T00:00:00"/>
        <d v="2026-03-31T00:00:00"/>
        <d v="2024-09-22T00:00:00"/>
        <d v="2026-04-08T00:00:00"/>
        <d v="2024-06-02T00:00:00"/>
        <d v="2024-12-21T00:00:00"/>
        <d v="2024-04-29T00:00:00"/>
        <d v="2026-05-11T00:00:00"/>
        <d v="2026-05-18T00:00:00"/>
        <d v="2026-03-15T00:00:00"/>
        <d v="2024-05-03T00:00:00"/>
        <d v="2025-08-29T00:00:00"/>
        <d v="2026-07-23T00:00:00"/>
        <d v="2025-10-02T00:00:00"/>
        <d v="2024-03-08T00:00:00"/>
        <d v="2025-08-01T00:00:00"/>
        <d v="2025-01-26T00:00:00"/>
        <d v="2025-04-29T00:00:00"/>
        <d v="2025-11-13T00:00:00"/>
        <d v="2025-02-02T00:00:00"/>
        <d v="2024-06-22T00:00:00"/>
        <d v="2026-03-16T00:00:00"/>
        <d v="2024-04-22T00:00:00"/>
        <d v="2024-11-21T00:00:00"/>
        <d v="2025-10-26T00:00:00"/>
        <d v="2025-07-04T00:00:00"/>
        <d v="2025-12-24T00:00:00"/>
        <d v="2024-10-19T00:00:00"/>
        <d v="2025-12-08T00:00:00"/>
        <d v="2026-01-12T00:00:00"/>
        <d v="2025-03-17T00:00:00"/>
        <d v="2024-12-27T00:00:00"/>
        <d v="2025-11-16T00:00:00"/>
        <d v="2025-01-22T00:00:00"/>
        <d v="2024-04-23T00:00:00"/>
        <d v="2025-11-25T00:00:00"/>
        <d v="2025-04-15T00:00:00"/>
        <d v="2026-05-10T00:00:00"/>
        <d v="2025-04-06T00:00:00"/>
        <d v="2026-02-20T00:00:00"/>
        <d v="2024-05-22T00:00:00"/>
        <d v="2025-02-26T00:00:00"/>
        <d v="2025-10-28T00:00:00"/>
        <d v="2025-11-24T00:00:00"/>
        <d v="2024-10-06T00:00:00"/>
        <d v="2025-01-25T00:00:00"/>
        <d v="2024-05-24T00:00:00"/>
        <d v="2024-07-20T00:00:00"/>
        <d v="2025-08-08T00:00:00"/>
        <d v="2026-02-06T00:00:00"/>
        <d v="2024-03-11T00:00:00"/>
        <d v="2024-10-26T00:00:00"/>
        <d v="2024-05-16T00:00:00"/>
        <d v="2024-04-26T00:00:00"/>
        <d v="2026-04-26T00:00:00"/>
        <d v="2024-12-19T00:00:00"/>
        <d v="2024-03-18T00:00:00"/>
        <d v="2025-03-11T00:00:00"/>
        <d v="2025-03-01T00:00:00"/>
        <d v="2026-07-07T00:00:00"/>
        <d v="2025-06-22T00:00:00"/>
        <d v="2024-04-14T00:00:00"/>
        <d v="2024-10-20T00:00:00"/>
        <d v="2025-09-15T00:00:00"/>
        <d v="2026-04-28T00:00:00"/>
        <d v="2025-03-04T00:00:00"/>
        <d v="2025-12-04T00:00:00"/>
        <d v="2026-02-15T00:00:00"/>
        <d v="2024-11-24T00:00:00"/>
        <d v="2025-09-05T00:00:00"/>
        <d v="2024-02-13T00:00:00"/>
        <d v="2024-12-20T00:00:00"/>
        <d v="2025-02-21T00:00:00"/>
        <d v="2025-11-07T00:00:00"/>
        <d v="2024-02-24T00:00:00"/>
        <d v="2025-08-16T00:00:00"/>
        <d v="2026-04-23T00:00:00"/>
        <d v="2026-04-11T00:00:00"/>
        <d v="2025-08-27T00:00:00"/>
        <d v="2026-03-25T00:00:00"/>
        <d v="2026-07-11T00:00:00"/>
        <d v="2025-09-06T00:00:00"/>
        <d v="2025-02-06T00:00:00"/>
        <d v="2025-10-03T00:00:00"/>
        <d v="2024-09-06T00:00:00"/>
        <d v="2025-03-12T00:00:00"/>
        <d v="2026-05-09T00:00:00"/>
        <d v="2025-05-01T00:00:00"/>
        <d v="2024-10-10T00:00:00"/>
        <d v="2025-03-09T00:00:00"/>
        <d v="2025-03-30T00:00:00"/>
        <d v="2025-12-28T00:00:00"/>
        <d v="2025-01-01T00:00:00"/>
        <d v="2024-11-17T00:00:00"/>
        <d v="2026-01-14T00:00:00"/>
        <d v="2025-10-08T00:00:00"/>
        <d v="2024-10-04T00:00:00"/>
        <d v="2025-11-05T00:00:00"/>
        <d v="2024-02-12T00:00:00"/>
        <d v="2024-09-23T00:00:00"/>
        <d v="2024-08-19T00:00:00"/>
        <d v="2024-10-24T00:00:00"/>
        <d v="2025-04-03T00:00:00"/>
        <d v="2024-11-19T00:00:00"/>
        <d v="2024-11-13T00:00:00"/>
        <d v="2025-07-17T00:00:00"/>
        <d v="2026-06-12T00:00:00"/>
        <d v="2024-09-13T00:00:00"/>
        <d v="2025-09-01T00:00:00"/>
        <d v="2025-10-12T00:00:00"/>
        <d v="2025-08-11T00:00:00"/>
        <d v="2026-02-07T00:00:00"/>
        <d v="2024-12-07T00:00:00"/>
        <d v="2025-01-13T00:00:00"/>
        <d v="2026-01-30T00:00:00"/>
        <d v="2026-01-26T00:00:00"/>
        <d v="2026-06-19T00:00:00"/>
        <d v="2025-09-20T00:00:00"/>
        <d v="2024-06-13T00:00:00"/>
        <d v="2024-09-19T00:00:00"/>
        <d v="2024-08-21T00:00:00"/>
        <d v="2024-07-16T00:00:00"/>
        <d v="2026-01-24T00:00:00"/>
        <d v="2026-03-12T00:00:00"/>
        <d v="2026-06-29T00:00:00"/>
        <d v="2024-11-15T00:00:00"/>
        <d v="2026-08-03T00:00:00"/>
        <d v="2025-02-23T00:00:00"/>
        <d v="2024-08-13T00:00:00"/>
        <d v="2026-03-21T00:00:00"/>
        <d v="2026-08-15T00:00:00"/>
        <d v="2024-07-23T00:00:00"/>
        <d v="2025-10-13T00:00:00"/>
        <d v="2024-11-29T00:00:00"/>
        <d v="2025-02-01T00:00:00"/>
        <d v="2024-11-02T00:00:00"/>
        <d v="2025-03-20T00:00:00"/>
        <d v="2026-04-13T00:00:00"/>
        <d v="2024-01-31T00:00:00"/>
        <d v="2026-03-06T00:00:00"/>
        <d v="2025-11-28T00:00:00"/>
        <d v="2025-05-11T00:00:00"/>
        <d v="2026-07-02T00:00:00"/>
        <d v="2025-06-01T00:00:00"/>
        <d v="2026-01-28T00:00:00"/>
        <d v="2024-01-09T00:00:00"/>
        <d v="2026-05-02T00:00:00"/>
        <d v="2025-12-23T00:00:00"/>
        <d v="2024-12-29T00:00:00"/>
        <d v="2025-10-15T00:00:00"/>
        <d v="2026-08-24T00:00:00"/>
        <d v="2026-06-10T00:00:00"/>
        <d v="2026-07-03T00:00:00"/>
        <d v="2025-11-03T00:00:00"/>
        <d v="2024-05-19T00:00:00"/>
        <d v="2025-01-30T00:00:00"/>
        <d v="2025-01-28T00:00:00"/>
        <d v="2024-07-06T00:00:00"/>
        <d v="2025-04-30T00:00:00"/>
        <d v="2024-06-27T00:00:00"/>
        <d v="2024-11-22T00:00:00"/>
        <d v="2024-08-20T00:00:00"/>
        <d v="2026-06-27T00:00:00"/>
        <d v="2024-07-28T00:00:00"/>
        <d v="2026-07-27T00:00:00"/>
        <d v="2024-03-10T00:00:00"/>
        <d v="2025-11-26T00:00:00"/>
        <d v="2025-05-22T00:00:00"/>
        <d v="2025-04-27T00:00:00"/>
        <d v="2026-04-18T00:00:00"/>
        <d v="2024-02-23T00:00:00"/>
        <d v="2024-08-06T00:00:00"/>
        <d v="2025-01-24T00:00:00"/>
        <d v="2024-04-24T00:00:00"/>
        <d v="2025-04-28T00:00:00"/>
        <d v="2026-09-16T00:00:00"/>
        <d v="2025-05-13T00:00:00"/>
        <d v="2024-03-16T00:00:00"/>
        <d v="2026-06-14T00:00:00"/>
        <d v="2025-05-15T00:00:00"/>
        <d v="2026-06-30T00:00:00"/>
        <d v="2026-08-23T00:00:00"/>
        <d v="2025-08-06T00:00:00"/>
        <d v="2025-03-16T00:00:00"/>
        <d v="2026-04-06T00:00:00"/>
        <d v="2024-02-14T00:00:00"/>
        <d v="2024-06-30T00:00:00"/>
        <d v="2024-11-06T00:00:00"/>
        <d v="2024-04-01T00:00:00"/>
        <d v="2026-02-09T00:00:00"/>
        <d v="2025-08-03T00:00:00"/>
        <d v="2024-10-30T00:00:00"/>
        <d v="2026-07-13T00:00:00"/>
        <d v="2026-04-05T00:00:00"/>
        <d v="2025-08-07T00:00:00"/>
        <d v="2024-06-25T00:00:00"/>
        <d v="2024-06-24T00:00:00"/>
        <d v="2024-09-14T00:00:00"/>
        <d v="2025-05-16T00:00:00"/>
        <d v="2025-06-21T00:00:00"/>
        <d v="2024-12-03T00:00:00"/>
        <d v="2025-01-17T00:00:00"/>
        <d v="2025-09-12T00:00:00"/>
        <d v="2026-02-12T00:00:00"/>
        <d v="2026-05-04T00:00:00"/>
        <d v="2026-01-20T00:00:00"/>
        <d v="2026-06-25T00:00:00"/>
        <d v="2024-09-11T00:00:00"/>
        <d v="2024-04-07T00:00:00"/>
        <d v="2025-04-07T00:00:00"/>
        <d v="2025-07-26T00:00:00"/>
        <d v="2025-06-06T00:00:00"/>
        <d v="2026-01-31T00:00:00"/>
        <d v="2025-09-07T00:00:00"/>
        <d v="2025-11-27T00:00:00"/>
        <d v="2025-04-11T00:00:00"/>
        <d v="2026-09-02T00:00:00"/>
        <d v="2025-07-10T00:00:00"/>
        <d v="2024-02-01T00:00:00"/>
        <d v="2025-03-21T00:00:00"/>
        <d v="2024-06-09T00:00:00"/>
        <d v="2024-08-17T00:00:00"/>
        <d v="2024-04-19T00:00:00"/>
        <d v="2025-06-09T00:00:00"/>
        <d v="2024-11-11T00:00:00"/>
        <d v="2026-01-03T00:00:00"/>
        <d v="2025-05-23T00:00:00"/>
        <d v="2025-10-07T00:00:00"/>
        <d v="2025-03-19T00:00:00"/>
        <d v="2025-09-27T00:00:00"/>
        <d v="2025-06-12T00:00:00"/>
        <d v="2026-03-29T00:00:00"/>
        <d v="2024-07-21T00:00:00"/>
        <d v="2026-01-19T00:00:00"/>
        <d v="2024-08-05T00:00:00"/>
        <d v="2025-01-12T00:00:00"/>
        <d v="2025-10-17T00:00:00"/>
        <d v="2026-08-17T00:00:00"/>
        <d v="2026-06-03T00:00:00"/>
        <d v="2026-04-22T00:00:00"/>
        <d v="2025-11-19T00:00:00"/>
        <d v="2026-03-13T00:00:00"/>
        <d v="2025-08-14T00:00:00"/>
        <d v="2024-08-31T00:00:00"/>
        <d v="2026-01-22T00:00:00"/>
        <d v="2024-04-10T00:00:00"/>
        <d v="2026-06-16T00:00:00"/>
        <d v="2025-01-23T00:00:00"/>
        <d v="2024-04-15T00:00:00"/>
        <d v="2024-04-18T00:00:00"/>
        <d v="2024-02-19T00:00:00"/>
        <d v="2025-01-19T00:00:00"/>
        <d v="2024-08-10T00:00:00"/>
        <d v="2026-05-16T00:00:00"/>
        <d v="2025-08-28T00:00:00"/>
        <d v="2026-03-23T00:00:00"/>
        <d v="2024-03-07T00:00:00"/>
        <d v="2026-03-03T00:00:00"/>
        <d v="2026-08-18T00:00:00"/>
        <d v="2026-06-11T00:00:00"/>
        <d v="2024-08-12T00:00:00"/>
        <d v="2026-04-24T00:00:00"/>
        <d v="2026-04-21T00:00:00"/>
        <d v="2025-11-04T00:00:00"/>
        <d v="2025-01-11T00:00:00"/>
        <d v="2024-06-23T00:00:00"/>
        <d v="2026-06-28T00:00:00"/>
        <d v="2026-05-12T00:00:00"/>
        <d v="2026-06-09T00:00:00"/>
        <d v="2026-02-16T00:00:00"/>
        <d v="2025-12-26T00:00:00"/>
        <d v="2024-03-21T00:00:00"/>
        <d v="2024-06-12T00:00:00"/>
        <d v="2025-11-23T00:00:00"/>
        <d v="2026-09-04T00:00:00"/>
        <d v="2026-04-03T00:00:00"/>
        <d v="2024-09-09T00:00:00"/>
        <d v="2025-02-08T00:00:00"/>
        <d v="2025-02-22T00:00:00"/>
        <d v="2026-07-21T00:00:00"/>
        <d v="2024-09-07T00:00:00"/>
        <d v="2024-06-20T00:00:00"/>
        <d v="2024-10-08T00:00:00"/>
        <d v="2025-09-18T00:00:00"/>
        <d v="2025-09-16T00:00:00"/>
        <d v="2024-08-14T00:00:00"/>
        <d v="2026-06-21T00:00:00"/>
        <d v="2026-03-30T00:00:00"/>
        <d v="2024-09-05T00:00:00"/>
        <d v="2026-06-13T00:00:00"/>
        <d v="2026-04-02T00:00:00"/>
        <d v="2025-01-10T00:00:00"/>
        <d v="2025-06-27T00:00:00"/>
        <d v="2025-03-23T00:00:00"/>
        <d v="2024-02-20T00:00:00"/>
        <d v="2024-06-06T00:00:00"/>
        <d v="2026-07-15T00:00:00"/>
        <d v="2026-02-22T00:00:00"/>
        <d v="2024-02-17T00:00:00"/>
        <d v="2025-04-22T00:00:00"/>
        <d v="2024-07-03T00:00:00"/>
        <d v="2026-05-25T00:00:00"/>
        <d v="2026-06-01T00:00:00"/>
        <d v="2025-12-06T00:00:00"/>
        <d v="2025-07-28T00:00:00"/>
        <d v="2025-02-12T00:00:00"/>
        <d v="2025-10-29T00:00:00"/>
        <d v="2024-04-09T00:00:00"/>
        <d v="2024-04-13T00:00:00"/>
        <d v="2026-05-23T00:00:00"/>
        <d v="2026-01-17T00:00:00"/>
        <d v="2026-06-15T00:00:00"/>
        <d v="2024-07-31T00:00:00"/>
        <d v="2026-09-03T00:00:00"/>
        <d v="2025-07-24T00:00:00"/>
        <d v="2025-02-25T00:00:00"/>
        <d v="2026-04-25T00:00:00"/>
        <d v="2026-08-09T00:00:00"/>
        <d v="2025-01-21T00:00:00"/>
        <d v="2025-12-19T00:00:00"/>
        <d v="2024-09-29T00:00:00"/>
        <d v="2026-08-08T00:00:00"/>
        <d v="2026-02-19T00:00:00"/>
        <d v="2025-06-30T00:00:00"/>
        <d v="2025-07-13T00:00:00"/>
        <d v="2026-05-28T00:00:00"/>
        <d v="2024-06-04T00:00:00"/>
        <d v="2026-06-06T00:00:00"/>
        <d v="2024-07-26T00:00:00"/>
      </sharedItems>
      <fieldGroup par="17"/>
    </cacheField>
    <cacheField name="Total_Orders" numFmtId="1">
      <sharedItems containsSemiMixedTypes="0" containsString="0" containsNumber="1" containsInteger="1" minValue="1" maxValue="25"/>
    </cacheField>
    <cacheField name="Total_Spent" numFmtId="2">
      <sharedItems containsSemiMixedTypes="0" containsString="0" containsNumber="1" minValue="22.03" maxValue="7324.75"/>
    </cacheField>
    <cacheField name="Average_Order_Value" numFmtId="2">
      <sharedItems containsSemiMixedTypes="0" containsString="0" containsNumber="1" minValue="20.010000000000002" maxValue="299.98"/>
    </cacheField>
    <cacheField name="Preferred_Category" numFmtId="0">
      <sharedItems count="5">
        <s v="Sports"/>
        <s v="Fashion"/>
        <s v="Beauty"/>
        <s v="Electronics"/>
        <s v="Home"/>
      </sharedItems>
    </cacheField>
    <cacheField name="Purchase_Channel" numFmtId="0">
      <sharedItems count="3">
        <s v="App"/>
        <s v="Store"/>
        <s v="Online"/>
      </sharedItems>
    </cacheField>
    <cacheField name="Satisfaction_Score" numFmtId="1">
      <sharedItems containsSemiMixedTypes="0" containsString="0" containsNumber="1" containsInteger="1" minValue="1" maxValue="10" count="10">
        <n v="4"/>
        <n v="5"/>
        <n v="8"/>
        <n v="9"/>
        <n v="10"/>
        <n v="3"/>
        <n v="1"/>
        <n v="7"/>
        <n v="2"/>
        <n v="6"/>
      </sharedItems>
    </cacheField>
    <cacheField name="Churn_Flag" numFmtId="0">
      <sharedItems count="2">
        <s v="No"/>
        <s v="Yes"/>
      </sharedItems>
    </cacheField>
    <cacheField name="Customer Value" numFmtId="0">
      <sharedItems count="3">
        <s v="High Value"/>
        <s v="Medium Value"/>
        <s v="Low Value"/>
      </sharedItems>
    </cacheField>
    <cacheField name="Months (Last_Purchase_Date)" numFmtId="0" databaseField="0">
      <fieldGroup base="6">
        <rangePr groupBy="months" startDate="2024-01-09T00:00:00" endDate="2026-09-17T00:00:00"/>
        <groupItems count="14">
          <s v="&lt;09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9-2026"/>
        </groupItems>
      </fieldGroup>
    </cacheField>
    <cacheField name="Quarters (Last_Purchase_Date)" numFmtId="0" databaseField="0">
      <fieldGroup base="6">
        <rangePr groupBy="quarters" startDate="2024-01-09T00:00:00" endDate="2026-09-17T00:00:00"/>
        <groupItems count="6">
          <s v="&lt;09-01-2024"/>
          <s v="Qtr1"/>
          <s v="Qtr2"/>
          <s v="Qtr3"/>
          <s v="Qtr4"/>
          <s v="&gt;17-09-2026"/>
        </groupItems>
      </fieldGroup>
    </cacheField>
    <cacheField name="Years (Last_Purchase_Date)" numFmtId="0" databaseField="0">
      <fieldGroup base="6">
        <rangePr groupBy="years" startDate="2024-01-09T00:00:00" endDate="2026-09-17T00:00:00"/>
        <groupItems count="5">
          <s v="&lt;09-01-2024"/>
          <s v="2024"/>
          <s v="2025"/>
          <s v="2026"/>
          <s v="&gt;17-09-2026"/>
        </groupItems>
      </fieldGroup>
    </cacheField>
    <cacheField name="Months (Registration_Date)" numFmtId="0" databaseField="0">
      <fieldGroup base="5">
        <rangePr groupBy="months" startDate="2024-01-01T00:00:00" endDate="2025-12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5"/>
        </groupItems>
      </fieldGroup>
    </cacheField>
    <cacheField name="Quarters (Registration_Date)" numFmtId="0" databaseField="0">
      <fieldGroup base="5">
        <rangePr groupBy="quarters" startDate="2024-01-01T00:00:00" endDate="2025-12-02T00:00:00"/>
        <groupItems count="6">
          <s v="&lt;01-01-2024"/>
          <s v="Qtr1"/>
          <s v="Qtr2"/>
          <s v="Qtr3"/>
          <s v="Qtr4"/>
          <s v="&gt;02-12-2025"/>
        </groupItems>
      </fieldGroup>
    </cacheField>
    <cacheField name="Years (Registration_Date)" numFmtId="0" databaseField="0">
      <fieldGroup base="5">
        <rangePr groupBy="years" startDate="2024-01-01T00:00:00" endDate="2025-12-02T00:00:00"/>
        <groupItems count="4">
          <s v="&lt;01-01-2024"/>
          <s v="2024"/>
          <s v="2025"/>
          <s v="&gt;02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00">
  <r>
    <s v="CUST00453"/>
    <n v="20"/>
    <s v="Male"/>
    <s v="Hyderabad"/>
    <x v="0"/>
    <x v="0"/>
    <x v="0"/>
    <n v="25"/>
    <n v="7324.75"/>
    <n v="292.99"/>
    <x v="0"/>
    <x v="0"/>
    <x v="0"/>
    <x v="0"/>
    <x v="0"/>
  </r>
  <r>
    <s v="CUST01279"/>
    <n v="64"/>
    <s v="Female"/>
    <s v="Delhi"/>
    <x v="0"/>
    <x v="1"/>
    <x v="1"/>
    <n v="25"/>
    <n v="7321.5"/>
    <n v="292.86"/>
    <x v="1"/>
    <x v="1"/>
    <x v="1"/>
    <x v="0"/>
    <x v="0"/>
  </r>
  <r>
    <s v="CUST00304"/>
    <n v="56"/>
    <s v="Female"/>
    <s v="Kolkata"/>
    <x v="1"/>
    <x v="2"/>
    <x v="2"/>
    <n v="25"/>
    <n v="7256.25"/>
    <n v="290.25"/>
    <x v="0"/>
    <x v="2"/>
    <x v="2"/>
    <x v="1"/>
    <x v="0"/>
  </r>
  <r>
    <s v="CUST00187"/>
    <n v="59"/>
    <s v="Male"/>
    <s v="Kolkata"/>
    <x v="0"/>
    <x v="3"/>
    <x v="3"/>
    <n v="25"/>
    <n v="7247.499999999999"/>
    <n v="289.9"/>
    <x v="0"/>
    <x v="2"/>
    <x v="3"/>
    <x v="0"/>
    <x v="0"/>
  </r>
  <r>
    <s v="CUST01206"/>
    <n v="31"/>
    <s v="Male"/>
    <s v="Kolkata"/>
    <x v="2"/>
    <x v="4"/>
    <x v="4"/>
    <n v="24"/>
    <n v="7168.799999999999"/>
    <n v="298.7"/>
    <x v="2"/>
    <x v="1"/>
    <x v="3"/>
    <x v="0"/>
    <x v="0"/>
  </r>
  <r>
    <s v="CUST00677"/>
    <n v="27"/>
    <s v="Female"/>
    <s v="Delhi"/>
    <x v="1"/>
    <x v="5"/>
    <x v="5"/>
    <n v="24"/>
    <n v="7163.52"/>
    <n v="298.48"/>
    <x v="1"/>
    <x v="2"/>
    <x v="0"/>
    <x v="0"/>
    <x v="0"/>
  </r>
  <r>
    <s v="CUST01154"/>
    <n v="36"/>
    <s v="Female"/>
    <s v="Hyderabad"/>
    <x v="3"/>
    <x v="6"/>
    <x v="6"/>
    <n v="24"/>
    <n v="7098.24"/>
    <n v="295.76"/>
    <x v="3"/>
    <x v="2"/>
    <x v="4"/>
    <x v="0"/>
    <x v="0"/>
  </r>
  <r>
    <s v="CUST01859"/>
    <n v="42"/>
    <s v="Male"/>
    <s v="Delhi"/>
    <x v="0"/>
    <x v="7"/>
    <x v="7"/>
    <n v="25"/>
    <n v="7083.499999999999"/>
    <n v="283.34"/>
    <x v="3"/>
    <x v="2"/>
    <x v="3"/>
    <x v="0"/>
    <x v="0"/>
  </r>
  <r>
    <s v="CUST01149"/>
    <n v="62"/>
    <s v="Male"/>
    <s v="Bangalore"/>
    <x v="0"/>
    <x v="8"/>
    <x v="8"/>
    <n v="25"/>
    <n v="7048.25"/>
    <n v="281.93"/>
    <x v="0"/>
    <x v="1"/>
    <x v="5"/>
    <x v="0"/>
    <x v="0"/>
  </r>
  <r>
    <s v="CUST01464"/>
    <n v="44"/>
    <s v="Male"/>
    <s v="Chennai"/>
    <x v="2"/>
    <x v="9"/>
    <x v="9"/>
    <n v="25"/>
    <n v="7015.5"/>
    <n v="280.62"/>
    <x v="4"/>
    <x v="0"/>
    <x v="6"/>
    <x v="0"/>
    <x v="0"/>
  </r>
  <r>
    <s v="CUST01059"/>
    <n v="46"/>
    <s v="Female"/>
    <s v="Bangalore"/>
    <x v="0"/>
    <x v="10"/>
    <x v="10"/>
    <n v="24"/>
    <n v="7014.48"/>
    <n v="292.27"/>
    <x v="4"/>
    <x v="0"/>
    <x v="3"/>
    <x v="0"/>
    <x v="0"/>
  </r>
  <r>
    <s v="CUST01134"/>
    <n v="38"/>
    <s v="Male"/>
    <s v="Hyderabad"/>
    <x v="2"/>
    <x v="11"/>
    <x v="11"/>
    <n v="25"/>
    <n v="6918.75"/>
    <n v="276.75"/>
    <x v="4"/>
    <x v="0"/>
    <x v="7"/>
    <x v="0"/>
    <x v="0"/>
  </r>
  <r>
    <s v="CUST00428"/>
    <n v="32"/>
    <s v="Male"/>
    <s v="Delhi"/>
    <x v="3"/>
    <x v="12"/>
    <x v="12"/>
    <n v="25"/>
    <n v="6912"/>
    <n v="276.48"/>
    <x v="2"/>
    <x v="0"/>
    <x v="6"/>
    <x v="0"/>
    <x v="0"/>
  </r>
  <r>
    <s v="CUST01773"/>
    <n v="19"/>
    <s v="Female"/>
    <s v="Mumbai"/>
    <x v="2"/>
    <x v="13"/>
    <x v="13"/>
    <n v="24"/>
    <n v="6902.88"/>
    <n v="287.62"/>
    <x v="3"/>
    <x v="0"/>
    <x v="7"/>
    <x v="0"/>
    <x v="0"/>
  </r>
  <r>
    <s v="CUST00273"/>
    <n v="33"/>
    <s v="Male"/>
    <s v="Hyderabad"/>
    <x v="0"/>
    <x v="14"/>
    <x v="14"/>
    <n v="24"/>
    <n v="6887.039999999999"/>
    <n v="286.96"/>
    <x v="2"/>
    <x v="0"/>
    <x v="4"/>
    <x v="0"/>
    <x v="0"/>
  </r>
  <r>
    <s v="CUST00364"/>
    <n v="55"/>
    <s v="Male"/>
    <s v="Hyderabad"/>
    <x v="0"/>
    <x v="15"/>
    <x v="15"/>
    <n v="25"/>
    <n v="6742.25"/>
    <n v="269.69"/>
    <x v="0"/>
    <x v="0"/>
    <x v="6"/>
    <x v="0"/>
    <x v="0"/>
  </r>
  <r>
    <s v="CUST00987"/>
    <n v="30"/>
    <s v="Female"/>
    <s v="Mumbai"/>
    <x v="2"/>
    <x v="16"/>
    <x v="16"/>
    <n v="24"/>
    <n v="6716.400000000001"/>
    <n v="279.85"/>
    <x v="0"/>
    <x v="0"/>
    <x v="2"/>
    <x v="0"/>
    <x v="0"/>
  </r>
  <r>
    <s v="CUST01308"/>
    <n v="63"/>
    <s v="Male"/>
    <s v="Delhi"/>
    <x v="3"/>
    <x v="17"/>
    <x v="17"/>
    <n v="24"/>
    <n v="6706.559999999999"/>
    <n v="279.44"/>
    <x v="1"/>
    <x v="2"/>
    <x v="6"/>
    <x v="0"/>
    <x v="0"/>
  </r>
  <r>
    <s v="CUST01360"/>
    <n v="43"/>
    <s v="Female"/>
    <s v="Kolkata"/>
    <x v="1"/>
    <x v="18"/>
    <x v="18"/>
    <n v="23"/>
    <n v="6578.69"/>
    <n v="286.03"/>
    <x v="0"/>
    <x v="0"/>
    <x v="8"/>
    <x v="0"/>
    <x v="0"/>
  </r>
  <r>
    <s v="CUST00796"/>
    <n v="35"/>
    <s v="Male"/>
    <s v="Mumbai"/>
    <x v="0"/>
    <x v="19"/>
    <x v="19"/>
    <n v="23"/>
    <n v="6578.23"/>
    <n v="286.01"/>
    <x v="0"/>
    <x v="2"/>
    <x v="5"/>
    <x v="1"/>
    <x v="0"/>
  </r>
  <r>
    <s v="CUST00414"/>
    <n v="50"/>
    <s v="Female"/>
    <s v="Kolkata"/>
    <x v="2"/>
    <x v="20"/>
    <x v="20"/>
    <n v="23"/>
    <n v="6573.17"/>
    <n v="285.79"/>
    <x v="0"/>
    <x v="0"/>
    <x v="6"/>
    <x v="1"/>
    <x v="0"/>
  </r>
  <r>
    <s v="CUST00439"/>
    <n v="55"/>
    <s v="Female"/>
    <s v="Hyderabad"/>
    <x v="1"/>
    <x v="21"/>
    <x v="21"/>
    <n v="25"/>
    <n v="6539.749999999999"/>
    <n v="261.59"/>
    <x v="1"/>
    <x v="2"/>
    <x v="5"/>
    <x v="0"/>
    <x v="0"/>
  </r>
  <r>
    <s v="CUST01881"/>
    <n v="23"/>
    <s v="Female"/>
    <s v="Kolkata"/>
    <x v="3"/>
    <x v="22"/>
    <x v="22"/>
    <n v="25"/>
    <n v="6533"/>
    <n v="261.32"/>
    <x v="1"/>
    <x v="1"/>
    <x v="4"/>
    <x v="0"/>
    <x v="0"/>
  </r>
  <r>
    <s v="CUST00427"/>
    <n v="48"/>
    <s v="Female"/>
    <s v="Pune"/>
    <x v="2"/>
    <x v="23"/>
    <x v="23"/>
    <n v="25"/>
    <n v="6499.75"/>
    <n v="259.99"/>
    <x v="2"/>
    <x v="0"/>
    <x v="1"/>
    <x v="0"/>
    <x v="0"/>
  </r>
  <r>
    <s v="CUST01533"/>
    <n v="20"/>
    <s v="Male"/>
    <s v="Mumbai"/>
    <x v="2"/>
    <x v="3"/>
    <x v="24"/>
    <n v="24"/>
    <n v="6485.76"/>
    <n v="270.24"/>
    <x v="0"/>
    <x v="0"/>
    <x v="8"/>
    <x v="1"/>
    <x v="0"/>
  </r>
  <r>
    <s v="CUST01063"/>
    <n v="26"/>
    <s v="Male"/>
    <s v="Kolkata"/>
    <x v="3"/>
    <x v="24"/>
    <x v="25"/>
    <n v="23"/>
    <n v="6450.12"/>
    <n v="280.44"/>
    <x v="3"/>
    <x v="0"/>
    <x v="5"/>
    <x v="0"/>
    <x v="0"/>
  </r>
  <r>
    <s v="CUST00394"/>
    <n v="22"/>
    <s v="Male"/>
    <s v="Kolkata"/>
    <x v="0"/>
    <x v="25"/>
    <x v="26"/>
    <n v="24"/>
    <n v="6436.08"/>
    <n v="268.17"/>
    <x v="0"/>
    <x v="0"/>
    <x v="7"/>
    <x v="1"/>
    <x v="0"/>
  </r>
  <r>
    <s v="CUST01069"/>
    <n v="45"/>
    <s v="Female"/>
    <s v="Pune"/>
    <x v="2"/>
    <x v="26"/>
    <x v="27"/>
    <n v="24"/>
    <n v="6409.68"/>
    <n v="267.07"/>
    <x v="3"/>
    <x v="1"/>
    <x v="1"/>
    <x v="0"/>
    <x v="0"/>
  </r>
  <r>
    <s v="CUST00694"/>
    <n v="49"/>
    <s v="Female"/>
    <s v="Pune"/>
    <x v="2"/>
    <x v="27"/>
    <x v="28"/>
    <n v="22"/>
    <n v="6389.46"/>
    <n v="290.43"/>
    <x v="2"/>
    <x v="1"/>
    <x v="8"/>
    <x v="0"/>
    <x v="0"/>
  </r>
  <r>
    <s v="CUST00123"/>
    <n v="24"/>
    <s v="Male"/>
    <s v="Hyderabad"/>
    <x v="3"/>
    <x v="28"/>
    <x v="29"/>
    <n v="23"/>
    <n v="6383.42"/>
    <n v="277.54"/>
    <x v="0"/>
    <x v="2"/>
    <x v="7"/>
    <x v="1"/>
    <x v="0"/>
  </r>
  <r>
    <s v="CUST01853"/>
    <n v="20"/>
    <s v="Male"/>
    <s v="Pune"/>
    <x v="2"/>
    <x v="29"/>
    <x v="30"/>
    <n v="23"/>
    <n v="6371.23"/>
    <n v="277.01"/>
    <x v="2"/>
    <x v="2"/>
    <x v="4"/>
    <x v="0"/>
    <x v="0"/>
  </r>
  <r>
    <s v="CUST00660"/>
    <n v="34"/>
    <s v="Female"/>
    <s v="Bangalore"/>
    <x v="2"/>
    <x v="30"/>
    <x v="31"/>
    <n v="23"/>
    <n v="6368.469999999999"/>
    <n v="276.89"/>
    <x v="3"/>
    <x v="0"/>
    <x v="0"/>
    <x v="0"/>
    <x v="0"/>
  </r>
  <r>
    <s v="CUST00454"/>
    <n v="28"/>
    <s v="Male"/>
    <s v="Chennai"/>
    <x v="0"/>
    <x v="8"/>
    <x v="4"/>
    <n v="22"/>
    <n v="6361.08"/>
    <n v="289.14"/>
    <x v="4"/>
    <x v="1"/>
    <x v="1"/>
    <x v="0"/>
    <x v="0"/>
  </r>
  <r>
    <s v="CUST01099"/>
    <n v="18"/>
    <s v="Female"/>
    <s v="Delhi"/>
    <x v="3"/>
    <x v="31"/>
    <x v="32"/>
    <n v="24"/>
    <n v="6354.719999999999"/>
    <n v="264.78"/>
    <x v="4"/>
    <x v="0"/>
    <x v="1"/>
    <x v="0"/>
    <x v="0"/>
  </r>
  <r>
    <s v="CUST01940"/>
    <n v="26"/>
    <s v="Female"/>
    <s v="Delhi"/>
    <x v="0"/>
    <x v="32"/>
    <x v="33"/>
    <n v="25"/>
    <n v="6353"/>
    <n v="254.12"/>
    <x v="3"/>
    <x v="0"/>
    <x v="0"/>
    <x v="0"/>
    <x v="0"/>
  </r>
  <r>
    <s v="CUST01079"/>
    <n v="32"/>
    <s v="Female"/>
    <s v="Chennai"/>
    <x v="3"/>
    <x v="33"/>
    <x v="34"/>
    <n v="22"/>
    <n v="6318.62"/>
    <n v="287.21"/>
    <x v="2"/>
    <x v="0"/>
    <x v="7"/>
    <x v="0"/>
    <x v="0"/>
  </r>
  <r>
    <s v="CUST00261"/>
    <n v="42"/>
    <s v="Male"/>
    <s v="Kolkata"/>
    <x v="2"/>
    <x v="34"/>
    <x v="35"/>
    <n v="23"/>
    <n v="6316.49"/>
    <n v="274.63"/>
    <x v="3"/>
    <x v="0"/>
    <x v="9"/>
    <x v="0"/>
    <x v="0"/>
  </r>
  <r>
    <s v="CUST00500"/>
    <n v="45"/>
    <s v="Female"/>
    <s v="Pune"/>
    <x v="0"/>
    <x v="35"/>
    <x v="36"/>
    <n v="25"/>
    <n v="6293.25"/>
    <n v="251.73"/>
    <x v="0"/>
    <x v="2"/>
    <x v="2"/>
    <x v="0"/>
    <x v="0"/>
  </r>
  <r>
    <s v="CUST01888"/>
    <n v="43"/>
    <s v="Female"/>
    <s v="Delhi"/>
    <x v="1"/>
    <x v="36"/>
    <x v="37"/>
    <n v="25"/>
    <n v="6290"/>
    <n v="251.6"/>
    <x v="2"/>
    <x v="0"/>
    <x v="1"/>
    <x v="0"/>
    <x v="0"/>
  </r>
  <r>
    <s v="CUST00565"/>
    <n v="41"/>
    <s v="Female"/>
    <s v="Delhi"/>
    <x v="3"/>
    <x v="37"/>
    <x v="38"/>
    <n v="21"/>
    <n v="6282.360000000001"/>
    <n v="299.16"/>
    <x v="4"/>
    <x v="0"/>
    <x v="0"/>
    <x v="0"/>
    <x v="0"/>
  </r>
  <r>
    <s v="CUST00055"/>
    <n v="24"/>
    <s v="Male"/>
    <s v="Bangalore"/>
    <x v="3"/>
    <x v="38"/>
    <x v="39"/>
    <n v="25"/>
    <n v="6235"/>
    <n v="249.4"/>
    <x v="2"/>
    <x v="0"/>
    <x v="0"/>
    <x v="0"/>
    <x v="0"/>
  </r>
  <r>
    <s v="CUST01023"/>
    <n v="33"/>
    <s v="Male"/>
    <s v="Mumbai"/>
    <x v="3"/>
    <x v="39"/>
    <x v="40"/>
    <n v="25"/>
    <n v="6160"/>
    <n v="246.4"/>
    <x v="2"/>
    <x v="2"/>
    <x v="6"/>
    <x v="0"/>
    <x v="0"/>
  </r>
  <r>
    <s v="CUST01094"/>
    <n v="28"/>
    <s v="Male"/>
    <s v="Kolkata"/>
    <x v="3"/>
    <x v="40"/>
    <x v="41"/>
    <n v="21"/>
    <n v="6157.83"/>
    <n v="293.23"/>
    <x v="0"/>
    <x v="2"/>
    <x v="8"/>
    <x v="1"/>
    <x v="0"/>
  </r>
  <r>
    <s v="CUST00003"/>
    <n v="39"/>
    <s v="Female"/>
    <s v="Mumbai"/>
    <x v="1"/>
    <x v="41"/>
    <x v="42"/>
    <n v="25"/>
    <n v="6140.75"/>
    <n v="245.63"/>
    <x v="4"/>
    <x v="2"/>
    <x v="8"/>
    <x v="0"/>
    <x v="0"/>
  </r>
  <r>
    <s v="CUST01617"/>
    <n v="44"/>
    <s v="Female"/>
    <s v="Kolkata"/>
    <x v="1"/>
    <x v="42"/>
    <x v="43"/>
    <n v="22"/>
    <n v="6131.84"/>
    <n v="278.72"/>
    <x v="3"/>
    <x v="2"/>
    <x v="4"/>
    <x v="0"/>
    <x v="0"/>
  </r>
  <r>
    <s v="CUST01307"/>
    <n v="58"/>
    <s v="Female"/>
    <s v="Kolkata"/>
    <x v="0"/>
    <x v="43"/>
    <x v="44"/>
    <n v="21"/>
    <n v="6097.98"/>
    <n v="290.38"/>
    <x v="0"/>
    <x v="2"/>
    <x v="6"/>
    <x v="0"/>
    <x v="0"/>
  </r>
  <r>
    <s v="CUST00108"/>
    <n v="48"/>
    <s v="Female"/>
    <s v="Hyderabad"/>
    <x v="0"/>
    <x v="44"/>
    <x v="45"/>
    <n v="21"/>
    <n v="6088.53"/>
    <n v="289.93"/>
    <x v="2"/>
    <x v="0"/>
    <x v="2"/>
    <x v="1"/>
    <x v="0"/>
  </r>
  <r>
    <s v="CUST00256"/>
    <n v="63"/>
    <s v="Female"/>
    <s v="Kolkata"/>
    <x v="1"/>
    <x v="45"/>
    <x v="46"/>
    <n v="23"/>
    <n v="6037.5"/>
    <n v="262.5"/>
    <x v="2"/>
    <x v="1"/>
    <x v="5"/>
    <x v="0"/>
    <x v="0"/>
  </r>
  <r>
    <s v="CUST01612"/>
    <n v="20"/>
    <s v="Male"/>
    <s v="Delhi"/>
    <x v="2"/>
    <x v="46"/>
    <x v="47"/>
    <n v="25"/>
    <n v="6032.25"/>
    <n v="241.29"/>
    <x v="4"/>
    <x v="2"/>
    <x v="7"/>
    <x v="0"/>
    <x v="0"/>
  </r>
  <r>
    <s v="CUST00634"/>
    <n v="43"/>
    <s v="Female"/>
    <s v="Hyderabad"/>
    <x v="3"/>
    <x v="47"/>
    <x v="48"/>
    <n v="25"/>
    <n v="6026.5"/>
    <n v="241.06"/>
    <x v="2"/>
    <x v="0"/>
    <x v="1"/>
    <x v="0"/>
    <x v="0"/>
  </r>
  <r>
    <s v="CUST01792"/>
    <n v="59"/>
    <s v="Male"/>
    <s v="Hyderabad"/>
    <x v="2"/>
    <x v="48"/>
    <x v="49"/>
    <n v="22"/>
    <n v="6006.66"/>
    <n v="273.03"/>
    <x v="1"/>
    <x v="2"/>
    <x v="8"/>
    <x v="1"/>
    <x v="0"/>
  </r>
  <r>
    <s v="CUST01020"/>
    <n v="60"/>
    <s v="Female"/>
    <s v="Hyderabad"/>
    <x v="0"/>
    <x v="49"/>
    <x v="50"/>
    <n v="23"/>
    <n v="5989.89"/>
    <n v="260.43"/>
    <x v="2"/>
    <x v="1"/>
    <x v="2"/>
    <x v="1"/>
    <x v="0"/>
  </r>
  <r>
    <s v="CUST00335"/>
    <n v="32"/>
    <s v="Female"/>
    <s v="Mumbai"/>
    <x v="2"/>
    <x v="50"/>
    <x v="51"/>
    <n v="22"/>
    <n v="5981.58"/>
    <n v="271.89"/>
    <x v="2"/>
    <x v="1"/>
    <x v="9"/>
    <x v="0"/>
    <x v="0"/>
  </r>
  <r>
    <s v="CUST01724"/>
    <n v="29"/>
    <s v="Male"/>
    <s v="Chennai"/>
    <x v="2"/>
    <x v="51"/>
    <x v="52"/>
    <n v="21"/>
    <n v="5978.49"/>
    <n v="284.69"/>
    <x v="2"/>
    <x v="2"/>
    <x v="8"/>
    <x v="0"/>
    <x v="0"/>
  </r>
  <r>
    <s v="CUST00152"/>
    <n v="36"/>
    <s v="Female"/>
    <s v="Delhi"/>
    <x v="0"/>
    <x v="52"/>
    <x v="53"/>
    <n v="20"/>
    <n v="5972.6"/>
    <n v="298.63"/>
    <x v="4"/>
    <x v="0"/>
    <x v="1"/>
    <x v="0"/>
    <x v="0"/>
  </r>
  <r>
    <s v="CUST01706"/>
    <n v="21"/>
    <s v="Female"/>
    <s v="Bangalore"/>
    <x v="3"/>
    <x v="53"/>
    <x v="54"/>
    <n v="21"/>
    <n v="5967.15"/>
    <n v="284.15"/>
    <x v="0"/>
    <x v="0"/>
    <x v="5"/>
    <x v="0"/>
    <x v="0"/>
  </r>
  <r>
    <s v="CUST01410"/>
    <n v="56"/>
    <s v="Female"/>
    <s v="Kolkata"/>
    <x v="2"/>
    <x v="54"/>
    <x v="55"/>
    <n v="21"/>
    <n v="5966.52"/>
    <n v="284.12"/>
    <x v="0"/>
    <x v="1"/>
    <x v="5"/>
    <x v="0"/>
    <x v="0"/>
  </r>
  <r>
    <s v="CUST01970"/>
    <n v="28"/>
    <s v="Male"/>
    <s v="Delhi"/>
    <x v="0"/>
    <x v="55"/>
    <x v="56"/>
    <n v="25"/>
    <n v="5950.75"/>
    <n v="238.03"/>
    <x v="1"/>
    <x v="0"/>
    <x v="7"/>
    <x v="0"/>
    <x v="0"/>
  </r>
  <r>
    <s v="CUST00281"/>
    <n v="52"/>
    <s v="Male"/>
    <s v="Mumbai"/>
    <x v="0"/>
    <x v="56"/>
    <x v="57"/>
    <n v="25"/>
    <n v="5931.25"/>
    <n v="237.25"/>
    <x v="2"/>
    <x v="2"/>
    <x v="0"/>
    <x v="0"/>
    <x v="0"/>
  </r>
  <r>
    <s v="CUST00829"/>
    <n v="33"/>
    <s v="Female"/>
    <s v="Chennai"/>
    <x v="3"/>
    <x v="57"/>
    <x v="58"/>
    <n v="22"/>
    <n v="5923.280000000001"/>
    <n v="269.24"/>
    <x v="2"/>
    <x v="0"/>
    <x v="6"/>
    <x v="0"/>
    <x v="0"/>
  </r>
  <r>
    <s v="CUST01937"/>
    <n v="52"/>
    <s v="Male"/>
    <s v="Bangalore"/>
    <x v="2"/>
    <x v="58"/>
    <x v="59"/>
    <n v="20"/>
    <n v="5922"/>
    <n v="296.1"/>
    <x v="0"/>
    <x v="2"/>
    <x v="6"/>
    <x v="0"/>
    <x v="0"/>
  </r>
  <r>
    <s v="CUST01820"/>
    <n v="46"/>
    <s v="Female"/>
    <s v="Chennai"/>
    <x v="0"/>
    <x v="59"/>
    <x v="60"/>
    <n v="20"/>
    <n v="5916.4"/>
    <n v="295.82"/>
    <x v="2"/>
    <x v="1"/>
    <x v="4"/>
    <x v="0"/>
    <x v="0"/>
  </r>
  <r>
    <s v="CUST00822"/>
    <n v="64"/>
    <s v="Female"/>
    <s v="Kolkata"/>
    <x v="0"/>
    <x v="60"/>
    <x v="61"/>
    <n v="22"/>
    <n v="5901.719999999999"/>
    <n v="268.26"/>
    <x v="3"/>
    <x v="0"/>
    <x v="4"/>
    <x v="0"/>
    <x v="0"/>
  </r>
  <r>
    <s v="CUST00286"/>
    <n v="24"/>
    <s v="Male"/>
    <s v="Hyderabad"/>
    <x v="3"/>
    <x v="61"/>
    <x v="60"/>
    <n v="25"/>
    <n v="5891"/>
    <n v="235.64"/>
    <x v="4"/>
    <x v="1"/>
    <x v="8"/>
    <x v="1"/>
    <x v="0"/>
  </r>
  <r>
    <s v="CUST01855"/>
    <n v="24"/>
    <s v="Female"/>
    <s v="Chennai"/>
    <x v="3"/>
    <x v="62"/>
    <x v="62"/>
    <n v="22"/>
    <n v="5879.94"/>
    <n v="267.27"/>
    <x v="4"/>
    <x v="1"/>
    <x v="7"/>
    <x v="0"/>
    <x v="0"/>
  </r>
  <r>
    <s v="CUST00934"/>
    <n v="33"/>
    <s v="Male"/>
    <s v="Mumbai"/>
    <x v="0"/>
    <x v="63"/>
    <x v="63"/>
    <n v="20"/>
    <n v="5873.6"/>
    <n v="293.68"/>
    <x v="4"/>
    <x v="1"/>
    <x v="5"/>
    <x v="1"/>
    <x v="0"/>
  </r>
  <r>
    <s v="CUST00215"/>
    <n v="64"/>
    <s v="Female"/>
    <s v="Mumbai"/>
    <x v="0"/>
    <x v="27"/>
    <x v="64"/>
    <n v="24"/>
    <n v="5822.16"/>
    <n v="242.59"/>
    <x v="0"/>
    <x v="2"/>
    <x v="8"/>
    <x v="1"/>
    <x v="0"/>
  </r>
  <r>
    <s v="CUST01270"/>
    <n v="51"/>
    <s v="Male"/>
    <s v="Pune"/>
    <x v="2"/>
    <x v="64"/>
    <x v="65"/>
    <n v="22"/>
    <n v="5822.08"/>
    <n v="264.64"/>
    <x v="3"/>
    <x v="2"/>
    <x v="8"/>
    <x v="0"/>
    <x v="0"/>
  </r>
  <r>
    <s v="CUST00424"/>
    <n v="23"/>
    <s v="Female"/>
    <s v="Chennai"/>
    <x v="2"/>
    <x v="65"/>
    <x v="25"/>
    <n v="23"/>
    <n v="5819.23"/>
    <n v="253.01"/>
    <x v="3"/>
    <x v="0"/>
    <x v="5"/>
    <x v="0"/>
    <x v="0"/>
  </r>
  <r>
    <s v="CUST00142"/>
    <n v="48"/>
    <s v="Female"/>
    <s v="Pune"/>
    <x v="0"/>
    <x v="66"/>
    <x v="66"/>
    <n v="23"/>
    <n v="5812.33"/>
    <n v="252.71"/>
    <x v="3"/>
    <x v="2"/>
    <x v="1"/>
    <x v="0"/>
    <x v="0"/>
  </r>
  <r>
    <s v="CUST00548"/>
    <n v="58"/>
    <s v="Female"/>
    <s v="Pune"/>
    <x v="1"/>
    <x v="67"/>
    <x v="6"/>
    <n v="24"/>
    <n v="5755.440000000001"/>
    <n v="239.81"/>
    <x v="0"/>
    <x v="2"/>
    <x v="1"/>
    <x v="0"/>
    <x v="0"/>
  </r>
  <r>
    <s v="CUST01894"/>
    <n v="43"/>
    <s v="Female"/>
    <s v="Bangalore"/>
    <x v="3"/>
    <x v="68"/>
    <x v="67"/>
    <n v="23"/>
    <n v="5752.99"/>
    <n v="250.13"/>
    <x v="0"/>
    <x v="1"/>
    <x v="5"/>
    <x v="1"/>
    <x v="0"/>
  </r>
  <r>
    <s v="CUST00615"/>
    <n v="64"/>
    <s v="Male"/>
    <s v="Kolkata"/>
    <x v="2"/>
    <x v="69"/>
    <x v="68"/>
    <n v="23"/>
    <n v="5729.76"/>
    <n v="249.12"/>
    <x v="1"/>
    <x v="0"/>
    <x v="6"/>
    <x v="0"/>
    <x v="0"/>
  </r>
  <r>
    <s v="CUST01474"/>
    <n v="49"/>
    <s v="Female"/>
    <s v="Bangalore"/>
    <x v="3"/>
    <x v="70"/>
    <x v="44"/>
    <n v="22"/>
    <n v="5725.94"/>
    <n v="260.27"/>
    <x v="3"/>
    <x v="1"/>
    <x v="6"/>
    <x v="0"/>
    <x v="0"/>
  </r>
  <r>
    <s v="CUST01156"/>
    <n v="43"/>
    <s v="Male"/>
    <s v="Mumbai"/>
    <x v="0"/>
    <x v="71"/>
    <x v="69"/>
    <n v="20"/>
    <n v="5713.400000000001"/>
    <n v="285.67"/>
    <x v="0"/>
    <x v="1"/>
    <x v="5"/>
    <x v="1"/>
    <x v="0"/>
  </r>
  <r>
    <s v="CUST01546"/>
    <n v="28"/>
    <s v="Female"/>
    <s v="Kolkata"/>
    <x v="1"/>
    <x v="72"/>
    <x v="70"/>
    <n v="21"/>
    <n v="5706.120000000001"/>
    <n v="271.72"/>
    <x v="3"/>
    <x v="2"/>
    <x v="3"/>
    <x v="0"/>
    <x v="0"/>
  </r>
  <r>
    <s v="CUST00498"/>
    <n v="52"/>
    <s v="Male"/>
    <s v="Pune"/>
    <x v="0"/>
    <x v="73"/>
    <x v="71"/>
    <n v="20"/>
    <n v="5659.2"/>
    <n v="282.96"/>
    <x v="2"/>
    <x v="1"/>
    <x v="6"/>
    <x v="0"/>
    <x v="0"/>
  </r>
  <r>
    <s v="CUST01166"/>
    <n v="63"/>
    <s v="Female"/>
    <s v="Hyderabad"/>
    <x v="0"/>
    <x v="74"/>
    <x v="72"/>
    <n v="24"/>
    <n v="5646"/>
    <n v="235.25"/>
    <x v="3"/>
    <x v="2"/>
    <x v="1"/>
    <x v="0"/>
    <x v="0"/>
  </r>
  <r>
    <s v="CUST00353"/>
    <n v="26"/>
    <s v="Male"/>
    <s v="Kolkata"/>
    <x v="1"/>
    <x v="75"/>
    <x v="73"/>
    <n v="21"/>
    <n v="5630.31"/>
    <n v="268.11"/>
    <x v="3"/>
    <x v="1"/>
    <x v="4"/>
    <x v="1"/>
    <x v="0"/>
  </r>
  <r>
    <s v="CUST00074"/>
    <n v="19"/>
    <s v="Female"/>
    <s v="Pune"/>
    <x v="0"/>
    <x v="76"/>
    <x v="74"/>
    <n v="22"/>
    <n v="5589.54"/>
    <n v="254.07"/>
    <x v="1"/>
    <x v="1"/>
    <x v="3"/>
    <x v="0"/>
    <x v="0"/>
  </r>
  <r>
    <s v="CUST00601"/>
    <n v="36"/>
    <s v="Male"/>
    <s v="Mumbai"/>
    <x v="1"/>
    <x v="10"/>
    <x v="75"/>
    <n v="20"/>
    <n v="5575.2"/>
    <n v="278.76"/>
    <x v="1"/>
    <x v="2"/>
    <x v="8"/>
    <x v="0"/>
    <x v="0"/>
  </r>
  <r>
    <s v="CUST00374"/>
    <n v="46"/>
    <s v="Male"/>
    <s v="Chennai"/>
    <x v="0"/>
    <x v="77"/>
    <x v="76"/>
    <n v="25"/>
    <n v="5574.5"/>
    <n v="222.98"/>
    <x v="1"/>
    <x v="2"/>
    <x v="3"/>
    <x v="0"/>
    <x v="0"/>
  </r>
  <r>
    <s v="CUST01121"/>
    <n v="21"/>
    <s v="Female"/>
    <s v="Chennai"/>
    <x v="2"/>
    <x v="78"/>
    <x v="77"/>
    <n v="24"/>
    <n v="5559.12"/>
    <n v="231.63"/>
    <x v="1"/>
    <x v="1"/>
    <x v="5"/>
    <x v="1"/>
    <x v="0"/>
  </r>
  <r>
    <s v="CUST01959"/>
    <n v="29"/>
    <s v="Male"/>
    <s v="Hyderabad"/>
    <x v="1"/>
    <x v="79"/>
    <x v="78"/>
    <n v="21"/>
    <n v="5555.34"/>
    <n v="264.54"/>
    <x v="4"/>
    <x v="1"/>
    <x v="5"/>
    <x v="0"/>
    <x v="0"/>
  </r>
  <r>
    <s v="CUST01615"/>
    <n v="21"/>
    <s v="Male"/>
    <s v="Delhi"/>
    <x v="3"/>
    <x v="75"/>
    <x v="79"/>
    <n v="21"/>
    <n v="5523"/>
    <n v="263"/>
    <x v="2"/>
    <x v="2"/>
    <x v="0"/>
    <x v="0"/>
    <x v="0"/>
  </r>
  <r>
    <s v="CUST00371"/>
    <n v="52"/>
    <s v="Male"/>
    <s v="Bangalore"/>
    <x v="3"/>
    <x v="80"/>
    <x v="80"/>
    <n v="23"/>
    <n v="5511.26"/>
    <n v="239.62"/>
    <x v="3"/>
    <x v="0"/>
    <x v="3"/>
    <x v="0"/>
    <x v="0"/>
  </r>
  <r>
    <s v="CUST01697"/>
    <n v="59"/>
    <s v="Female"/>
    <s v="Mumbai"/>
    <x v="0"/>
    <x v="81"/>
    <x v="81"/>
    <n v="23"/>
    <n v="5510.8"/>
    <n v="239.6"/>
    <x v="1"/>
    <x v="0"/>
    <x v="2"/>
    <x v="1"/>
    <x v="0"/>
  </r>
  <r>
    <s v="CUST00128"/>
    <n v="57"/>
    <s v="Female"/>
    <s v="Hyderabad"/>
    <x v="0"/>
    <x v="66"/>
    <x v="82"/>
    <n v="21"/>
    <n v="5501.79"/>
    <n v="261.99"/>
    <x v="2"/>
    <x v="0"/>
    <x v="0"/>
    <x v="0"/>
    <x v="0"/>
  </r>
  <r>
    <s v="CUST00858"/>
    <n v="30"/>
    <s v="Male"/>
    <s v="Bangalore"/>
    <x v="1"/>
    <x v="82"/>
    <x v="83"/>
    <n v="22"/>
    <n v="5489.66"/>
    <n v="249.53"/>
    <x v="1"/>
    <x v="0"/>
    <x v="3"/>
    <x v="0"/>
    <x v="0"/>
  </r>
  <r>
    <s v="CUST01056"/>
    <n v="55"/>
    <s v="Female"/>
    <s v="Mumbai"/>
    <x v="3"/>
    <x v="73"/>
    <x v="84"/>
    <n v="23"/>
    <n v="5488.719999999999"/>
    <n v="238.64"/>
    <x v="0"/>
    <x v="2"/>
    <x v="5"/>
    <x v="0"/>
    <x v="0"/>
  </r>
  <r>
    <s v="CUST01224"/>
    <n v="27"/>
    <s v="Male"/>
    <s v="Kolkata"/>
    <x v="2"/>
    <x v="83"/>
    <x v="85"/>
    <n v="24"/>
    <n v="5483.76"/>
    <n v="228.49"/>
    <x v="0"/>
    <x v="2"/>
    <x v="3"/>
    <x v="0"/>
    <x v="0"/>
  </r>
  <r>
    <s v="CUST01916"/>
    <n v="58"/>
    <s v="Male"/>
    <s v="Chennai"/>
    <x v="3"/>
    <x v="76"/>
    <x v="86"/>
    <n v="23"/>
    <n v="5477.68"/>
    <n v="238.16"/>
    <x v="2"/>
    <x v="2"/>
    <x v="7"/>
    <x v="0"/>
    <x v="0"/>
  </r>
  <r>
    <s v="CUST01603"/>
    <n v="31"/>
    <s v="Female"/>
    <s v="Mumbai"/>
    <x v="0"/>
    <x v="84"/>
    <x v="87"/>
    <n v="19"/>
    <n v="5461.55"/>
    <n v="287.45"/>
    <x v="2"/>
    <x v="1"/>
    <x v="4"/>
    <x v="0"/>
    <x v="0"/>
  </r>
  <r>
    <s v="CUST01972"/>
    <n v="25"/>
    <s v="Female"/>
    <s v="Delhi"/>
    <x v="1"/>
    <x v="85"/>
    <x v="88"/>
    <n v="23"/>
    <n v="5441.11"/>
    <n v="236.57"/>
    <x v="0"/>
    <x v="2"/>
    <x v="2"/>
    <x v="0"/>
    <x v="0"/>
  </r>
  <r>
    <s v="CUST00388"/>
    <n v="29"/>
    <s v="Male"/>
    <s v="Pune"/>
    <x v="2"/>
    <x v="86"/>
    <x v="89"/>
    <n v="21"/>
    <n v="5426.610000000001"/>
    <n v="258.41"/>
    <x v="1"/>
    <x v="2"/>
    <x v="5"/>
    <x v="1"/>
    <x v="0"/>
  </r>
  <r>
    <s v="CUST00587"/>
    <n v="18"/>
    <s v="Female"/>
    <s v="Delhi"/>
    <x v="0"/>
    <x v="87"/>
    <x v="90"/>
    <n v="19"/>
    <n v="5414.05"/>
    <n v="284.95"/>
    <x v="2"/>
    <x v="0"/>
    <x v="3"/>
    <x v="0"/>
    <x v="0"/>
  </r>
  <r>
    <s v="CUST01938"/>
    <n v="46"/>
    <s v="Female"/>
    <s v="Pune"/>
    <x v="0"/>
    <x v="88"/>
    <x v="91"/>
    <n v="21"/>
    <n v="5394.06"/>
    <n v="256.86"/>
    <x v="4"/>
    <x v="1"/>
    <x v="5"/>
    <x v="0"/>
    <x v="0"/>
  </r>
  <r>
    <s v="CUST01100"/>
    <n v="28"/>
    <s v="Male"/>
    <s v="Bangalore"/>
    <x v="1"/>
    <x v="89"/>
    <x v="92"/>
    <n v="20"/>
    <n v="5381.4"/>
    <n v="269.07"/>
    <x v="0"/>
    <x v="0"/>
    <x v="9"/>
    <x v="0"/>
    <x v="0"/>
  </r>
  <r>
    <s v="CUST00282"/>
    <n v="39"/>
    <s v="Male"/>
    <s v="Kolkata"/>
    <x v="3"/>
    <x v="90"/>
    <x v="93"/>
    <n v="21"/>
    <n v="5356.68"/>
    <n v="255.08"/>
    <x v="4"/>
    <x v="2"/>
    <x v="0"/>
    <x v="0"/>
    <x v="0"/>
  </r>
  <r>
    <s v="CUST01278"/>
    <n v="45"/>
    <s v="Female"/>
    <s v="Hyderabad"/>
    <x v="1"/>
    <x v="91"/>
    <x v="94"/>
    <n v="25"/>
    <n v="5355.25"/>
    <n v="214.21"/>
    <x v="2"/>
    <x v="0"/>
    <x v="6"/>
    <x v="1"/>
    <x v="0"/>
  </r>
  <r>
    <s v="CUST00099"/>
    <n v="57"/>
    <s v="Male"/>
    <s v="Chennai"/>
    <x v="0"/>
    <x v="92"/>
    <x v="95"/>
    <n v="20"/>
    <n v="5351.799999999999"/>
    <n v="267.59"/>
    <x v="2"/>
    <x v="0"/>
    <x v="1"/>
    <x v="0"/>
    <x v="0"/>
  </r>
  <r>
    <s v="CUST01809"/>
    <n v="54"/>
    <s v="Male"/>
    <s v="Chennai"/>
    <x v="1"/>
    <x v="93"/>
    <x v="96"/>
    <n v="18"/>
    <n v="5351.58"/>
    <n v="297.31"/>
    <x v="1"/>
    <x v="0"/>
    <x v="9"/>
    <x v="0"/>
    <x v="0"/>
  </r>
  <r>
    <s v="CUST00977"/>
    <n v="21"/>
    <s v="Female"/>
    <s v="Kolkata"/>
    <x v="0"/>
    <x v="94"/>
    <x v="97"/>
    <n v="18"/>
    <n v="5347.44"/>
    <n v="297.08"/>
    <x v="3"/>
    <x v="2"/>
    <x v="1"/>
    <x v="0"/>
    <x v="0"/>
  </r>
  <r>
    <s v="CUST01928"/>
    <n v="32"/>
    <s v="Male"/>
    <s v="Kolkata"/>
    <x v="3"/>
    <x v="95"/>
    <x v="98"/>
    <n v="19"/>
    <n v="5339"/>
    <n v="281"/>
    <x v="1"/>
    <x v="0"/>
    <x v="4"/>
    <x v="0"/>
    <x v="0"/>
  </r>
  <r>
    <s v="CUST01419"/>
    <n v="27"/>
    <s v="Male"/>
    <s v="Delhi"/>
    <x v="3"/>
    <x v="96"/>
    <x v="99"/>
    <n v="24"/>
    <n v="5335.440000000001"/>
    <n v="222.31"/>
    <x v="4"/>
    <x v="1"/>
    <x v="0"/>
    <x v="0"/>
    <x v="0"/>
  </r>
  <r>
    <s v="CUST00592"/>
    <n v="21"/>
    <s v="Female"/>
    <s v="Delhi"/>
    <x v="0"/>
    <x v="97"/>
    <x v="100"/>
    <n v="20"/>
    <n v="5332.799999999999"/>
    <n v="266.64"/>
    <x v="2"/>
    <x v="1"/>
    <x v="2"/>
    <x v="0"/>
    <x v="0"/>
  </r>
  <r>
    <s v="CUST01109"/>
    <n v="45"/>
    <s v="Female"/>
    <s v="Hyderabad"/>
    <x v="2"/>
    <x v="98"/>
    <x v="101"/>
    <n v="21"/>
    <n v="5321.61"/>
    <n v="253.41"/>
    <x v="3"/>
    <x v="0"/>
    <x v="7"/>
    <x v="0"/>
    <x v="0"/>
  </r>
  <r>
    <s v="CUST01887"/>
    <n v="31"/>
    <s v="Female"/>
    <s v="Hyderabad"/>
    <x v="0"/>
    <x v="99"/>
    <x v="102"/>
    <n v="22"/>
    <n v="5303.98"/>
    <n v="241.09"/>
    <x v="0"/>
    <x v="1"/>
    <x v="8"/>
    <x v="0"/>
    <x v="0"/>
  </r>
  <r>
    <s v="CUST01760"/>
    <n v="30"/>
    <s v="Female"/>
    <s v="Chennai"/>
    <x v="1"/>
    <x v="100"/>
    <x v="103"/>
    <n v="23"/>
    <n v="5302.42"/>
    <n v="230.54"/>
    <x v="3"/>
    <x v="0"/>
    <x v="4"/>
    <x v="1"/>
    <x v="0"/>
  </r>
  <r>
    <s v="CUST00939"/>
    <n v="42"/>
    <s v="Male"/>
    <s v="Delhi"/>
    <x v="1"/>
    <x v="86"/>
    <x v="104"/>
    <n v="25"/>
    <n v="5285.75"/>
    <n v="211.43"/>
    <x v="3"/>
    <x v="1"/>
    <x v="7"/>
    <x v="0"/>
    <x v="0"/>
  </r>
  <r>
    <s v="CUST00703"/>
    <n v="26"/>
    <s v="Male"/>
    <s v="Mumbai"/>
    <x v="1"/>
    <x v="97"/>
    <x v="105"/>
    <n v="23"/>
    <n v="5285.17"/>
    <n v="229.79"/>
    <x v="0"/>
    <x v="1"/>
    <x v="8"/>
    <x v="0"/>
    <x v="0"/>
  </r>
  <r>
    <s v="CUST00603"/>
    <n v="25"/>
    <s v="Male"/>
    <s v="Hyderabad"/>
    <x v="3"/>
    <x v="101"/>
    <x v="106"/>
    <n v="18"/>
    <n v="5276.34"/>
    <n v="293.13"/>
    <x v="1"/>
    <x v="1"/>
    <x v="9"/>
    <x v="0"/>
    <x v="0"/>
  </r>
  <r>
    <s v="CUST01237"/>
    <n v="46"/>
    <s v="Female"/>
    <s v="Pune"/>
    <x v="0"/>
    <x v="102"/>
    <x v="107"/>
    <n v="23"/>
    <n v="5253.43"/>
    <n v="228.41"/>
    <x v="2"/>
    <x v="0"/>
    <x v="7"/>
    <x v="0"/>
    <x v="0"/>
  </r>
  <r>
    <s v="CUST01075"/>
    <n v="38"/>
    <s v="Male"/>
    <s v="Hyderabad"/>
    <x v="0"/>
    <x v="103"/>
    <x v="108"/>
    <n v="22"/>
    <n v="5226.54"/>
    <n v="237.57"/>
    <x v="0"/>
    <x v="1"/>
    <x v="0"/>
    <x v="0"/>
    <x v="0"/>
  </r>
  <r>
    <s v="CUST01035"/>
    <n v="65"/>
    <s v="Male"/>
    <s v="Pune"/>
    <x v="3"/>
    <x v="104"/>
    <x v="109"/>
    <n v="20"/>
    <n v="5217.6"/>
    <n v="260.88"/>
    <x v="3"/>
    <x v="1"/>
    <x v="7"/>
    <x v="0"/>
    <x v="0"/>
  </r>
  <r>
    <s v="CUST01892"/>
    <n v="22"/>
    <s v="Male"/>
    <s v="Hyderabad"/>
    <x v="3"/>
    <x v="89"/>
    <x v="110"/>
    <n v="21"/>
    <n v="5201.7"/>
    <n v="247.7"/>
    <x v="2"/>
    <x v="2"/>
    <x v="2"/>
    <x v="0"/>
    <x v="0"/>
  </r>
  <r>
    <s v="CUST00809"/>
    <n v="32"/>
    <s v="Female"/>
    <s v="Bangalore"/>
    <x v="1"/>
    <x v="105"/>
    <x v="111"/>
    <n v="21"/>
    <n v="5198.76"/>
    <n v="247.56"/>
    <x v="1"/>
    <x v="0"/>
    <x v="6"/>
    <x v="0"/>
    <x v="0"/>
  </r>
  <r>
    <s v="CUST00181"/>
    <n v="59"/>
    <s v="Female"/>
    <s v="Pune"/>
    <x v="3"/>
    <x v="106"/>
    <x v="112"/>
    <n v="22"/>
    <n v="5195.52"/>
    <n v="236.16"/>
    <x v="1"/>
    <x v="2"/>
    <x v="1"/>
    <x v="0"/>
    <x v="0"/>
  </r>
  <r>
    <s v="CUST01295"/>
    <n v="39"/>
    <s v="Male"/>
    <s v="Bangalore"/>
    <x v="2"/>
    <x v="107"/>
    <x v="113"/>
    <n v="19"/>
    <n v="5191.94"/>
    <n v="273.26"/>
    <x v="3"/>
    <x v="0"/>
    <x v="5"/>
    <x v="0"/>
    <x v="0"/>
  </r>
  <r>
    <s v="CUST00440"/>
    <n v="28"/>
    <s v="Female"/>
    <s v="Delhi"/>
    <x v="0"/>
    <x v="108"/>
    <x v="114"/>
    <n v="24"/>
    <n v="5188.799999999999"/>
    <n v="216.2"/>
    <x v="3"/>
    <x v="1"/>
    <x v="3"/>
    <x v="1"/>
    <x v="0"/>
  </r>
  <r>
    <s v="CUST00502"/>
    <n v="47"/>
    <s v="Male"/>
    <s v="Bangalore"/>
    <x v="2"/>
    <x v="109"/>
    <x v="115"/>
    <n v="19"/>
    <n v="5149.95"/>
    <n v="271.05"/>
    <x v="1"/>
    <x v="0"/>
    <x v="8"/>
    <x v="0"/>
    <x v="0"/>
  </r>
  <r>
    <s v="CUST00512"/>
    <n v="54"/>
    <s v="Female"/>
    <s v="Mumbai"/>
    <x v="3"/>
    <x v="110"/>
    <x v="116"/>
    <n v="20"/>
    <n v="5147.6"/>
    <n v="257.38"/>
    <x v="0"/>
    <x v="0"/>
    <x v="2"/>
    <x v="0"/>
    <x v="0"/>
  </r>
  <r>
    <s v="CUST01484"/>
    <n v="20"/>
    <s v="Male"/>
    <s v="Hyderabad"/>
    <x v="3"/>
    <x v="111"/>
    <x v="117"/>
    <n v="19"/>
    <n v="5146.34"/>
    <n v="270.86"/>
    <x v="0"/>
    <x v="0"/>
    <x v="8"/>
    <x v="0"/>
    <x v="0"/>
  </r>
  <r>
    <s v="CUST01609"/>
    <n v="26"/>
    <s v="Male"/>
    <s v="Delhi"/>
    <x v="0"/>
    <x v="112"/>
    <x v="118"/>
    <n v="18"/>
    <n v="5126.94"/>
    <n v="284.83"/>
    <x v="1"/>
    <x v="1"/>
    <x v="7"/>
    <x v="0"/>
    <x v="0"/>
  </r>
  <r>
    <s v="CUST00633"/>
    <n v="32"/>
    <s v="Female"/>
    <s v="Chennai"/>
    <x v="3"/>
    <x v="113"/>
    <x v="119"/>
    <n v="20"/>
    <n v="5126.599999999999"/>
    <n v="256.33"/>
    <x v="4"/>
    <x v="0"/>
    <x v="4"/>
    <x v="0"/>
    <x v="0"/>
  </r>
  <r>
    <s v="CUST00191"/>
    <n v="58"/>
    <s v="Female"/>
    <s v="Kolkata"/>
    <x v="3"/>
    <x v="114"/>
    <x v="120"/>
    <n v="22"/>
    <n v="5104.88"/>
    <n v="232.04"/>
    <x v="0"/>
    <x v="1"/>
    <x v="8"/>
    <x v="1"/>
    <x v="0"/>
  </r>
  <r>
    <s v="CUST00143"/>
    <n v="45"/>
    <s v="Male"/>
    <s v="Kolkata"/>
    <x v="2"/>
    <x v="115"/>
    <x v="121"/>
    <n v="18"/>
    <n v="5098.68"/>
    <n v="283.26"/>
    <x v="1"/>
    <x v="1"/>
    <x v="8"/>
    <x v="0"/>
    <x v="0"/>
  </r>
  <r>
    <s v="CUST01447"/>
    <n v="64"/>
    <s v="Female"/>
    <s v="Kolkata"/>
    <x v="0"/>
    <x v="116"/>
    <x v="122"/>
    <n v="18"/>
    <n v="5097.24"/>
    <n v="283.18"/>
    <x v="2"/>
    <x v="0"/>
    <x v="0"/>
    <x v="1"/>
    <x v="0"/>
  </r>
  <r>
    <s v="CUST01605"/>
    <n v="25"/>
    <s v="Female"/>
    <s v="Chennai"/>
    <x v="3"/>
    <x v="117"/>
    <x v="123"/>
    <n v="18"/>
    <n v="5096.16"/>
    <n v="283.12"/>
    <x v="2"/>
    <x v="2"/>
    <x v="5"/>
    <x v="0"/>
    <x v="0"/>
  </r>
  <r>
    <s v="CUST01664"/>
    <n v="28"/>
    <s v="Male"/>
    <s v="Chennai"/>
    <x v="3"/>
    <x v="0"/>
    <x v="118"/>
    <n v="22"/>
    <n v="5093.88"/>
    <n v="231.54"/>
    <x v="3"/>
    <x v="2"/>
    <x v="0"/>
    <x v="0"/>
    <x v="0"/>
  </r>
  <r>
    <s v="CUST01095"/>
    <n v="54"/>
    <s v="Male"/>
    <s v="Delhi"/>
    <x v="3"/>
    <x v="118"/>
    <x v="124"/>
    <n v="20"/>
    <n v="5093.2"/>
    <n v="254.66"/>
    <x v="4"/>
    <x v="1"/>
    <x v="1"/>
    <x v="0"/>
    <x v="0"/>
  </r>
  <r>
    <s v="CUST00161"/>
    <n v="44"/>
    <s v="Male"/>
    <s v="Mumbai"/>
    <x v="2"/>
    <x v="119"/>
    <x v="125"/>
    <n v="23"/>
    <n v="5089.44"/>
    <n v="221.28"/>
    <x v="3"/>
    <x v="1"/>
    <x v="2"/>
    <x v="0"/>
    <x v="0"/>
  </r>
  <r>
    <s v="CUST01398"/>
    <n v="28"/>
    <s v="Female"/>
    <s v="Mumbai"/>
    <x v="1"/>
    <x v="18"/>
    <x v="126"/>
    <n v="20"/>
    <n v="5086.8"/>
    <n v="254.34"/>
    <x v="4"/>
    <x v="1"/>
    <x v="7"/>
    <x v="0"/>
    <x v="0"/>
  </r>
  <r>
    <s v="CUST00928"/>
    <n v="51"/>
    <s v="Female"/>
    <s v="Hyderabad"/>
    <x v="1"/>
    <x v="120"/>
    <x v="88"/>
    <n v="17"/>
    <n v="5063.28"/>
    <n v="297.84"/>
    <x v="4"/>
    <x v="1"/>
    <x v="9"/>
    <x v="0"/>
    <x v="0"/>
  </r>
  <r>
    <s v="CUST00423"/>
    <n v="62"/>
    <s v="Male"/>
    <s v="Kolkata"/>
    <x v="2"/>
    <x v="121"/>
    <x v="83"/>
    <n v="21"/>
    <n v="5057.22"/>
    <n v="240.82"/>
    <x v="2"/>
    <x v="1"/>
    <x v="3"/>
    <x v="0"/>
    <x v="0"/>
  </r>
  <r>
    <s v="CUST00886"/>
    <n v="48"/>
    <s v="Female"/>
    <s v="Pune"/>
    <x v="0"/>
    <x v="122"/>
    <x v="127"/>
    <n v="22"/>
    <n v="5027.66"/>
    <n v="228.53"/>
    <x v="2"/>
    <x v="2"/>
    <x v="1"/>
    <x v="0"/>
    <x v="0"/>
  </r>
  <r>
    <s v="CUST01514"/>
    <n v="61"/>
    <s v="Male"/>
    <s v="Bangalore"/>
    <x v="1"/>
    <x v="123"/>
    <x v="128"/>
    <n v="24"/>
    <n v="5021.04"/>
    <n v="209.21"/>
    <x v="3"/>
    <x v="0"/>
    <x v="8"/>
    <x v="0"/>
    <x v="0"/>
  </r>
  <r>
    <s v="CUST01607"/>
    <n v="46"/>
    <s v="Male"/>
    <s v="Mumbai"/>
    <x v="1"/>
    <x v="124"/>
    <x v="77"/>
    <n v="20"/>
    <n v="5019.2"/>
    <n v="250.96"/>
    <x v="2"/>
    <x v="2"/>
    <x v="5"/>
    <x v="0"/>
    <x v="0"/>
  </r>
  <r>
    <s v="CUST00662"/>
    <n v="35"/>
    <s v="Male"/>
    <s v="Kolkata"/>
    <x v="3"/>
    <x v="125"/>
    <x v="129"/>
    <n v="25"/>
    <n v="5011"/>
    <n v="200.44"/>
    <x v="2"/>
    <x v="0"/>
    <x v="7"/>
    <x v="0"/>
    <x v="0"/>
  </r>
  <r>
    <s v="CUST00274"/>
    <n v="25"/>
    <s v="Male"/>
    <s v="Chennai"/>
    <x v="1"/>
    <x v="126"/>
    <x v="130"/>
    <n v="22"/>
    <n v="5008.74"/>
    <n v="227.67"/>
    <x v="3"/>
    <x v="2"/>
    <x v="2"/>
    <x v="0"/>
    <x v="0"/>
  </r>
  <r>
    <s v="CUST01073"/>
    <n v="46"/>
    <s v="Female"/>
    <s v="Hyderabad"/>
    <x v="2"/>
    <x v="114"/>
    <x v="131"/>
    <n v="23"/>
    <n v="5008.71"/>
    <n v="217.77"/>
    <x v="3"/>
    <x v="2"/>
    <x v="1"/>
    <x v="0"/>
    <x v="0"/>
  </r>
  <r>
    <s v="CUST01843"/>
    <n v="33"/>
    <s v="Male"/>
    <s v="Bangalore"/>
    <x v="3"/>
    <x v="127"/>
    <x v="132"/>
    <n v="22"/>
    <n v="5003.68"/>
    <n v="227.44"/>
    <x v="4"/>
    <x v="2"/>
    <x v="1"/>
    <x v="1"/>
    <x v="0"/>
  </r>
  <r>
    <s v="CUST00200"/>
    <n v="44"/>
    <s v="Female"/>
    <s v="Hyderabad"/>
    <x v="3"/>
    <x v="124"/>
    <x v="100"/>
    <n v="25"/>
    <n v="4990.75"/>
    <n v="199.63"/>
    <x v="2"/>
    <x v="1"/>
    <x v="8"/>
    <x v="0"/>
    <x v="1"/>
  </r>
  <r>
    <s v="CUST00093"/>
    <n v="21"/>
    <s v="Female"/>
    <s v="Kolkata"/>
    <x v="2"/>
    <x v="128"/>
    <x v="133"/>
    <n v="19"/>
    <n v="4982.18"/>
    <n v="262.22"/>
    <x v="1"/>
    <x v="0"/>
    <x v="9"/>
    <x v="0"/>
    <x v="1"/>
  </r>
  <r>
    <s v="CUST00146"/>
    <n v="51"/>
    <s v="Male"/>
    <s v="Hyderabad"/>
    <x v="3"/>
    <x v="129"/>
    <x v="134"/>
    <n v="17"/>
    <n v="4979.299999999999"/>
    <n v="292.9"/>
    <x v="3"/>
    <x v="0"/>
    <x v="7"/>
    <x v="1"/>
    <x v="1"/>
  </r>
  <r>
    <s v="CUST01991"/>
    <n v="50"/>
    <s v="Female"/>
    <s v="Chennai"/>
    <x v="1"/>
    <x v="130"/>
    <x v="31"/>
    <n v="20"/>
    <n v="4969.2"/>
    <n v="248.46"/>
    <x v="1"/>
    <x v="1"/>
    <x v="8"/>
    <x v="0"/>
    <x v="1"/>
  </r>
  <r>
    <s v="CUST00487"/>
    <n v="63"/>
    <s v="Male"/>
    <s v="Delhi"/>
    <x v="1"/>
    <x v="131"/>
    <x v="135"/>
    <n v="17"/>
    <n v="4941.9"/>
    <n v="290.7"/>
    <x v="0"/>
    <x v="1"/>
    <x v="9"/>
    <x v="0"/>
    <x v="1"/>
  </r>
  <r>
    <s v="CUST01613"/>
    <n v="25"/>
    <s v="Female"/>
    <s v="Delhi"/>
    <x v="2"/>
    <x v="132"/>
    <x v="136"/>
    <n v="19"/>
    <n v="4929.55"/>
    <n v="259.45"/>
    <x v="1"/>
    <x v="2"/>
    <x v="4"/>
    <x v="0"/>
    <x v="1"/>
  </r>
  <r>
    <s v="CUST00789"/>
    <n v="54"/>
    <s v="Female"/>
    <s v="Hyderabad"/>
    <x v="3"/>
    <x v="133"/>
    <x v="137"/>
    <n v="20"/>
    <n v="4922.4"/>
    <n v="246.12"/>
    <x v="0"/>
    <x v="2"/>
    <x v="8"/>
    <x v="0"/>
    <x v="1"/>
  </r>
  <r>
    <s v="CUST00356"/>
    <n v="60"/>
    <s v="Female"/>
    <s v="Mumbai"/>
    <x v="0"/>
    <x v="134"/>
    <x v="138"/>
    <n v="22"/>
    <n v="4916.12"/>
    <n v="223.46"/>
    <x v="3"/>
    <x v="0"/>
    <x v="5"/>
    <x v="0"/>
    <x v="1"/>
  </r>
  <r>
    <s v="CUST00490"/>
    <n v="58"/>
    <s v="Male"/>
    <s v="Hyderabad"/>
    <x v="1"/>
    <x v="135"/>
    <x v="49"/>
    <n v="17"/>
    <n v="4912.490000000001"/>
    <n v="288.97"/>
    <x v="0"/>
    <x v="2"/>
    <x v="7"/>
    <x v="0"/>
    <x v="1"/>
  </r>
  <r>
    <s v="CUST00517"/>
    <n v="44"/>
    <s v="Male"/>
    <s v="Kolkata"/>
    <x v="2"/>
    <x v="136"/>
    <x v="139"/>
    <n v="18"/>
    <n v="4875.48"/>
    <n v="270.86"/>
    <x v="0"/>
    <x v="0"/>
    <x v="9"/>
    <x v="0"/>
    <x v="1"/>
  </r>
  <r>
    <s v="CUST01536"/>
    <n v="60"/>
    <s v="Female"/>
    <s v="Kolkata"/>
    <x v="3"/>
    <x v="137"/>
    <x v="140"/>
    <n v="25"/>
    <n v="4871.5"/>
    <n v="194.86"/>
    <x v="3"/>
    <x v="0"/>
    <x v="1"/>
    <x v="0"/>
    <x v="1"/>
  </r>
  <r>
    <s v="CUST00202"/>
    <n v="42"/>
    <s v="Male"/>
    <s v="Mumbai"/>
    <x v="3"/>
    <x v="138"/>
    <x v="45"/>
    <n v="22"/>
    <n v="4869.7"/>
    <n v="221.35"/>
    <x v="4"/>
    <x v="2"/>
    <x v="1"/>
    <x v="0"/>
    <x v="1"/>
  </r>
  <r>
    <s v="CUST01314"/>
    <n v="22"/>
    <s v="Female"/>
    <s v="Chennai"/>
    <x v="2"/>
    <x v="139"/>
    <x v="141"/>
    <n v="23"/>
    <n v="4846.099999999999"/>
    <n v="210.7"/>
    <x v="2"/>
    <x v="1"/>
    <x v="2"/>
    <x v="0"/>
    <x v="1"/>
  </r>
  <r>
    <s v="CUST00879"/>
    <n v="43"/>
    <s v="Female"/>
    <s v="Mumbai"/>
    <x v="0"/>
    <x v="140"/>
    <x v="142"/>
    <n v="22"/>
    <n v="4840.219999999999"/>
    <n v="220.01"/>
    <x v="3"/>
    <x v="2"/>
    <x v="5"/>
    <x v="0"/>
    <x v="1"/>
  </r>
  <r>
    <s v="CUST01236"/>
    <n v="24"/>
    <s v="Male"/>
    <s v="Delhi"/>
    <x v="1"/>
    <x v="141"/>
    <x v="143"/>
    <n v="19"/>
    <n v="4839.3"/>
    <n v="254.7"/>
    <x v="4"/>
    <x v="0"/>
    <x v="4"/>
    <x v="0"/>
    <x v="1"/>
  </r>
  <r>
    <s v="CUST01711"/>
    <n v="57"/>
    <s v="Male"/>
    <s v="Bangalore"/>
    <x v="1"/>
    <x v="142"/>
    <x v="144"/>
    <n v="25"/>
    <n v="4830.25"/>
    <n v="193.21"/>
    <x v="2"/>
    <x v="1"/>
    <x v="3"/>
    <x v="1"/>
    <x v="1"/>
  </r>
  <r>
    <s v="CUST01352"/>
    <n v="62"/>
    <s v="Female"/>
    <s v="Kolkata"/>
    <x v="1"/>
    <x v="143"/>
    <x v="145"/>
    <n v="19"/>
    <n v="4824.29"/>
    <n v="253.91"/>
    <x v="3"/>
    <x v="1"/>
    <x v="9"/>
    <x v="0"/>
    <x v="1"/>
  </r>
  <r>
    <s v="CUST01775"/>
    <n v="44"/>
    <s v="Female"/>
    <s v="Hyderabad"/>
    <x v="0"/>
    <x v="144"/>
    <x v="50"/>
    <n v="18"/>
    <n v="4819.32"/>
    <n v="267.74"/>
    <x v="2"/>
    <x v="2"/>
    <x v="7"/>
    <x v="0"/>
    <x v="1"/>
  </r>
  <r>
    <s v="CUST01348"/>
    <n v="19"/>
    <s v="Female"/>
    <s v="Mumbai"/>
    <x v="0"/>
    <x v="145"/>
    <x v="146"/>
    <n v="21"/>
    <n v="4796.19"/>
    <n v="228.39"/>
    <x v="3"/>
    <x v="2"/>
    <x v="0"/>
    <x v="0"/>
    <x v="1"/>
  </r>
  <r>
    <s v="CUST01895"/>
    <n v="42"/>
    <s v="Male"/>
    <s v="Bangalore"/>
    <x v="1"/>
    <x v="146"/>
    <x v="147"/>
    <n v="19"/>
    <n v="4792.56"/>
    <n v="252.24"/>
    <x v="4"/>
    <x v="1"/>
    <x v="0"/>
    <x v="1"/>
    <x v="1"/>
  </r>
  <r>
    <s v="CUST00170"/>
    <n v="37"/>
    <s v="Female"/>
    <s v="Delhi"/>
    <x v="0"/>
    <x v="147"/>
    <x v="148"/>
    <n v="16"/>
    <n v="4781.92"/>
    <n v="298.87"/>
    <x v="2"/>
    <x v="0"/>
    <x v="2"/>
    <x v="0"/>
    <x v="1"/>
  </r>
  <r>
    <s v="CUST01573"/>
    <n v="59"/>
    <s v="Female"/>
    <s v="Chennai"/>
    <x v="0"/>
    <x v="148"/>
    <x v="149"/>
    <n v="16"/>
    <n v="4773.92"/>
    <n v="298.37"/>
    <x v="2"/>
    <x v="0"/>
    <x v="5"/>
    <x v="1"/>
    <x v="1"/>
  </r>
  <r>
    <s v="CUST00891"/>
    <n v="19"/>
    <s v="Male"/>
    <s v="Pune"/>
    <x v="2"/>
    <x v="149"/>
    <x v="150"/>
    <n v="17"/>
    <n v="4773.09"/>
    <n v="280.77"/>
    <x v="1"/>
    <x v="1"/>
    <x v="6"/>
    <x v="0"/>
    <x v="1"/>
  </r>
  <r>
    <s v="CUST01268"/>
    <n v="61"/>
    <s v="Male"/>
    <s v="Pune"/>
    <x v="0"/>
    <x v="150"/>
    <x v="122"/>
    <n v="16"/>
    <n v="4765.44"/>
    <n v="297.84"/>
    <x v="1"/>
    <x v="2"/>
    <x v="1"/>
    <x v="0"/>
    <x v="1"/>
  </r>
  <r>
    <s v="CUST00552"/>
    <n v="64"/>
    <s v="Female"/>
    <s v="Delhi"/>
    <x v="2"/>
    <x v="151"/>
    <x v="151"/>
    <n v="24"/>
    <n v="4764.48"/>
    <n v="198.52"/>
    <x v="3"/>
    <x v="2"/>
    <x v="5"/>
    <x v="0"/>
    <x v="1"/>
  </r>
  <r>
    <s v="CUST01833"/>
    <n v="34"/>
    <s v="Female"/>
    <s v="Pune"/>
    <x v="3"/>
    <x v="152"/>
    <x v="152"/>
    <n v="25"/>
    <n v="4752.25"/>
    <n v="190.09"/>
    <x v="4"/>
    <x v="2"/>
    <x v="4"/>
    <x v="0"/>
    <x v="1"/>
  </r>
  <r>
    <s v="CUST00468"/>
    <n v="28"/>
    <s v="Male"/>
    <s v="Pune"/>
    <x v="3"/>
    <x v="153"/>
    <x v="153"/>
    <n v="23"/>
    <n v="4744.21"/>
    <n v="206.27"/>
    <x v="0"/>
    <x v="1"/>
    <x v="5"/>
    <x v="0"/>
    <x v="1"/>
  </r>
  <r>
    <s v="CUST01767"/>
    <n v="64"/>
    <s v="Male"/>
    <s v="Chennai"/>
    <x v="0"/>
    <x v="41"/>
    <x v="154"/>
    <n v="16"/>
    <n v="4743.52"/>
    <n v="296.47"/>
    <x v="3"/>
    <x v="1"/>
    <x v="9"/>
    <x v="0"/>
    <x v="1"/>
  </r>
  <r>
    <s v="CUST01343"/>
    <n v="21"/>
    <s v="Male"/>
    <s v="Pune"/>
    <x v="2"/>
    <x v="138"/>
    <x v="155"/>
    <n v="19"/>
    <n v="4731"/>
    <n v="249"/>
    <x v="1"/>
    <x v="0"/>
    <x v="6"/>
    <x v="0"/>
    <x v="1"/>
  </r>
  <r>
    <s v="CUST00810"/>
    <n v="42"/>
    <s v="Female"/>
    <s v="Mumbai"/>
    <x v="3"/>
    <x v="154"/>
    <x v="147"/>
    <n v="22"/>
    <n v="4729.12"/>
    <n v="214.96"/>
    <x v="3"/>
    <x v="2"/>
    <x v="2"/>
    <x v="0"/>
    <x v="1"/>
  </r>
  <r>
    <s v="CUST01877"/>
    <n v="58"/>
    <s v="Female"/>
    <s v="Mumbai"/>
    <x v="2"/>
    <x v="155"/>
    <x v="156"/>
    <n v="17"/>
    <n v="4698.12"/>
    <n v="276.36"/>
    <x v="0"/>
    <x v="1"/>
    <x v="7"/>
    <x v="0"/>
    <x v="1"/>
  </r>
  <r>
    <s v="CUST00361"/>
    <n v="25"/>
    <s v="Male"/>
    <s v="Kolkata"/>
    <x v="1"/>
    <x v="156"/>
    <x v="157"/>
    <n v="23"/>
    <n v="4692.23"/>
    <n v="204.01"/>
    <x v="3"/>
    <x v="1"/>
    <x v="9"/>
    <x v="0"/>
    <x v="1"/>
  </r>
  <r>
    <s v="CUST01690"/>
    <n v="49"/>
    <s v="Male"/>
    <s v="Hyderabad"/>
    <x v="3"/>
    <x v="157"/>
    <x v="158"/>
    <n v="20"/>
    <n v="4686"/>
    <n v="234.3"/>
    <x v="2"/>
    <x v="2"/>
    <x v="0"/>
    <x v="0"/>
    <x v="1"/>
  </r>
  <r>
    <s v="CUST01552"/>
    <n v="42"/>
    <s v="Male"/>
    <s v="Mumbai"/>
    <x v="0"/>
    <x v="158"/>
    <x v="159"/>
    <n v="24"/>
    <n v="4682.64"/>
    <n v="195.11"/>
    <x v="4"/>
    <x v="2"/>
    <x v="7"/>
    <x v="0"/>
    <x v="1"/>
  </r>
  <r>
    <s v="CUST00575"/>
    <n v="44"/>
    <s v="Female"/>
    <s v="Chennai"/>
    <x v="1"/>
    <x v="109"/>
    <x v="160"/>
    <n v="23"/>
    <n v="4657.27"/>
    <n v="202.49"/>
    <x v="1"/>
    <x v="2"/>
    <x v="1"/>
    <x v="0"/>
    <x v="1"/>
  </r>
  <r>
    <s v="CUST00746"/>
    <n v="49"/>
    <s v="Male"/>
    <s v="Delhi"/>
    <x v="1"/>
    <x v="159"/>
    <x v="159"/>
    <n v="16"/>
    <n v="4653.44"/>
    <n v="290.84"/>
    <x v="2"/>
    <x v="2"/>
    <x v="1"/>
    <x v="1"/>
    <x v="1"/>
  </r>
  <r>
    <s v="CUST00344"/>
    <n v="58"/>
    <s v="Female"/>
    <s v="Kolkata"/>
    <x v="0"/>
    <x v="160"/>
    <x v="161"/>
    <n v="23"/>
    <n v="4649.45"/>
    <n v="202.15"/>
    <x v="0"/>
    <x v="2"/>
    <x v="8"/>
    <x v="1"/>
    <x v="1"/>
  </r>
  <r>
    <s v="CUST01695"/>
    <n v="40"/>
    <s v="Male"/>
    <s v="Bangalore"/>
    <x v="2"/>
    <x v="161"/>
    <x v="162"/>
    <n v="17"/>
    <n v="4647.799999999999"/>
    <n v="273.4"/>
    <x v="4"/>
    <x v="0"/>
    <x v="9"/>
    <x v="0"/>
    <x v="1"/>
  </r>
  <r>
    <s v="CUST00078"/>
    <n v="21"/>
    <s v="Male"/>
    <s v="Bangalore"/>
    <x v="1"/>
    <x v="162"/>
    <x v="163"/>
    <n v="20"/>
    <n v="4636"/>
    <n v="231.8"/>
    <x v="4"/>
    <x v="1"/>
    <x v="2"/>
    <x v="0"/>
    <x v="1"/>
  </r>
  <r>
    <s v="CUST01594"/>
    <n v="32"/>
    <s v="Female"/>
    <s v="Hyderabad"/>
    <x v="3"/>
    <x v="12"/>
    <x v="164"/>
    <n v="16"/>
    <n v="4634.72"/>
    <n v="289.67"/>
    <x v="4"/>
    <x v="0"/>
    <x v="7"/>
    <x v="0"/>
    <x v="1"/>
  </r>
  <r>
    <s v="CUST01674"/>
    <n v="55"/>
    <s v="Female"/>
    <s v="Bangalore"/>
    <x v="2"/>
    <x v="0"/>
    <x v="165"/>
    <n v="23"/>
    <n v="4630.59"/>
    <n v="201.33"/>
    <x v="0"/>
    <x v="2"/>
    <x v="7"/>
    <x v="1"/>
    <x v="1"/>
  </r>
  <r>
    <s v="CUST00315"/>
    <n v="42"/>
    <s v="Female"/>
    <s v="Pune"/>
    <x v="3"/>
    <x v="90"/>
    <x v="166"/>
    <n v="25"/>
    <n v="4628"/>
    <n v="185.12"/>
    <x v="0"/>
    <x v="2"/>
    <x v="2"/>
    <x v="0"/>
    <x v="1"/>
  </r>
  <r>
    <s v="CUST01254"/>
    <n v="44"/>
    <s v="Male"/>
    <s v="Kolkata"/>
    <x v="2"/>
    <x v="163"/>
    <x v="44"/>
    <n v="19"/>
    <n v="4627.64"/>
    <n v="243.56"/>
    <x v="3"/>
    <x v="0"/>
    <x v="6"/>
    <x v="0"/>
    <x v="1"/>
  </r>
  <r>
    <s v="CUST01965"/>
    <n v="44"/>
    <s v="Male"/>
    <s v="Delhi"/>
    <x v="0"/>
    <x v="164"/>
    <x v="167"/>
    <n v="23"/>
    <n v="4618.17"/>
    <n v="200.79"/>
    <x v="3"/>
    <x v="2"/>
    <x v="1"/>
    <x v="0"/>
    <x v="1"/>
  </r>
  <r>
    <s v="CUST00914"/>
    <n v="21"/>
    <s v="Female"/>
    <s v="Bangalore"/>
    <x v="1"/>
    <x v="107"/>
    <x v="168"/>
    <n v="16"/>
    <n v="4610.08"/>
    <n v="288.13"/>
    <x v="4"/>
    <x v="1"/>
    <x v="5"/>
    <x v="0"/>
    <x v="1"/>
  </r>
  <r>
    <s v="CUST01837"/>
    <n v="39"/>
    <s v="Female"/>
    <s v="Kolkata"/>
    <x v="1"/>
    <x v="79"/>
    <x v="169"/>
    <n v="21"/>
    <n v="4593.33"/>
    <n v="218.73"/>
    <x v="1"/>
    <x v="2"/>
    <x v="0"/>
    <x v="0"/>
    <x v="1"/>
  </r>
  <r>
    <s v="CUST00269"/>
    <n v="41"/>
    <s v="Female"/>
    <s v="Mumbai"/>
    <x v="3"/>
    <x v="165"/>
    <x v="170"/>
    <n v="17"/>
    <n v="4570.28"/>
    <n v="268.84"/>
    <x v="0"/>
    <x v="1"/>
    <x v="9"/>
    <x v="1"/>
    <x v="1"/>
  </r>
  <r>
    <s v="CUST00534"/>
    <n v="33"/>
    <s v="Male"/>
    <s v="Chennai"/>
    <x v="0"/>
    <x v="166"/>
    <x v="162"/>
    <n v="19"/>
    <n v="4568.55"/>
    <n v="240.45"/>
    <x v="0"/>
    <x v="1"/>
    <x v="8"/>
    <x v="0"/>
    <x v="1"/>
  </r>
  <r>
    <s v="CUST00040"/>
    <n v="31"/>
    <s v="Female"/>
    <s v="Kolkata"/>
    <x v="2"/>
    <x v="44"/>
    <x v="171"/>
    <n v="18"/>
    <n v="4561.92"/>
    <n v="253.44"/>
    <x v="2"/>
    <x v="1"/>
    <x v="2"/>
    <x v="0"/>
    <x v="1"/>
  </r>
  <r>
    <s v="CUST00951"/>
    <n v="18"/>
    <s v="Female"/>
    <s v="Kolkata"/>
    <x v="1"/>
    <x v="32"/>
    <x v="172"/>
    <n v="21"/>
    <n v="4558.47"/>
    <n v="217.07"/>
    <x v="0"/>
    <x v="1"/>
    <x v="1"/>
    <x v="0"/>
    <x v="1"/>
  </r>
  <r>
    <s v="CUST00834"/>
    <n v="20"/>
    <s v="Male"/>
    <s v="Hyderabad"/>
    <x v="0"/>
    <x v="26"/>
    <x v="77"/>
    <n v="19"/>
    <n v="4555.44"/>
    <n v="239.76"/>
    <x v="4"/>
    <x v="0"/>
    <x v="3"/>
    <x v="0"/>
    <x v="1"/>
  </r>
  <r>
    <s v="CUST01408"/>
    <n v="47"/>
    <s v="Male"/>
    <s v="Chennai"/>
    <x v="0"/>
    <x v="167"/>
    <x v="173"/>
    <n v="19"/>
    <n v="4546.32"/>
    <n v="239.28"/>
    <x v="1"/>
    <x v="2"/>
    <x v="4"/>
    <x v="0"/>
    <x v="1"/>
  </r>
  <r>
    <s v="CUST01159"/>
    <n v="59"/>
    <s v="Male"/>
    <s v="Chennai"/>
    <x v="0"/>
    <x v="168"/>
    <x v="121"/>
    <n v="18"/>
    <n v="4542.48"/>
    <n v="252.36"/>
    <x v="2"/>
    <x v="0"/>
    <x v="7"/>
    <x v="0"/>
    <x v="1"/>
  </r>
  <r>
    <s v="CUST01989"/>
    <n v="63"/>
    <s v="Male"/>
    <s v="Hyderabad"/>
    <x v="0"/>
    <x v="169"/>
    <x v="174"/>
    <n v="25"/>
    <n v="4540.25"/>
    <n v="181.61"/>
    <x v="0"/>
    <x v="0"/>
    <x v="9"/>
    <x v="0"/>
    <x v="1"/>
  </r>
  <r>
    <s v="CUST01649"/>
    <n v="60"/>
    <s v="Female"/>
    <s v="Delhi"/>
    <x v="0"/>
    <x v="126"/>
    <x v="175"/>
    <n v="22"/>
    <n v="4538.6"/>
    <n v="206.3"/>
    <x v="1"/>
    <x v="1"/>
    <x v="4"/>
    <x v="1"/>
    <x v="1"/>
  </r>
  <r>
    <s v="CUST00366"/>
    <n v="56"/>
    <s v="Male"/>
    <s v="Bangalore"/>
    <x v="3"/>
    <x v="170"/>
    <x v="61"/>
    <n v="17"/>
    <n v="4535.43"/>
    <n v="266.79"/>
    <x v="4"/>
    <x v="1"/>
    <x v="2"/>
    <x v="0"/>
    <x v="1"/>
  </r>
  <r>
    <s v="CUST00630"/>
    <n v="46"/>
    <s v="Male"/>
    <s v="Pune"/>
    <x v="3"/>
    <x v="171"/>
    <x v="176"/>
    <n v="20"/>
    <n v="4522.6"/>
    <n v="226.13"/>
    <x v="4"/>
    <x v="1"/>
    <x v="0"/>
    <x v="0"/>
    <x v="1"/>
  </r>
  <r>
    <s v="CUST00913"/>
    <n v="32"/>
    <s v="Male"/>
    <s v="Mumbai"/>
    <x v="2"/>
    <x v="102"/>
    <x v="92"/>
    <n v="19"/>
    <n v="4511.55"/>
    <n v="237.45"/>
    <x v="3"/>
    <x v="2"/>
    <x v="6"/>
    <x v="0"/>
    <x v="1"/>
  </r>
  <r>
    <s v="CUST00252"/>
    <n v="64"/>
    <s v="Female"/>
    <s v="Pune"/>
    <x v="1"/>
    <x v="172"/>
    <x v="177"/>
    <n v="18"/>
    <n v="4505.940000000001"/>
    <n v="250.33"/>
    <x v="2"/>
    <x v="2"/>
    <x v="0"/>
    <x v="1"/>
    <x v="1"/>
  </r>
  <r>
    <s v="CUST00794"/>
    <n v="42"/>
    <s v="Female"/>
    <s v="Chennai"/>
    <x v="3"/>
    <x v="173"/>
    <x v="178"/>
    <n v="21"/>
    <n v="4503.66"/>
    <n v="214.46"/>
    <x v="1"/>
    <x v="1"/>
    <x v="6"/>
    <x v="0"/>
    <x v="1"/>
  </r>
  <r>
    <s v="CUST01064"/>
    <n v="45"/>
    <s v="Female"/>
    <s v="Mumbai"/>
    <x v="3"/>
    <x v="174"/>
    <x v="179"/>
    <n v="17"/>
    <n v="4466.41"/>
    <n v="262.73"/>
    <x v="0"/>
    <x v="2"/>
    <x v="1"/>
    <x v="0"/>
    <x v="1"/>
  </r>
  <r>
    <s v="CUST01987"/>
    <n v="23"/>
    <s v="Male"/>
    <s v="Bangalore"/>
    <x v="0"/>
    <x v="175"/>
    <x v="180"/>
    <n v="19"/>
    <n v="4466.33"/>
    <n v="235.07"/>
    <x v="2"/>
    <x v="2"/>
    <x v="6"/>
    <x v="0"/>
    <x v="1"/>
  </r>
  <r>
    <s v="CUST00948"/>
    <n v="24"/>
    <s v="Male"/>
    <s v="Kolkata"/>
    <x v="0"/>
    <x v="176"/>
    <x v="180"/>
    <n v="23"/>
    <n v="4455.33"/>
    <n v="193.71"/>
    <x v="3"/>
    <x v="0"/>
    <x v="6"/>
    <x v="0"/>
    <x v="1"/>
  </r>
  <r>
    <s v="CUST00339"/>
    <n v="23"/>
    <s v="Male"/>
    <s v="Pune"/>
    <x v="3"/>
    <x v="82"/>
    <x v="53"/>
    <n v="19"/>
    <n v="4447.14"/>
    <n v="234.06"/>
    <x v="2"/>
    <x v="1"/>
    <x v="7"/>
    <x v="0"/>
    <x v="1"/>
  </r>
  <r>
    <s v="CUST00998"/>
    <n v="29"/>
    <s v="Female"/>
    <s v="Chennai"/>
    <x v="2"/>
    <x v="116"/>
    <x v="181"/>
    <n v="15"/>
    <n v="4446.75"/>
    <n v="296.45"/>
    <x v="4"/>
    <x v="1"/>
    <x v="4"/>
    <x v="0"/>
    <x v="1"/>
  </r>
  <r>
    <s v="CUST01831"/>
    <n v="40"/>
    <s v="Female"/>
    <s v="Hyderabad"/>
    <x v="3"/>
    <x v="177"/>
    <x v="182"/>
    <n v="19"/>
    <n v="4441.63"/>
    <n v="233.77"/>
    <x v="1"/>
    <x v="1"/>
    <x v="9"/>
    <x v="0"/>
    <x v="1"/>
  </r>
  <r>
    <s v="CUST01146"/>
    <n v="64"/>
    <s v="Female"/>
    <s v="Delhi"/>
    <x v="0"/>
    <x v="178"/>
    <x v="183"/>
    <n v="23"/>
    <n v="4435.09"/>
    <n v="192.83"/>
    <x v="4"/>
    <x v="1"/>
    <x v="6"/>
    <x v="0"/>
    <x v="1"/>
  </r>
  <r>
    <s v="CUST01392"/>
    <n v="33"/>
    <s v="Male"/>
    <s v="Mumbai"/>
    <x v="2"/>
    <x v="179"/>
    <x v="184"/>
    <n v="20"/>
    <n v="4429.599999999999"/>
    <n v="221.48"/>
    <x v="0"/>
    <x v="1"/>
    <x v="0"/>
    <x v="0"/>
    <x v="1"/>
  </r>
  <r>
    <s v="CUST01437"/>
    <n v="31"/>
    <s v="Female"/>
    <s v="Chennai"/>
    <x v="0"/>
    <x v="180"/>
    <x v="185"/>
    <n v="24"/>
    <n v="4429.200000000001"/>
    <n v="184.55"/>
    <x v="4"/>
    <x v="2"/>
    <x v="7"/>
    <x v="0"/>
    <x v="1"/>
  </r>
  <r>
    <s v="CUST01497"/>
    <n v="22"/>
    <s v="Male"/>
    <s v="Pune"/>
    <x v="0"/>
    <x v="181"/>
    <x v="186"/>
    <n v="17"/>
    <n v="4425.44"/>
    <n v="260.32"/>
    <x v="4"/>
    <x v="0"/>
    <x v="3"/>
    <x v="0"/>
    <x v="1"/>
  </r>
  <r>
    <s v="CUST01999"/>
    <n v="62"/>
    <s v="Female"/>
    <s v="Delhi"/>
    <x v="0"/>
    <x v="182"/>
    <x v="187"/>
    <n v="25"/>
    <n v="4420"/>
    <n v="176.8"/>
    <x v="2"/>
    <x v="2"/>
    <x v="5"/>
    <x v="1"/>
    <x v="1"/>
  </r>
  <r>
    <s v="CUST00153"/>
    <n v="46"/>
    <s v="Female"/>
    <s v="Hyderabad"/>
    <x v="0"/>
    <x v="183"/>
    <x v="35"/>
    <n v="20"/>
    <n v="4419"/>
    <n v="220.95"/>
    <x v="4"/>
    <x v="0"/>
    <x v="7"/>
    <x v="1"/>
    <x v="1"/>
  </r>
  <r>
    <s v="CUST00026"/>
    <n v="22"/>
    <s v="Male"/>
    <s v="Hyderabad"/>
    <x v="0"/>
    <x v="184"/>
    <x v="156"/>
    <n v="22"/>
    <n v="4416.280000000001"/>
    <n v="200.74"/>
    <x v="3"/>
    <x v="0"/>
    <x v="0"/>
    <x v="0"/>
    <x v="1"/>
  </r>
  <r>
    <s v="CUST00642"/>
    <n v="58"/>
    <s v="Female"/>
    <s v="Hyderabad"/>
    <x v="0"/>
    <x v="144"/>
    <x v="188"/>
    <n v="24"/>
    <n v="4404.24"/>
    <n v="183.51"/>
    <x v="2"/>
    <x v="1"/>
    <x v="9"/>
    <x v="0"/>
    <x v="1"/>
  </r>
  <r>
    <s v="CUST00368"/>
    <n v="61"/>
    <s v="Male"/>
    <s v="Chennai"/>
    <x v="1"/>
    <x v="185"/>
    <x v="189"/>
    <n v="20"/>
    <n v="4400.6"/>
    <n v="220.03"/>
    <x v="0"/>
    <x v="0"/>
    <x v="9"/>
    <x v="0"/>
    <x v="1"/>
  </r>
  <r>
    <s v="CUST00443"/>
    <n v="35"/>
    <s v="Female"/>
    <s v="Mumbai"/>
    <x v="1"/>
    <x v="186"/>
    <x v="65"/>
    <n v="15"/>
    <n v="4394.85"/>
    <n v="292.99"/>
    <x v="0"/>
    <x v="0"/>
    <x v="2"/>
    <x v="0"/>
    <x v="1"/>
  </r>
  <r>
    <s v="CUST00758"/>
    <n v="30"/>
    <s v="Male"/>
    <s v="Chennai"/>
    <x v="2"/>
    <x v="187"/>
    <x v="190"/>
    <n v="20"/>
    <n v="4394.4"/>
    <n v="219.72"/>
    <x v="4"/>
    <x v="1"/>
    <x v="2"/>
    <x v="0"/>
    <x v="1"/>
  </r>
  <r>
    <s v="CUST01405"/>
    <n v="24"/>
    <s v="Female"/>
    <s v="Kolkata"/>
    <x v="1"/>
    <x v="83"/>
    <x v="191"/>
    <n v="20"/>
    <n v="4390.2"/>
    <n v="219.51"/>
    <x v="0"/>
    <x v="2"/>
    <x v="2"/>
    <x v="1"/>
    <x v="1"/>
  </r>
  <r>
    <s v="CUST00673"/>
    <n v="60"/>
    <s v="Male"/>
    <s v="Delhi"/>
    <x v="2"/>
    <x v="40"/>
    <x v="13"/>
    <n v="16"/>
    <n v="4388.8"/>
    <n v="274.3"/>
    <x v="0"/>
    <x v="0"/>
    <x v="7"/>
    <x v="0"/>
    <x v="1"/>
  </r>
  <r>
    <s v="CUST01668"/>
    <n v="52"/>
    <s v="Male"/>
    <s v="Kolkata"/>
    <x v="3"/>
    <x v="188"/>
    <x v="192"/>
    <n v="19"/>
    <n v="4385.96"/>
    <n v="230.84"/>
    <x v="2"/>
    <x v="0"/>
    <x v="5"/>
    <x v="0"/>
    <x v="1"/>
  </r>
  <r>
    <s v="CUST00570"/>
    <n v="33"/>
    <s v="Male"/>
    <s v="Delhi"/>
    <x v="1"/>
    <x v="4"/>
    <x v="193"/>
    <n v="16"/>
    <n v="4384.16"/>
    <n v="274.01"/>
    <x v="3"/>
    <x v="1"/>
    <x v="8"/>
    <x v="0"/>
    <x v="1"/>
  </r>
  <r>
    <s v="CUST01521"/>
    <n v="18"/>
    <s v="Male"/>
    <s v="Mumbai"/>
    <x v="1"/>
    <x v="60"/>
    <x v="194"/>
    <n v="25"/>
    <n v="4367.75"/>
    <n v="174.71"/>
    <x v="3"/>
    <x v="2"/>
    <x v="4"/>
    <x v="0"/>
    <x v="1"/>
  </r>
  <r>
    <s v="CUST00933"/>
    <n v="41"/>
    <s v="Male"/>
    <s v="Chennai"/>
    <x v="3"/>
    <x v="189"/>
    <x v="195"/>
    <n v="17"/>
    <n v="4361.35"/>
    <n v="256.55"/>
    <x v="0"/>
    <x v="1"/>
    <x v="1"/>
    <x v="0"/>
    <x v="1"/>
  </r>
  <r>
    <s v="CUST00568"/>
    <n v="39"/>
    <s v="Male"/>
    <s v="Bangalore"/>
    <x v="0"/>
    <x v="190"/>
    <x v="61"/>
    <n v="15"/>
    <n v="4359.599999999999"/>
    <n v="290.64"/>
    <x v="2"/>
    <x v="2"/>
    <x v="0"/>
    <x v="1"/>
    <x v="1"/>
  </r>
  <r>
    <s v="CUST01201"/>
    <n v="54"/>
    <s v="Female"/>
    <s v="Chennai"/>
    <x v="1"/>
    <x v="191"/>
    <x v="196"/>
    <n v="21"/>
    <n v="4332.51"/>
    <n v="206.31"/>
    <x v="1"/>
    <x v="2"/>
    <x v="0"/>
    <x v="0"/>
    <x v="1"/>
  </r>
  <r>
    <s v="CUST01423"/>
    <n v="60"/>
    <s v="Female"/>
    <s v="Kolkata"/>
    <x v="1"/>
    <x v="192"/>
    <x v="197"/>
    <n v="21"/>
    <n v="4329.78"/>
    <n v="206.18"/>
    <x v="1"/>
    <x v="2"/>
    <x v="7"/>
    <x v="0"/>
    <x v="1"/>
  </r>
  <r>
    <s v="CUST00997"/>
    <n v="41"/>
    <s v="Male"/>
    <s v="Chennai"/>
    <x v="0"/>
    <x v="193"/>
    <x v="198"/>
    <n v="19"/>
    <n v="4322.12"/>
    <n v="227.48"/>
    <x v="1"/>
    <x v="1"/>
    <x v="8"/>
    <x v="0"/>
    <x v="1"/>
  </r>
  <r>
    <s v="CUST01081"/>
    <n v="40"/>
    <s v="Female"/>
    <s v="Chennai"/>
    <x v="1"/>
    <x v="194"/>
    <x v="199"/>
    <n v="15"/>
    <n v="4316.549999999999"/>
    <n v="287.77"/>
    <x v="2"/>
    <x v="1"/>
    <x v="4"/>
    <x v="0"/>
    <x v="1"/>
  </r>
  <r>
    <s v="CUST00835"/>
    <n v="52"/>
    <s v="Male"/>
    <s v="Mumbai"/>
    <x v="1"/>
    <x v="195"/>
    <x v="200"/>
    <n v="15"/>
    <n v="4311.150000000001"/>
    <n v="287.41"/>
    <x v="1"/>
    <x v="0"/>
    <x v="8"/>
    <x v="0"/>
    <x v="1"/>
  </r>
  <r>
    <s v="CUST00942"/>
    <n v="22"/>
    <s v="Male"/>
    <s v="Bangalore"/>
    <x v="2"/>
    <x v="150"/>
    <x v="201"/>
    <n v="18"/>
    <n v="4306.68"/>
    <n v="239.26"/>
    <x v="3"/>
    <x v="2"/>
    <x v="2"/>
    <x v="0"/>
    <x v="1"/>
  </r>
  <r>
    <s v="CUST00166"/>
    <n v="59"/>
    <s v="Female"/>
    <s v="Hyderabad"/>
    <x v="1"/>
    <x v="88"/>
    <x v="202"/>
    <n v="16"/>
    <n v="4302.72"/>
    <n v="268.92"/>
    <x v="2"/>
    <x v="1"/>
    <x v="2"/>
    <x v="0"/>
    <x v="1"/>
  </r>
  <r>
    <s v="CUST00657"/>
    <n v="65"/>
    <s v="Male"/>
    <s v="Hyderabad"/>
    <x v="1"/>
    <x v="73"/>
    <x v="203"/>
    <n v="19"/>
    <n v="4302.17"/>
    <n v="226.43"/>
    <x v="1"/>
    <x v="2"/>
    <x v="5"/>
    <x v="0"/>
    <x v="1"/>
  </r>
  <r>
    <s v="CUST00840"/>
    <n v="55"/>
    <s v="Male"/>
    <s v="Kolkata"/>
    <x v="3"/>
    <x v="73"/>
    <x v="204"/>
    <n v="19"/>
    <n v="4300.46"/>
    <n v="226.34"/>
    <x v="2"/>
    <x v="1"/>
    <x v="9"/>
    <x v="0"/>
    <x v="1"/>
  </r>
  <r>
    <s v="CUST00850"/>
    <n v="65"/>
    <s v="Female"/>
    <s v="Kolkata"/>
    <x v="0"/>
    <x v="4"/>
    <x v="205"/>
    <n v="23"/>
    <n v="4299.16"/>
    <n v="186.92"/>
    <x v="2"/>
    <x v="0"/>
    <x v="7"/>
    <x v="1"/>
    <x v="1"/>
  </r>
  <r>
    <s v="CUST00528"/>
    <n v="62"/>
    <s v="Female"/>
    <s v="Pune"/>
    <x v="2"/>
    <x v="196"/>
    <x v="206"/>
    <n v="23"/>
    <n v="4298.93"/>
    <n v="186.91"/>
    <x v="4"/>
    <x v="1"/>
    <x v="0"/>
    <x v="0"/>
    <x v="1"/>
  </r>
  <r>
    <s v="CUST01218"/>
    <n v="65"/>
    <s v="Female"/>
    <s v="Chennai"/>
    <x v="0"/>
    <x v="197"/>
    <x v="207"/>
    <n v="19"/>
    <n v="4297.61"/>
    <n v="226.19"/>
    <x v="1"/>
    <x v="2"/>
    <x v="6"/>
    <x v="0"/>
    <x v="1"/>
  </r>
  <r>
    <s v="CUST00401"/>
    <n v="26"/>
    <s v="Female"/>
    <s v="Mumbai"/>
    <x v="1"/>
    <x v="178"/>
    <x v="208"/>
    <n v="16"/>
    <n v="4294.56"/>
    <n v="268.41"/>
    <x v="3"/>
    <x v="0"/>
    <x v="1"/>
    <x v="1"/>
    <x v="1"/>
  </r>
  <r>
    <s v="CUST00656"/>
    <n v="51"/>
    <s v="Female"/>
    <s v="Hyderabad"/>
    <x v="0"/>
    <x v="198"/>
    <x v="209"/>
    <n v="19"/>
    <n v="4287.35"/>
    <n v="225.65"/>
    <x v="1"/>
    <x v="0"/>
    <x v="8"/>
    <x v="0"/>
    <x v="1"/>
  </r>
  <r>
    <s v="CUST00176"/>
    <n v="63"/>
    <s v="Female"/>
    <s v="Hyderabad"/>
    <x v="0"/>
    <x v="199"/>
    <x v="210"/>
    <n v="17"/>
    <n v="4282.639999999999"/>
    <n v="251.92"/>
    <x v="4"/>
    <x v="1"/>
    <x v="8"/>
    <x v="0"/>
    <x v="1"/>
  </r>
  <r>
    <s v="CUST00135"/>
    <n v="51"/>
    <s v="Male"/>
    <s v="Chennai"/>
    <x v="2"/>
    <x v="200"/>
    <x v="211"/>
    <n v="25"/>
    <n v="4278.5"/>
    <n v="171.14"/>
    <x v="0"/>
    <x v="2"/>
    <x v="4"/>
    <x v="0"/>
    <x v="1"/>
  </r>
  <r>
    <s v="CUST00080"/>
    <n v="27"/>
    <s v="Female"/>
    <s v="Chennai"/>
    <x v="2"/>
    <x v="201"/>
    <x v="212"/>
    <n v="15"/>
    <n v="4277.7"/>
    <n v="285.18"/>
    <x v="0"/>
    <x v="0"/>
    <x v="1"/>
    <x v="0"/>
    <x v="1"/>
  </r>
  <r>
    <s v="CUST00307"/>
    <n v="42"/>
    <s v="Male"/>
    <s v="Kolkata"/>
    <x v="3"/>
    <x v="202"/>
    <x v="213"/>
    <n v="16"/>
    <n v="4270.4"/>
    <n v="266.9"/>
    <x v="0"/>
    <x v="0"/>
    <x v="0"/>
    <x v="0"/>
    <x v="1"/>
  </r>
  <r>
    <s v="CUST00091"/>
    <n v="37"/>
    <s v="Female"/>
    <s v="Chennai"/>
    <x v="2"/>
    <x v="42"/>
    <x v="214"/>
    <n v="15"/>
    <n v="4270.05"/>
    <n v="284.67"/>
    <x v="2"/>
    <x v="1"/>
    <x v="0"/>
    <x v="0"/>
    <x v="1"/>
  </r>
  <r>
    <s v="CUST00760"/>
    <n v="37"/>
    <s v="Female"/>
    <s v="Bangalore"/>
    <x v="2"/>
    <x v="203"/>
    <x v="215"/>
    <n v="18"/>
    <n v="4268.52"/>
    <n v="237.14"/>
    <x v="3"/>
    <x v="0"/>
    <x v="4"/>
    <x v="1"/>
    <x v="1"/>
  </r>
  <r>
    <s v="CUST00380"/>
    <n v="50"/>
    <s v="Female"/>
    <s v="Hyderabad"/>
    <x v="0"/>
    <x v="204"/>
    <x v="216"/>
    <n v="17"/>
    <n v="4253.23"/>
    <n v="250.19"/>
    <x v="4"/>
    <x v="0"/>
    <x v="0"/>
    <x v="0"/>
    <x v="1"/>
  </r>
  <r>
    <s v="CUST00569"/>
    <n v="52"/>
    <s v="Male"/>
    <s v="Chennai"/>
    <x v="1"/>
    <x v="205"/>
    <x v="217"/>
    <n v="15"/>
    <n v="4248.450000000001"/>
    <n v="283.23"/>
    <x v="3"/>
    <x v="2"/>
    <x v="5"/>
    <x v="0"/>
    <x v="1"/>
  </r>
  <r>
    <s v="CUST01240"/>
    <n v="38"/>
    <s v="Female"/>
    <s v="Kolkata"/>
    <x v="2"/>
    <x v="120"/>
    <x v="186"/>
    <n v="18"/>
    <n v="4244.940000000001"/>
    <n v="235.83"/>
    <x v="1"/>
    <x v="1"/>
    <x v="8"/>
    <x v="0"/>
    <x v="1"/>
  </r>
  <r>
    <s v="CUST01801"/>
    <n v="42"/>
    <s v="Female"/>
    <s v="Mumbai"/>
    <x v="2"/>
    <x v="173"/>
    <x v="218"/>
    <n v="19"/>
    <n v="4243.65"/>
    <n v="223.35"/>
    <x v="0"/>
    <x v="1"/>
    <x v="0"/>
    <x v="0"/>
    <x v="1"/>
  </r>
  <r>
    <s v="CUST00953"/>
    <n v="39"/>
    <s v="Male"/>
    <s v="Pune"/>
    <x v="3"/>
    <x v="93"/>
    <x v="219"/>
    <n v="17"/>
    <n v="4243.37"/>
    <n v="249.61"/>
    <x v="1"/>
    <x v="0"/>
    <x v="7"/>
    <x v="0"/>
    <x v="1"/>
  </r>
  <r>
    <s v="CUST00831"/>
    <n v="50"/>
    <s v="Female"/>
    <s v="Chennai"/>
    <x v="1"/>
    <x v="56"/>
    <x v="220"/>
    <n v="20"/>
    <n v="4242.6"/>
    <n v="212.13"/>
    <x v="3"/>
    <x v="0"/>
    <x v="9"/>
    <x v="0"/>
    <x v="1"/>
  </r>
  <r>
    <s v="CUST01015"/>
    <n v="58"/>
    <s v="Male"/>
    <s v="Mumbai"/>
    <x v="1"/>
    <x v="206"/>
    <x v="182"/>
    <n v="22"/>
    <n v="4241.6"/>
    <n v="192.8"/>
    <x v="1"/>
    <x v="2"/>
    <x v="3"/>
    <x v="0"/>
    <x v="1"/>
  </r>
  <r>
    <s v="CUST01364"/>
    <n v="61"/>
    <s v="Female"/>
    <s v="Delhi"/>
    <x v="3"/>
    <x v="207"/>
    <x v="221"/>
    <n v="23"/>
    <n v="4240.969999999999"/>
    <n v="184.39"/>
    <x v="3"/>
    <x v="1"/>
    <x v="8"/>
    <x v="0"/>
    <x v="1"/>
  </r>
  <r>
    <s v="CUST01858"/>
    <n v="50"/>
    <s v="Male"/>
    <s v="Mumbai"/>
    <x v="3"/>
    <x v="208"/>
    <x v="12"/>
    <n v="25"/>
    <n v="4236.5"/>
    <n v="169.46"/>
    <x v="1"/>
    <x v="0"/>
    <x v="0"/>
    <x v="0"/>
    <x v="1"/>
  </r>
  <r>
    <s v="CUST00692"/>
    <n v="46"/>
    <s v="Female"/>
    <s v="Bangalore"/>
    <x v="1"/>
    <x v="209"/>
    <x v="165"/>
    <n v="19"/>
    <n v="4232.25"/>
    <n v="222.75"/>
    <x v="1"/>
    <x v="2"/>
    <x v="8"/>
    <x v="0"/>
    <x v="1"/>
  </r>
  <r>
    <s v="CUST00131"/>
    <n v="24"/>
    <s v="Female"/>
    <s v="Bangalore"/>
    <x v="2"/>
    <x v="113"/>
    <x v="222"/>
    <n v="21"/>
    <n v="4226.25"/>
    <n v="201.25"/>
    <x v="0"/>
    <x v="2"/>
    <x v="9"/>
    <x v="1"/>
    <x v="1"/>
  </r>
  <r>
    <s v="CUST01389"/>
    <n v="35"/>
    <s v="Female"/>
    <s v="Mumbai"/>
    <x v="2"/>
    <x v="210"/>
    <x v="223"/>
    <n v="15"/>
    <n v="4225.950000000001"/>
    <n v="281.73"/>
    <x v="3"/>
    <x v="1"/>
    <x v="2"/>
    <x v="0"/>
    <x v="1"/>
  </r>
  <r>
    <s v="CUST00193"/>
    <n v="59"/>
    <s v="Female"/>
    <s v="Chennai"/>
    <x v="1"/>
    <x v="211"/>
    <x v="224"/>
    <n v="19"/>
    <n v="4225.79"/>
    <n v="222.41"/>
    <x v="3"/>
    <x v="0"/>
    <x v="8"/>
    <x v="1"/>
    <x v="1"/>
  </r>
  <r>
    <s v="CUST01458"/>
    <n v="48"/>
    <s v="Female"/>
    <s v="Pune"/>
    <x v="2"/>
    <x v="212"/>
    <x v="225"/>
    <n v="18"/>
    <n v="4221.360000000001"/>
    <n v="234.52"/>
    <x v="3"/>
    <x v="0"/>
    <x v="6"/>
    <x v="0"/>
    <x v="1"/>
  </r>
  <r>
    <s v="CUST01454"/>
    <n v="48"/>
    <s v="Female"/>
    <s v="Delhi"/>
    <x v="2"/>
    <x v="213"/>
    <x v="226"/>
    <n v="17"/>
    <n v="4220.42"/>
    <n v="248.26"/>
    <x v="2"/>
    <x v="1"/>
    <x v="8"/>
    <x v="0"/>
    <x v="1"/>
  </r>
  <r>
    <s v="CUST01816"/>
    <n v="31"/>
    <s v="Female"/>
    <s v="Hyderabad"/>
    <x v="3"/>
    <x v="214"/>
    <x v="227"/>
    <n v="19"/>
    <n v="4215.15"/>
    <n v="221.85"/>
    <x v="4"/>
    <x v="2"/>
    <x v="6"/>
    <x v="0"/>
    <x v="1"/>
  </r>
  <r>
    <s v="CUST00357"/>
    <n v="49"/>
    <s v="Female"/>
    <s v="Mumbai"/>
    <x v="2"/>
    <x v="161"/>
    <x v="228"/>
    <n v="16"/>
    <n v="4215.04"/>
    <n v="263.44"/>
    <x v="4"/>
    <x v="2"/>
    <x v="3"/>
    <x v="1"/>
    <x v="1"/>
  </r>
  <r>
    <s v="CUST00083"/>
    <n v="38"/>
    <s v="Male"/>
    <s v="Chennai"/>
    <x v="1"/>
    <x v="178"/>
    <x v="176"/>
    <n v="18"/>
    <n v="4204.8"/>
    <n v="233.6"/>
    <x v="0"/>
    <x v="1"/>
    <x v="0"/>
    <x v="0"/>
    <x v="1"/>
  </r>
  <r>
    <s v="CUST00646"/>
    <n v="28"/>
    <s v="Female"/>
    <s v="Bangalore"/>
    <x v="3"/>
    <x v="57"/>
    <x v="11"/>
    <n v="17"/>
    <n v="4202.57"/>
    <n v="247.21"/>
    <x v="1"/>
    <x v="1"/>
    <x v="8"/>
    <x v="0"/>
    <x v="1"/>
  </r>
  <r>
    <s v="CUST01511"/>
    <n v="51"/>
    <s v="Female"/>
    <s v="Hyderabad"/>
    <x v="2"/>
    <x v="118"/>
    <x v="219"/>
    <n v="20"/>
    <n v="4196.2"/>
    <n v="209.81"/>
    <x v="1"/>
    <x v="2"/>
    <x v="0"/>
    <x v="0"/>
    <x v="1"/>
  </r>
  <r>
    <s v="CUST00871"/>
    <n v="28"/>
    <s v="Male"/>
    <s v="Mumbai"/>
    <x v="0"/>
    <x v="215"/>
    <x v="229"/>
    <n v="22"/>
    <n v="4192.54"/>
    <n v="190.57"/>
    <x v="4"/>
    <x v="2"/>
    <x v="3"/>
    <x v="0"/>
    <x v="1"/>
  </r>
  <r>
    <s v="CUST01691"/>
    <n v="49"/>
    <s v="Male"/>
    <s v="Delhi"/>
    <x v="1"/>
    <x v="154"/>
    <x v="230"/>
    <n v="21"/>
    <n v="4192.02"/>
    <n v="199.62"/>
    <x v="0"/>
    <x v="0"/>
    <x v="7"/>
    <x v="0"/>
    <x v="1"/>
  </r>
  <r>
    <s v="CUST00641"/>
    <n v="36"/>
    <s v="Female"/>
    <s v="Delhi"/>
    <x v="0"/>
    <x v="216"/>
    <x v="231"/>
    <n v="20"/>
    <n v="4188.4"/>
    <n v="209.42"/>
    <x v="0"/>
    <x v="2"/>
    <x v="5"/>
    <x v="0"/>
    <x v="1"/>
  </r>
  <r>
    <s v="CUST01793"/>
    <n v="53"/>
    <s v="Female"/>
    <s v="Bangalore"/>
    <x v="1"/>
    <x v="217"/>
    <x v="137"/>
    <n v="24"/>
    <n v="4169.28"/>
    <n v="173.72"/>
    <x v="1"/>
    <x v="1"/>
    <x v="1"/>
    <x v="1"/>
    <x v="1"/>
  </r>
  <r>
    <s v="CUST00068"/>
    <n v="46"/>
    <s v="Female"/>
    <s v="Kolkata"/>
    <x v="3"/>
    <x v="170"/>
    <x v="232"/>
    <n v="25"/>
    <n v="4158"/>
    <n v="166.32"/>
    <x v="4"/>
    <x v="0"/>
    <x v="4"/>
    <x v="0"/>
    <x v="1"/>
  </r>
  <r>
    <s v="CUST00126"/>
    <n v="58"/>
    <s v="Female"/>
    <s v="Mumbai"/>
    <x v="3"/>
    <x v="218"/>
    <x v="233"/>
    <n v="21"/>
    <n v="4155.48"/>
    <n v="197.88"/>
    <x v="3"/>
    <x v="1"/>
    <x v="2"/>
    <x v="0"/>
    <x v="1"/>
  </r>
  <r>
    <s v="CUST00604"/>
    <n v="59"/>
    <s v="Female"/>
    <s v="Hyderabad"/>
    <x v="2"/>
    <x v="43"/>
    <x v="234"/>
    <n v="24"/>
    <n v="4150.08"/>
    <n v="172.92"/>
    <x v="0"/>
    <x v="0"/>
    <x v="5"/>
    <x v="0"/>
    <x v="1"/>
  </r>
  <r>
    <s v="CUST01021"/>
    <n v="60"/>
    <s v="Female"/>
    <s v="Mumbai"/>
    <x v="2"/>
    <x v="170"/>
    <x v="235"/>
    <n v="19"/>
    <n v="4149.22"/>
    <n v="218.38"/>
    <x v="0"/>
    <x v="0"/>
    <x v="9"/>
    <x v="0"/>
    <x v="1"/>
  </r>
  <r>
    <s v="CUST01503"/>
    <n v="36"/>
    <s v="Female"/>
    <s v="Pune"/>
    <x v="0"/>
    <x v="219"/>
    <x v="236"/>
    <n v="20"/>
    <n v="4141.6"/>
    <n v="207.08"/>
    <x v="1"/>
    <x v="2"/>
    <x v="1"/>
    <x v="0"/>
    <x v="1"/>
  </r>
  <r>
    <s v="CUST01794"/>
    <n v="61"/>
    <s v="Female"/>
    <s v="Delhi"/>
    <x v="0"/>
    <x v="220"/>
    <x v="237"/>
    <n v="17"/>
    <n v="4136.1"/>
    <n v="243.3"/>
    <x v="2"/>
    <x v="2"/>
    <x v="5"/>
    <x v="0"/>
    <x v="1"/>
  </r>
  <r>
    <s v="CUST00957"/>
    <n v="33"/>
    <s v="Male"/>
    <s v="Bangalore"/>
    <x v="1"/>
    <x v="221"/>
    <x v="238"/>
    <n v="21"/>
    <n v="4133.22"/>
    <n v="196.82"/>
    <x v="0"/>
    <x v="2"/>
    <x v="7"/>
    <x v="0"/>
    <x v="1"/>
  </r>
  <r>
    <s v="CUST01955"/>
    <n v="49"/>
    <s v="Male"/>
    <s v="Hyderabad"/>
    <x v="2"/>
    <x v="222"/>
    <x v="29"/>
    <n v="18"/>
    <n v="4132.98"/>
    <n v="229.61"/>
    <x v="1"/>
    <x v="2"/>
    <x v="7"/>
    <x v="0"/>
    <x v="1"/>
  </r>
  <r>
    <s v="CUST01285"/>
    <n v="42"/>
    <s v="Female"/>
    <s v="Bangalore"/>
    <x v="3"/>
    <x v="204"/>
    <x v="239"/>
    <n v="15"/>
    <n v="4123.05"/>
    <n v="274.87"/>
    <x v="2"/>
    <x v="2"/>
    <x v="2"/>
    <x v="0"/>
    <x v="1"/>
  </r>
  <r>
    <s v="CUST01699"/>
    <n v="24"/>
    <s v="Female"/>
    <s v="Kolkata"/>
    <x v="3"/>
    <x v="223"/>
    <x v="240"/>
    <n v="19"/>
    <n v="4120.34"/>
    <n v="216.86"/>
    <x v="1"/>
    <x v="1"/>
    <x v="7"/>
    <x v="0"/>
    <x v="1"/>
  </r>
  <r>
    <s v="CUST00544"/>
    <n v="50"/>
    <s v="Female"/>
    <s v="Hyderabad"/>
    <x v="2"/>
    <x v="224"/>
    <x v="241"/>
    <n v="16"/>
    <n v="4113.76"/>
    <n v="257.11"/>
    <x v="3"/>
    <x v="2"/>
    <x v="4"/>
    <x v="0"/>
    <x v="1"/>
  </r>
  <r>
    <s v="CUST01076"/>
    <n v="55"/>
    <s v="Female"/>
    <s v="Kolkata"/>
    <x v="1"/>
    <x v="225"/>
    <x v="242"/>
    <n v="21"/>
    <n v="4108.44"/>
    <n v="195.64"/>
    <x v="1"/>
    <x v="1"/>
    <x v="2"/>
    <x v="0"/>
    <x v="1"/>
  </r>
  <r>
    <s v="CUST01568"/>
    <n v="62"/>
    <s v="Female"/>
    <s v="Pune"/>
    <x v="2"/>
    <x v="1"/>
    <x v="243"/>
    <n v="14"/>
    <n v="4102"/>
    <n v="293"/>
    <x v="1"/>
    <x v="1"/>
    <x v="4"/>
    <x v="0"/>
    <x v="1"/>
  </r>
  <r>
    <s v="CUST00797"/>
    <n v="60"/>
    <s v="Male"/>
    <s v="Chennai"/>
    <x v="2"/>
    <x v="226"/>
    <x v="244"/>
    <n v="18"/>
    <n v="4096.98"/>
    <n v="227.61"/>
    <x v="1"/>
    <x v="1"/>
    <x v="9"/>
    <x v="1"/>
    <x v="1"/>
  </r>
  <r>
    <s v="CUST00406"/>
    <n v="64"/>
    <s v="Female"/>
    <s v="Hyderabad"/>
    <x v="0"/>
    <x v="227"/>
    <x v="170"/>
    <n v="20"/>
    <n v="4094"/>
    <n v="204.7"/>
    <x v="1"/>
    <x v="1"/>
    <x v="7"/>
    <x v="0"/>
    <x v="1"/>
  </r>
  <r>
    <s v="CUST01642"/>
    <n v="63"/>
    <s v="Female"/>
    <s v="Pune"/>
    <x v="0"/>
    <x v="228"/>
    <x v="245"/>
    <n v="23"/>
    <n v="4085.26"/>
    <n v="177.62"/>
    <x v="4"/>
    <x v="2"/>
    <x v="8"/>
    <x v="0"/>
    <x v="1"/>
  </r>
  <r>
    <s v="CUST01593"/>
    <n v="36"/>
    <s v="Female"/>
    <s v="Bangalore"/>
    <x v="3"/>
    <x v="229"/>
    <x v="246"/>
    <n v="18"/>
    <n v="4080.24"/>
    <n v="226.68"/>
    <x v="2"/>
    <x v="0"/>
    <x v="4"/>
    <x v="0"/>
    <x v="1"/>
  </r>
  <r>
    <s v="CUST00683"/>
    <n v="64"/>
    <s v="Male"/>
    <s v="Mumbai"/>
    <x v="0"/>
    <x v="211"/>
    <x v="30"/>
    <n v="21"/>
    <n v="4079.46"/>
    <n v="194.26"/>
    <x v="4"/>
    <x v="1"/>
    <x v="6"/>
    <x v="0"/>
    <x v="1"/>
  </r>
  <r>
    <s v="CUST01168"/>
    <n v="33"/>
    <s v="Female"/>
    <s v="Bangalore"/>
    <x v="2"/>
    <x v="211"/>
    <x v="247"/>
    <n v="15"/>
    <n v="4076.55"/>
    <n v="271.77"/>
    <x v="2"/>
    <x v="1"/>
    <x v="2"/>
    <x v="0"/>
    <x v="1"/>
  </r>
  <r>
    <s v="CUST00740"/>
    <n v="23"/>
    <s v="Female"/>
    <s v="Chennai"/>
    <x v="0"/>
    <x v="230"/>
    <x v="248"/>
    <n v="24"/>
    <n v="4068.96"/>
    <n v="169.54"/>
    <x v="1"/>
    <x v="0"/>
    <x v="3"/>
    <x v="1"/>
    <x v="1"/>
  </r>
  <r>
    <s v="CUST00275"/>
    <n v="28"/>
    <s v="Female"/>
    <s v="Mumbai"/>
    <x v="2"/>
    <x v="231"/>
    <x v="249"/>
    <n v="17"/>
    <n v="4067.08"/>
    <n v="239.24"/>
    <x v="3"/>
    <x v="2"/>
    <x v="9"/>
    <x v="0"/>
    <x v="1"/>
  </r>
  <r>
    <s v="CUST01148"/>
    <n v="54"/>
    <s v="Female"/>
    <s v="Bangalore"/>
    <x v="1"/>
    <x v="232"/>
    <x v="150"/>
    <n v="14"/>
    <n v="4063.5"/>
    <n v="290.25"/>
    <x v="3"/>
    <x v="1"/>
    <x v="4"/>
    <x v="0"/>
    <x v="1"/>
  </r>
  <r>
    <s v="CUST01882"/>
    <n v="28"/>
    <s v="Male"/>
    <s v="Delhi"/>
    <x v="0"/>
    <x v="233"/>
    <x v="34"/>
    <n v="19"/>
    <n v="4054.22"/>
    <n v="213.38"/>
    <x v="3"/>
    <x v="2"/>
    <x v="7"/>
    <x v="1"/>
    <x v="1"/>
  </r>
  <r>
    <s v="CUST01739"/>
    <n v="56"/>
    <s v="Male"/>
    <s v="Mumbai"/>
    <x v="2"/>
    <x v="9"/>
    <x v="250"/>
    <n v="25"/>
    <n v="4052.5"/>
    <n v="162.1"/>
    <x v="4"/>
    <x v="0"/>
    <x v="2"/>
    <x v="0"/>
    <x v="1"/>
  </r>
  <r>
    <s v="CUST01349"/>
    <n v="62"/>
    <s v="Female"/>
    <s v="Delhi"/>
    <x v="1"/>
    <x v="10"/>
    <x v="251"/>
    <n v="23"/>
    <n v="4049.84"/>
    <n v="176.08"/>
    <x v="1"/>
    <x v="2"/>
    <x v="7"/>
    <x v="0"/>
    <x v="1"/>
  </r>
  <r>
    <s v="CUST00738"/>
    <n v="20"/>
    <s v="Male"/>
    <s v="Kolkata"/>
    <x v="3"/>
    <x v="234"/>
    <x v="252"/>
    <n v="14"/>
    <n v="4048.52"/>
    <n v="289.18"/>
    <x v="0"/>
    <x v="1"/>
    <x v="5"/>
    <x v="0"/>
    <x v="1"/>
  </r>
  <r>
    <s v="CUST00493"/>
    <n v="65"/>
    <s v="Female"/>
    <s v="Mumbai"/>
    <x v="1"/>
    <x v="235"/>
    <x v="253"/>
    <n v="14"/>
    <n v="4047.82"/>
    <n v="289.13"/>
    <x v="3"/>
    <x v="2"/>
    <x v="5"/>
    <x v="0"/>
    <x v="1"/>
  </r>
  <r>
    <s v="CUST00721"/>
    <n v="55"/>
    <s v="Female"/>
    <s v="Chennai"/>
    <x v="3"/>
    <x v="123"/>
    <x v="254"/>
    <n v="17"/>
    <n v="4047.19"/>
    <n v="238.07"/>
    <x v="2"/>
    <x v="0"/>
    <x v="2"/>
    <x v="0"/>
    <x v="1"/>
  </r>
  <r>
    <s v="CUST01165"/>
    <n v="52"/>
    <s v="Male"/>
    <s v="Chennai"/>
    <x v="0"/>
    <x v="208"/>
    <x v="255"/>
    <n v="14"/>
    <n v="4033.68"/>
    <n v="288.12"/>
    <x v="2"/>
    <x v="1"/>
    <x v="6"/>
    <x v="0"/>
    <x v="1"/>
  </r>
  <r>
    <s v="CUST01116"/>
    <n v="61"/>
    <s v="Female"/>
    <s v="Chennai"/>
    <x v="1"/>
    <x v="41"/>
    <x v="97"/>
    <n v="21"/>
    <n v="4030.32"/>
    <n v="191.92"/>
    <x v="0"/>
    <x v="0"/>
    <x v="9"/>
    <x v="1"/>
    <x v="1"/>
  </r>
  <r>
    <s v="CUST00432"/>
    <n v="64"/>
    <s v="Female"/>
    <s v="Kolkata"/>
    <x v="1"/>
    <x v="236"/>
    <x v="256"/>
    <n v="19"/>
    <n v="4029.52"/>
    <n v="212.08"/>
    <x v="0"/>
    <x v="1"/>
    <x v="7"/>
    <x v="0"/>
    <x v="1"/>
  </r>
  <r>
    <s v="CUST00379"/>
    <n v="20"/>
    <s v="Female"/>
    <s v="Hyderabad"/>
    <x v="0"/>
    <x v="237"/>
    <x v="257"/>
    <n v="21"/>
    <n v="4028.64"/>
    <n v="191.84"/>
    <x v="2"/>
    <x v="1"/>
    <x v="3"/>
    <x v="0"/>
    <x v="1"/>
  </r>
  <r>
    <s v="CUST01598"/>
    <n v="52"/>
    <s v="Male"/>
    <s v="Kolkata"/>
    <x v="3"/>
    <x v="182"/>
    <x v="258"/>
    <n v="23"/>
    <n v="4019.71"/>
    <n v="174.77"/>
    <x v="2"/>
    <x v="0"/>
    <x v="8"/>
    <x v="0"/>
    <x v="1"/>
  </r>
  <r>
    <s v="CUST00079"/>
    <n v="28"/>
    <s v="Female"/>
    <s v="Pune"/>
    <x v="0"/>
    <x v="238"/>
    <x v="259"/>
    <n v="21"/>
    <n v="4000.08"/>
    <n v="190.48"/>
    <x v="0"/>
    <x v="1"/>
    <x v="8"/>
    <x v="0"/>
    <x v="1"/>
  </r>
  <r>
    <s v="CUST01934"/>
    <n v="23"/>
    <s v="Female"/>
    <s v="Delhi"/>
    <x v="2"/>
    <x v="239"/>
    <x v="260"/>
    <n v="21"/>
    <n v="3997.56"/>
    <n v="190.36"/>
    <x v="0"/>
    <x v="0"/>
    <x v="1"/>
    <x v="0"/>
    <x v="1"/>
  </r>
  <r>
    <s v="CUST00616"/>
    <n v="28"/>
    <s v="Male"/>
    <s v="Bangalore"/>
    <x v="2"/>
    <x v="80"/>
    <x v="189"/>
    <n v="15"/>
    <n v="3988.95"/>
    <n v="265.93"/>
    <x v="2"/>
    <x v="0"/>
    <x v="9"/>
    <x v="1"/>
    <x v="1"/>
  </r>
  <r>
    <s v="CUST00793"/>
    <n v="46"/>
    <s v="Male"/>
    <s v="Bangalore"/>
    <x v="1"/>
    <x v="111"/>
    <x v="261"/>
    <n v="17"/>
    <n v="3988.71"/>
    <n v="234.63"/>
    <x v="0"/>
    <x v="2"/>
    <x v="2"/>
    <x v="0"/>
    <x v="1"/>
  </r>
  <r>
    <s v="CUST01452"/>
    <n v="47"/>
    <s v="Male"/>
    <s v="Hyderabad"/>
    <x v="2"/>
    <x v="240"/>
    <x v="185"/>
    <n v="17"/>
    <n v="3986.16"/>
    <n v="234.48"/>
    <x v="3"/>
    <x v="1"/>
    <x v="8"/>
    <x v="0"/>
    <x v="1"/>
  </r>
  <r>
    <s v="CUST00332"/>
    <n v="56"/>
    <s v="Female"/>
    <s v="Chennai"/>
    <x v="2"/>
    <x v="241"/>
    <x v="262"/>
    <n v="17"/>
    <n v="3983.61"/>
    <n v="234.33"/>
    <x v="1"/>
    <x v="0"/>
    <x v="6"/>
    <x v="0"/>
    <x v="1"/>
  </r>
  <r>
    <s v="CUST00448"/>
    <n v="62"/>
    <s v="Female"/>
    <s v="Bangalore"/>
    <x v="2"/>
    <x v="242"/>
    <x v="122"/>
    <n v="17"/>
    <n v="3979.19"/>
    <n v="234.07"/>
    <x v="2"/>
    <x v="2"/>
    <x v="8"/>
    <x v="0"/>
    <x v="1"/>
  </r>
  <r>
    <s v="CUST01778"/>
    <n v="30"/>
    <s v="Male"/>
    <s v="Kolkata"/>
    <x v="1"/>
    <x v="243"/>
    <x v="263"/>
    <n v="21"/>
    <n v="3974.67"/>
    <n v="189.27"/>
    <x v="2"/>
    <x v="2"/>
    <x v="7"/>
    <x v="1"/>
    <x v="1"/>
  </r>
  <r>
    <s v="CUST00609"/>
    <n v="64"/>
    <s v="Female"/>
    <s v="Chennai"/>
    <x v="3"/>
    <x v="244"/>
    <x v="264"/>
    <n v="15"/>
    <n v="3972"/>
    <n v="264.8"/>
    <x v="2"/>
    <x v="1"/>
    <x v="5"/>
    <x v="1"/>
    <x v="1"/>
  </r>
  <r>
    <s v="CUST00817"/>
    <n v="41"/>
    <s v="Female"/>
    <s v="Hyderabad"/>
    <x v="2"/>
    <x v="245"/>
    <x v="102"/>
    <n v="14"/>
    <n v="3965.92"/>
    <n v="283.28"/>
    <x v="0"/>
    <x v="2"/>
    <x v="7"/>
    <x v="0"/>
    <x v="1"/>
  </r>
  <r>
    <s v="CUST00833"/>
    <n v="48"/>
    <s v="Male"/>
    <s v="Chennai"/>
    <x v="3"/>
    <x v="246"/>
    <x v="265"/>
    <n v="14"/>
    <n v="3961.16"/>
    <n v="282.94"/>
    <x v="4"/>
    <x v="0"/>
    <x v="0"/>
    <x v="0"/>
    <x v="1"/>
  </r>
  <r>
    <s v="CUST01596"/>
    <n v="65"/>
    <s v="Male"/>
    <s v="Mumbai"/>
    <x v="0"/>
    <x v="247"/>
    <x v="266"/>
    <n v="23"/>
    <n v="3959.22"/>
    <n v="172.14"/>
    <x v="1"/>
    <x v="2"/>
    <x v="4"/>
    <x v="0"/>
    <x v="1"/>
  </r>
  <r>
    <s v="CUST01185"/>
    <n v="30"/>
    <s v="Female"/>
    <s v="Kolkata"/>
    <x v="1"/>
    <x v="233"/>
    <x v="93"/>
    <n v="19"/>
    <n v="3954.47"/>
    <n v="208.13"/>
    <x v="1"/>
    <x v="0"/>
    <x v="5"/>
    <x v="0"/>
    <x v="1"/>
  </r>
  <r>
    <s v="CUST01924"/>
    <n v="50"/>
    <s v="Male"/>
    <s v="Kolkata"/>
    <x v="0"/>
    <x v="248"/>
    <x v="150"/>
    <n v="14"/>
    <n v="3950.52"/>
    <n v="282.18"/>
    <x v="4"/>
    <x v="2"/>
    <x v="2"/>
    <x v="0"/>
    <x v="1"/>
  </r>
  <r>
    <s v="CUST01581"/>
    <n v="34"/>
    <s v="Male"/>
    <s v="Delhi"/>
    <x v="1"/>
    <x v="249"/>
    <x v="80"/>
    <n v="25"/>
    <n v="3914.5"/>
    <n v="156.58"/>
    <x v="4"/>
    <x v="0"/>
    <x v="4"/>
    <x v="0"/>
    <x v="1"/>
  </r>
  <r>
    <s v="CUST00755"/>
    <n v="61"/>
    <s v="Male"/>
    <s v="Pune"/>
    <x v="0"/>
    <x v="126"/>
    <x v="74"/>
    <n v="20"/>
    <n v="3906.6"/>
    <n v="195.33"/>
    <x v="4"/>
    <x v="1"/>
    <x v="7"/>
    <x v="1"/>
    <x v="1"/>
  </r>
  <r>
    <s v="CUST01971"/>
    <n v="59"/>
    <s v="Female"/>
    <s v="Hyderabad"/>
    <x v="1"/>
    <x v="250"/>
    <x v="153"/>
    <n v="24"/>
    <n v="3902.64"/>
    <n v="162.61"/>
    <x v="1"/>
    <x v="2"/>
    <x v="6"/>
    <x v="0"/>
    <x v="1"/>
  </r>
  <r>
    <s v="CUST01098"/>
    <n v="46"/>
    <s v="Male"/>
    <s v="Delhi"/>
    <x v="3"/>
    <x v="251"/>
    <x v="267"/>
    <n v="17"/>
    <n v="3901.16"/>
    <n v="229.48"/>
    <x v="2"/>
    <x v="2"/>
    <x v="3"/>
    <x v="1"/>
    <x v="1"/>
  </r>
  <r>
    <s v="CUST01182"/>
    <n v="46"/>
    <s v="Male"/>
    <s v="Kolkata"/>
    <x v="1"/>
    <x v="252"/>
    <x v="268"/>
    <n v="22"/>
    <n v="3897.3"/>
    <n v="177.15"/>
    <x v="2"/>
    <x v="2"/>
    <x v="9"/>
    <x v="0"/>
    <x v="1"/>
  </r>
  <r>
    <s v="CUST01951"/>
    <n v="49"/>
    <s v="Male"/>
    <s v="Delhi"/>
    <x v="2"/>
    <x v="253"/>
    <x v="269"/>
    <n v="22"/>
    <n v="3890.92"/>
    <n v="176.86"/>
    <x v="1"/>
    <x v="1"/>
    <x v="7"/>
    <x v="1"/>
    <x v="1"/>
  </r>
  <r>
    <s v="CUST00623"/>
    <n v="30"/>
    <s v="Male"/>
    <s v="Delhi"/>
    <x v="0"/>
    <x v="254"/>
    <x v="270"/>
    <n v="25"/>
    <n v="3889.75"/>
    <n v="155.59"/>
    <x v="2"/>
    <x v="2"/>
    <x v="1"/>
    <x v="0"/>
    <x v="1"/>
  </r>
  <r>
    <s v="CUST00141"/>
    <n v="19"/>
    <s v="Female"/>
    <s v="Delhi"/>
    <x v="2"/>
    <x v="255"/>
    <x v="72"/>
    <n v="13"/>
    <n v="3880.110000000001"/>
    <n v="298.47"/>
    <x v="1"/>
    <x v="2"/>
    <x v="6"/>
    <x v="0"/>
    <x v="1"/>
  </r>
  <r>
    <s v="CUST01153"/>
    <n v="34"/>
    <s v="Female"/>
    <s v="Delhi"/>
    <x v="0"/>
    <x v="256"/>
    <x v="271"/>
    <n v="18"/>
    <n v="3876.48"/>
    <n v="215.36"/>
    <x v="2"/>
    <x v="0"/>
    <x v="9"/>
    <x v="0"/>
    <x v="1"/>
  </r>
  <r>
    <s v="CUST01651"/>
    <n v="60"/>
    <s v="Male"/>
    <s v="Kolkata"/>
    <x v="0"/>
    <x v="64"/>
    <x v="147"/>
    <n v="21"/>
    <n v="3875.34"/>
    <n v="184.54"/>
    <x v="0"/>
    <x v="1"/>
    <x v="1"/>
    <x v="0"/>
    <x v="1"/>
  </r>
  <r>
    <s v="CUST00409"/>
    <n v="48"/>
    <s v="Female"/>
    <s v="Bangalore"/>
    <x v="0"/>
    <x v="257"/>
    <x v="237"/>
    <n v="23"/>
    <n v="3872.05"/>
    <n v="168.35"/>
    <x v="2"/>
    <x v="2"/>
    <x v="1"/>
    <x v="0"/>
    <x v="1"/>
  </r>
  <r>
    <s v="CUST01489"/>
    <n v="24"/>
    <s v="Male"/>
    <s v="Chennai"/>
    <x v="2"/>
    <x v="258"/>
    <x v="272"/>
    <n v="18"/>
    <n v="3867.48"/>
    <n v="214.86"/>
    <x v="1"/>
    <x v="2"/>
    <x v="5"/>
    <x v="1"/>
    <x v="1"/>
  </r>
  <r>
    <s v="CUST00293"/>
    <n v="36"/>
    <s v="Female"/>
    <s v="Hyderabad"/>
    <x v="3"/>
    <x v="259"/>
    <x v="273"/>
    <n v="20"/>
    <n v="3867.4"/>
    <n v="193.37"/>
    <x v="3"/>
    <x v="2"/>
    <x v="1"/>
    <x v="0"/>
    <x v="1"/>
  </r>
  <r>
    <s v="CUST01795"/>
    <n v="65"/>
    <s v="Male"/>
    <s v="Mumbai"/>
    <x v="3"/>
    <x v="260"/>
    <x v="274"/>
    <n v="23"/>
    <n v="3866.99"/>
    <n v="168.13"/>
    <x v="2"/>
    <x v="1"/>
    <x v="5"/>
    <x v="0"/>
    <x v="1"/>
  </r>
  <r>
    <s v="CUST00926"/>
    <n v="27"/>
    <s v="Male"/>
    <s v="Pune"/>
    <x v="3"/>
    <x v="261"/>
    <x v="275"/>
    <n v="24"/>
    <n v="3864"/>
    <n v="161"/>
    <x v="2"/>
    <x v="0"/>
    <x v="6"/>
    <x v="0"/>
    <x v="1"/>
  </r>
  <r>
    <s v="CUST00771"/>
    <n v="28"/>
    <s v="Female"/>
    <s v="Kolkata"/>
    <x v="2"/>
    <x v="82"/>
    <x v="87"/>
    <n v="16"/>
    <n v="3863.68"/>
    <n v="241.48"/>
    <x v="2"/>
    <x v="0"/>
    <x v="2"/>
    <x v="0"/>
    <x v="1"/>
  </r>
  <r>
    <s v="CUST00232"/>
    <n v="26"/>
    <s v="Female"/>
    <s v="Delhi"/>
    <x v="3"/>
    <x v="262"/>
    <x v="276"/>
    <n v="20"/>
    <n v="3853.4"/>
    <n v="192.67"/>
    <x v="4"/>
    <x v="0"/>
    <x v="7"/>
    <x v="0"/>
    <x v="1"/>
  </r>
  <r>
    <s v="CUST01066"/>
    <n v="29"/>
    <s v="Male"/>
    <s v="Mumbai"/>
    <x v="0"/>
    <x v="263"/>
    <x v="8"/>
    <n v="25"/>
    <n v="3839.75"/>
    <n v="153.59"/>
    <x v="0"/>
    <x v="0"/>
    <x v="9"/>
    <x v="1"/>
    <x v="1"/>
  </r>
  <r>
    <s v="CUST01645"/>
    <n v="27"/>
    <s v="Male"/>
    <s v="Hyderabad"/>
    <x v="2"/>
    <x v="74"/>
    <x v="277"/>
    <n v="14"/>
    <n v="3839.64"/>
    <n v="274.26"/>
    <x v="3"/>
    <x v="1"/>
    <x v="2"/>
    <x v="0"/>
    <x v="1"/>
  </r>
  <r>
    <s v="CUST01562"/>
    <n v="64"/>
    <s v="Female"/>
    <s v="Hyderabad"/>
    <x v="0"/>
    <x v="264"/>
    <x v="278"/>
    <n v="16"/>
    <n v="3839.52"/>
    <n v="239.97"/>
    <x v="2"/>
    <x v="1"/>
    <x v="6"/>
    <x v="0"/>
    <x v="1"/>
  </r>
  <r>
    <s v="CUST00783"/>
    <n v="43"/>
    <s v="Male"/>
    <s v="Pune"/>
    <x v="3"/>
    <x v="265"/>
    <x v="279"/>
    <n v="13"/>
    <n v="3827.85"/>
    <n v="294.45"/>
    <x v="1"/>
    <x v="1"/>
    <x v="8"/>
    <x v="0"/>
    <x v="1"/>
  </r>
  <r>
    <s v="CUST01777"/>
    <n v="56"/>
    <s v="Male"/>
    <s v="Chennai"/>
    <x v="1"/>
    <x v="189"/>
    <x v="280"/>
    <n v="13"/>
    <n v="3826.16"/>
    <n v="294.32"/>
    <x v="0"/>
    <x v="1"/>
    <x v="9"/>
    <x v="0"/>
    <x v="1"/>
  </r>
  <r>
    <s v="CUST01010"/>
    <n v="35"/>
    <s v="Male"/>
    <s v="Bangalore"/>
    <x v="0"/>
    <x v="266"/>
    <x v="281"/>
    <n v="15"/>
    <n v="3824.7"/>
    <n v="254.98"/>
    <x v="4"/>
    <x v="0"/>
    <x v="2"/>
    <x v="1"/>
    <x v="1"/>
  </r>
  <r>
    <s v="CUST00748"/>
    <n v="61"/>
    <s v="Male"/>
    <s v="Chennai"/>
    <x v="2"/>
    <x v="267"/>
    <x v="282"/>
    <n v="17"/>
    <n v="3809.53"/>
    <n v="224.09"/>
    <x v="0"/>
    <x v="1"/>
    <x v="6"/>
    <x v="0"/>
    <x v="1"/>
  </r>
  <r>
    <s v="CUST00270"/>
    <n v="22"/>
    <s v="Male"/>
    <s v="Pune"/>
    <x v="0"/>
    <x v="106"/>
    <x v="202"/>
    <n v="25"/>
    <n v="3797"/>
    <n v="151.88"/>
    <x v="3"/>
    <x v="1"/>
    <x v="0"/>
    <x v="0"/>
    <x v="1"/>
  </r>
  <r>
    <s v="CUST01566"/>
    <n v="20"/>
    <s v="Female"/>
    <s v="Mumbai"/>
    <x v="3"/>
    <x v="268"/>
    <x v="283"/>
    <n v="13"/>
    <n v="3786.9"/>
    <n v="291.3"/>
    <x v="0"/>
    <x v="0"/>
    <x v="3"/>
    <x v="0"/>
    <x v="1"/>
  </r>
  <r>
    <s v="CUST00479"/>
    <n v="65"/>
    <s v="Male"/>
    <s v="Mumbai"/>
    <x v="0"/>
    <x v="269"/>
    <x v="136"/>
    <n v="21"/>
    <n v="3779.37"/>
    <n v="179.97"/>
    <x v="4"/>
    <x v="1"/>
    <x v="9"/>
    <x v="0"/>
    <x v="1"/>
  </r>
  <r>
    <s v="CUST01442"/>
    <n v="30"/>
    <s v="Male"/>
    <s v="Mumbai"/>
    <x v="2"/>
    <x v="270"/>
    <x v="284"/>
    <n v="16"/>
    <n v="3776.64"/>
    <n v="236.04"/>
    <x v="0"/>
    <x v="1"/>
    <x v="3"/>
    <x v="0"/>
    <x v="1"/>
  </r>
  <r>
    <s v="CUST00598"/>
    <n v="40"/>
    <s v="Female"/>
    <s v="Hyderabad"/>
    <x v="0"/>
    <x v="271"/>
    <x v="223"/>
    <n v="22"/>
    <n v="3775.2"/>
    <n v="171.6"/>
    <x v="4"/>
    <x v="2"/>
    <x v="8"/>
    <x v="1"/>
    <x v="1"/>
  </r>
  <r>
    <s v="CUST01543"/>
    <n v="35"/>
    <s v="Male"/>
    <s v="Kolkata"/>
    <x v="3"/>
    <x v="272"/>
    <x v="285"/>
    <n v="18"/>
    <n v="3769.92"/>
    <n v="209.44"/>
    <x v="0"/>
    <x v="1"/>
    <x v="9"/>
    <x v="0"/>
    <x v="1"/>
  </r>
  <r>
    <s v="CUST00640"/>
    <n v="53"/>
    <s v="Male"/>
    <s v="Pune"/>
    <x v="0"/>
    <x v="273"/>
    <x v="286"/>
    <n v="22"/>
    <n v="3762.66"/>
    <n v="171.03"/>
    <x v="2"/>
    <x v="1"/>
    <x v="2"/>
    <x v="0"/>
    <x v="1"/>
  </r>
  <r>
    <s v="CUST01488"/>
    <n v="50"/>
    <s v="Male"/>
    <s v="Pune"/>
    <x v="2"/>
    <x v="274"/>
    <x v="129"/>
    <n v="14"/>
    <n v="3758.86"/>
    <n v="268.49"/>
    <x v="3"/>
    <x v="1"/>
    <x v="9"/>
    <x v="1"/>
    <x v="1"/>
  </r>
  <r>
    <s v="CUST00966"/>
    <n v="45"/>
    <s v="Female"/>
    <s v="Kolkata"/>
    <x v="2"/>
    <x v="275"/>
    <x v="287"/>
    <n v="24"/>
    <n v="3758.16"/>
    <n v="156.59"/>
    <x v="0"/>
    <x v="2"/>
    <x v="4"/>
    <x v="0"/>
    <x v="1"/>
  </r>
  <r>
    <s v="CUST01542"/>
    <n v="27"/>
    <s v="Female"/>
    <s v="Bangalore"/>
    <x v="0"/>
    <x v="276"/>
    <x v="288"/>
    <n v="14"/>
    <n v="3758.16"/>
    <n v="268.44"/>
    <x v="0"/>
    <x v="2"/>
    <x v="7"/>
    <x v="1"/>
    <x v="1"/>
  </r>
  <r>
    <s v="CUST00043"/>
    <n v="63"/>
    <s v="Female"/>
    <s v="Hyderabad"/>
    <x v="3"/>
    <x v="174"/>
    <x v="289"/>
    <n v="14"/>
    <n v="3753.68"/>
    <n v="268.12"/>
    <x v="1"/>
    <x v="2"/>
    <x v="6"/>
    <x v="0"/>
    <x v="1"/>
  </r>
  <r>
    <s v="CUST01353"/>
    <n v="41"/>
    <s v="Female"/>
    <s v="Chennai"/>
    <x v="1"/>
    <x v="277"/>
    <x v="290"/>
    <n v="15"/>
    <n v="3747"/>
    <n v="249.8"/>
    <x v="4"/>
    <x v="0"/>
    <x v="9"/>
    <x v="0"/>
    <x v="1"/>
  </r>
  <r>
    <s v="CUST01947"/>
    <n v="60"/>
    <s v="Male"/>
    <s v="Kolkata"/>
    <x v="1"/>
    <x v="278"/>
    <x v="291"/>
    <n v="13"/>
    <n v="3741.79"/>
    <n v="287.83"/>
    <x v="2"/>
    <x v="1"/>
    <x v="5"/>
    <x v="0"/>
    <x v="1"/>
  </r>
  <r>
    <s v="CUST00188"/>
    <n v="20"/>
    <s v="Female"/>
    <s v="Kolkata"/>
    <x v="3"/>
    <x v="253"/>
    <x v="86"/>
    <n v="14"/>
    <n v="3738.42"/>
    <n v="267.03"/>
    <x v="1"/>
    <x v="0"/>
    <x v="1"/>
    <x v="1"/>
    <x v="1"/>
  </r>
  <r>
    <s v="CUST00982"/>
    <n v="24"/>
    <s v="Female"/>
    <s v="Mumbai"/>
    <x v="2"/>
    <x v="214"/>
    <x v="19"/>
    <n v="15"/>
    <n v="3737.7"/>
    <n v="249.18"/>
    <x v="4"/>
    <x v="0"/>
    <x v="2"/>
    <x v="0"/>
    <x v="1"/>
  </r>
  <r>
    <s v="CUST00629"/>
    <n v="53"/>
    <s v="Male"/>
    <s v="Delhi"/>
    <x v="2"/>
    <x v="279"/>
    <x v="292"/>
    <n v="16"/>
    <n v="3735.04"/>
    <n v="233.44"/>
    <x v="2"/>
    <x v="2"/>
    <x v="7"/>
    <x v="0"/>
    <x v="1"/>
  </r>
  <r>
    <s v="CUST00899"/>
    <n v="43"/>
    <s v="Male"/>
    <s v="Hyderabad"/>
    <x v="1"/>
    <x v="280"/>
    <x v="293"/>
    <n v="19"/>
    <n v="3730.46"/>
    <n v="196.34"/>
    <x v="2"/>
    <x v="1"/>
    <x v="5"/>
    <x v="0"/>
    <x v="1"/>
  </r>
  <r>
    <s v="CUST00857"/>
    <n v="49"/>
    <s v="Female"/>
    <s v="Pune"/>
    <x v="2"/>
    <x v="281"/>
    <x v="294"/>
    <n v="22"/>
    <n v="3730.1"/>
    <n v="169.55"/>
    <x v="0"/>
    <x v="0"/>
    <x v="3"/>
    <x v="1"/>
    <x v="1"/>
  </r>
  <r>
    <s v="CUST00067"/>
    <n v="27"/>
    <s v="Female"/>
    <s v="Delhi"/>
    <x v="1"/>
    <x v="245"/>
    <x v="14"/>
    <n v="19"/>
    <n v="3728.56"/>
    <n v="196.24"/>
    <x v="3"/>
    <x v="0"/>
    <x v="7"/>
    <x v="1"/>
    <x v="1"/>
  </r>
  <r>
    <s v="CUST01577"/>
    <n v="35"/>
    <s v="Female"/>
    <s v="Kolkata"/>
    <x v="1"/>
    <x v="176"/>
    <x v="76"/>
    <n v="22"/>
    <n v="3721.52"/>
    <n v="169.16"/>
    <x v="1"/>
    <x v="0"/>
    <x v="4"/>
    <x v="0"/>
    <x v="1"/>
  </r>
  <r>
    <s v="CUST00848"/>
    <n v="28"/>
    <s v="Male"/>
    <s v="Delhi"/>
    <x v="2"/>
    <x v="282"/>
    <x v="288"/>
    <n v="13"/>
    <n v="3719.43"/>
    <n v="286.11"/>
    <x v="2"/>
    <x v="2"/>
    <x v="6"/>
    <x v="0"/>
    <x v="1"/>
  </r>
  <r>
    <s v="CUST01120"/>
    <n v="28"/>
    <s v="Male"/>
    <s v="Mumbai"/>
    <x v="2"/>
    <x v="131"/>
    <x v="295"/>
    <n v="19"/>
    <n v="3713.55"/>
    <n v="195.45"/>
    <x v="2"/>
    <x v="2"/>
    <x v="0"/>
    <x v="1"/>
    <x v="1"/>
  </r>
  <r>
    <s v="CUST01161"/>
    <n v="41"/>
    <s v="Male"/>
    <s v="Chennai"/>
    <x v="3"/>
    <x v="283"/>
    <x v="296"/>
    <n v="19"/>
    <n v="3707.66"/>
    <n v="195.14"/>
    <x v="0"/>
    <x v="0"/>
    <x v="0"/>
    <x v="0"/>
    <x v="1"/>
  </r>
  <r>
    <s v="CUST01351"/>
    <n v="19"/>
    <s v="Female"/>
    <s v="Kolkata"/>
    <x v="1"/>
    <x v="284"/>
    <x v="297"/>
    <n v="24"/>
    <n v="3700.08"/>
    <n v="154.17"/>
    <x v="1"/>
    <x v="0"/>
    <x v="2"/>
    <x v="0"/>
    <x v="1"/>
  </r>
  <r>
    <s v="CUST00946"/>
    <n v="44"/>
    <s v="Female"/>
    <s v="Bangalore"/>
    <x v="2"/>
    <x v="285"/>
    <x v="298"/>
    <n v="23"/>
    <n v="3674.48"/>
    <n v="159.76"/>
    <x v="0"/>
    <x v="1"/>
    <x v="3"/>
    <x v="0"/>
    <x v="1"/>
  </r>
  <r>
    <s v="CUST00359"/>
    <n v="43"/>
    <s v="Female"/>
    <s v="Delhi"/>
    <x v="0"/>
    <x v="286"/>
    <x v="97"/>
    <n v="16"/>
    <n v="3658.72"/>
    <n v="228.67"/>
    <x v="3"/>
    <x v="0"/>
    <x v="4"/>
    <x v="1"/>
    <x v="1"/>
  </r>
  <r>
    <s v="CUST01931"/>
    <n v="28"/>
    <s v="Female"/>
    <s v="Hyderabad"/>
    <x v="2"/>
    <x v="239"/>
    <x v="251"/>
    <n v="22"/>
    <n v="3655.96"/>
    <n v="166.18"/>
    <x v="0"/>
    <x v="0"/>
    <x v="1"/>
    <x v="0"/>
    <x v="1"/>
  </r>
  <r>
    <s v="CUST00818"/>
    <n v="45"/>
    <s v="Female"/>
    <s v="Kolkata"/>
    <x v="2"/>
    <x v="287"/>
    <x v="299"/>
    <n v="13"/>
    <n v="3653"/>
    <n v="281"/>
    <x v="0"/>
    <x v="0"/>
    <x v="2"/>
    <x v="1"/>
    <x v="1"/>
  </r>
  <r>
    <s v="CUST01443"/>
    <n v="45"/>
    <s v="Male"/>
    <s v="Hyderabad"/>
    <x v="2"/>
    <x v="288"/>
    <x v="300"/>
    <n v="19"/>
    <n v="3638.31"/>
    <n v="191.49"/>
    <x v="0"/>
    <x v="1"/>
    <x v="6"/>
    <x v="0"/>
    <x v="1"/>
  </r>
  <r>
    <s v="CUST00670"/>
    <n v="36"/>
    <s v="Male"/>
    <s v="Hyderabad"/>
    <x v="1"/>
    <x v="289"/>
    <x v="44"/>
    <n v="14"/>
    <n v="3636.78"/>
    <n v="259.77"/>
    <x v="2"/>
    <x v="2"/>
    <x v="6"/>
    <x v="0"/>
    <x v="1"/>
  </r>
  <r>
    <s v="CUST01520"/>
    <n v="23"/>
    <s v="Female"/>
    <s v="Kolkata"/>
    <x v="2"/>
    <x v="48"/>
    <x v="301"/>
    <n v="14"/>
    <n v="3630.900000000001"/>
    <n v="259.35"/>
    <x v="2"/>
    <x v="2"/>
    <x v="2"/>
    <x v="0"/>
    <x v="1"/>
  </r>
  <r>
    <s v="CUST01917"/>
    <n v="40"/>
    <s v="Female"/>
    <s v="Chennai"/>
    <x v="2"/>
    <x v="21"/>
    <x v="75"/>
    <n v="21"/>
    <n v="3627.96"/>
    <n v="172.76"/>
    <x v="0"/>
    <x v="1"/>
    <x v="5"/>
    <x v="0"/>
    <x v="1"/>
  </r>
  <r>
    <s v="CUST01841"/>
    <n v="34"/>
    <s v="Female"/>
    <s v="Pune"/>
    <x v="2"/>
    <x v="290"/>
    <x v="302"/>
    <n v="19"/>
    <n v="3622.54"/>
    <n v="190.66"/>
    <x v="1"/>
    <x v="1"/>
    <x v="9"/>
    <x v="0"/>
    <x v="1"/>
  </r>
  <r>
    <s v="CUST01479"/>
    <n v="43"/>
    <s v="Male"/>
    <s v="Delhi"/>
    <x v="0"/>
    <x v="291"/>
    <x v="303"/>
    <n v="22"/>
    <n v="3621.42"/>
    <n v="164.61"/>
    <x v="1"/>
    <x v="1"/>
    <x v="1"/>
    <x v="0"/>
    <x v="1"/>
  </r>
  <r>
    <s v="CUST01194"/>
    <n v="29"/>
    <s v="Female"/>
    <s v="Hyderabad"/>
    <x v="1"/>
    <x v="292"/>
    <x v="276"/>
    <n v="25"/>
    <n v="3621"/>
    <n v="144.84"/>
    <x v="2"/>
    <x v="1"/>
    <x v="9"/>
    <x v="0"/>
    <x v="1"/>
  </r>
  <r>
    <s v="CUST01480"/>
    <n v="29"/>
    <s v="Female"/>
    <s v="Pune"/>
    <x v="0"/>
    <x v="215"/>
    <x v="66"/>
    <n v="20"/>
    <n v="3616.8"/>
    <n v="180.84"/>
    <x v="1"/>
    <x v="2"/>
    <x v="9"/>
    <x v="0"/>
    <x v="1"/>
  </r>
  <r>
    <s v="CUST00729"/>
    <n v="23"/>
    <s v="Male"/>
    <s v="Pune"/>
    <x v="0"/>
    <x v="236"/>
    <x v="177"/>
    <n v="18"/>
    <n v="3611.52"/>
    <n v="200.64"/>
    <x v="0"/>
    <x v="0"/>
    <x v="0"/>
    <x v="0"/>
    <x v="1"/>
  </r>
  <r>
    <s v="CUST01702"/>
    <n v="54"/>
    <s v="Male"/>
    <s v="Mumbai"/>
    <x v="0"/>
    <x v="190"/>
    <x v="252"/>
    <n v="13"/>
    <n v="3608.67"/>
    <n v="277.59"/>
    <x v="0"/>
    <x v="0"/>
    <x v="0"/>
    <x v="1"/>
    <x v="1"/>
  </r>
  <r>
    <s v="CUST00708"/>
    <n v="59"/>
    <s v="Female"/>
    <s v="Bangalore"/>
    <x v="1"/>
    <x v="293"/>
    <x v="304"/>
    <n v="16"/>
    <n v="3601.76"/>
    <n v="225.11"/>
    <x v="3"/>
    <x v="2"/>
    <x v="2"/>
    <x v="1"/>
    <x v="1"/>
  </r>
  <r>
    <s v="CUST01962"/>
    <n v="53"/>
    <s v="Male"/>
    <s v="Delhi"/>
    <x v="3"/>
    <x v="182"/>
    <x v="216"/>
    <n v="12"/>
    <n v="3592.68"/>
    <n v="299.39"/>
    <x v="0"/>
    <x v="1"/>
    <x v="8"/>
    <x v="0"/>
    <x v="1"/>
  </r>
  <r>
    <s v="CUST00240"/>
    <n v="36"/>
    <s v="Female"/>
    <s v="Delhi"/>
    <x v="0"/>
    <x v="60"/>
    <x v="242"/>
    <n v="12"/>
    <n v="3592.32"/>
    <n v="299.36"/>
    <x v="1"/>
    <x v="1"/>
    <x v="1"/>
    <x v="0"/>
    <x v="1"/>
  </r>
  <r>
    <s v="CUST00696"/>
    <n v="52"/>
    <s v="Male"/>
    <s v="Delhi"/>
    <x v="2"/>
    <x v="53"/>
    <x v="305"/>
    <n v="14"/>
    <n v="3580.92"/>
    <n v="255.78"/>
    <x v="2"/>
    <x v="2"/>
    <x v="2"/>
    <x v="0"/>
    <x v="1"/>
  </r>
  <r>
    <s v="CUST00494"/>
    <n v="32"/>
    <s v="Male"/>
    <s v="Chennai"/>
    <x v="0"/>
    <x v="294"/>
    <x v="263"/>
    <n v="20"/>
    <n v="3575.4"/>
    <n v="178.77"/>
    <x v="4"/>
    <x v="2"/>
    <x v="2"/>
    <x v="0"/>
    <x v="1"/>
  </r>
  <r>
    <s v="CUST00838"/>
    <n v="64"/>
    <s v="Female"/>
    <s v="Chennai"/>
    <x v="3"/>
    <x v="295"/>
    <x v="306"/>
    <n v="13"/>
    <n v="3573.05"/>
    <n v="274.85"/>
    <x v="1"/>
    <x v="2"/>
    <x v="1"/>
    <x v="0"/>
    <x v="1"/>
  </r>
  <r>
    <s v="CUST01637"/>
    <n v="63"/>
    <s v="Female"/>
    <s v="Pune"/>
    <x v="2"/>
    <x v="296"/>
    <x v="57"/>
    <n v="17"/>
    <n v="3559.46"/>
    <n v="209.38"/>
    <x v="2"/>
    <x v="2"/>
    <x v="0"/>
    <x v="0"/>
    <x v="1"/>
  </r>
  <r>
    <s v="CUST01731"/>
    <n v="57"/>
    <s v="Male"/>
    <s v="Hyderabad"/>
    <x v="1"/>
    <x v="297"/>
    <x v="45"/>
    <n v="14"/>
    <n v="3558.38"/>
    <n v="254.17"/>
    <x v="4"/>
    <x v="0"/>
    <x v="8"/>
    <x v="1"/>
    <x v="1"/>
  </r>
  <r>
    <s v="CUST00316"/>
    <n v="50"/>
    <s v="Male"/>
    <s v="Delhi"/>
    <x v="3"/>
    <x v="199"/>
    <x v="307"/>
    <n v="13"/>
    <n v="3546.139999999999"/>
    <n v="272.78"/>
    <x v="1"/>
    <x v="2"/>
    <x v="0"/>
    <x v="0"/>
    <x v="1"/>
  </r>
  <r>
    <s v="CUST00022"/>
    <n v="18"/>
    <s v="Female"/>
    <s v="Bangalore"/>
    <x v="3"/>
    <x v="298"/>
    <x v="292"/>
    <n v="13"/>
    <n v="3544.84"/>
    <n v="272.68"/>
    <x v="4"/>
    <x v="1"/>
    <x v="3"/>
    <x v="1"/>
    <x v="1"/>
  </r>
  <r>
    <s v="CUST01687"/>
    <n v="29"/>
    <s v="Female"/>
    <s v="Mumbai"/>
    <x v="0"/>
    <x v="299"/>
    <x v="308"/>
    <n v="12"/>
    <n v="3544.2"/>
    <n v="295.35"/>
    <x v="0"/>
    <x v="0"/>
    <x v="0"/>
    <x v="0"/>
    <x v="1"/>
  </r>
  <r>
    <s v="CUST00025"/>
    <n v="44"/>
    <s v="Female"/>
    <s v="Bangalore"/>
    <x v="1"/>
    <x v="267"/>
    <x v="309"/>
    <n v="19"/>
    <n v="3542.93"/>
    <n v="186.47"/>
    <x v="4"/>
    <x v="2"/>
    <x v="1"/>
    <x v="0"/>
    <x v="1"/>
  </r>
  <r>
    <s v="CUST01033"/>
    <n v="56"/>
    <s v="Male"/>
    <s v="Pune"/>
    <x v="3"/>
    <x v="300"/>
    <x v="12"/>
    <n v="12"/>
    <n v="3536.4"/>
    <n v="294.7"/>
    <x v="1"/>
    <x v="1"/>
    <x v="6"/>
    <x v="0"/>
    <x v="1"/>
  </r>
  <r>
    <s v="CUST00578"/>
    <n v="35"/>
    <s v="Male"/>
    <s v="Mumbai"/>
    <x v="0"/>
    <x v="301"/>
    <x v="23"/>
    <n v="15"/>
    <n v="3535.35"/>
    <n v="235.69"/>
    <x v="1"/>
    <x v="0"/>
    <x v="2"/>
    <x v="0"/>
    <x v="1"/>
  </r>
  <r>
    <s v="CUST01569"/>
    <n v="36"/>
    <s v="Female"/>
    <s v="Hyderabad"/>
    <x v="3"/>
    <x v="240"/>
    <x v="310"/>
    <n v="18"/>
    <n v="3532.68"/>
    <n v="196.26"/>
    <x v="3"/>
    <x v="0"/>
    <x v="2"/>
    <x v="0"/>
    <x v="1"/>
  </r>
  <r>
    <s v="CUST01250"/>
    <n v="56"/>
    <s v="Male"/>
    <s v="Chennai"/>
    <x v="2"/>
    <x v="302"/>
    <x v="311"/>
    <n v="23"/>
    <n v="3523.83"/>
    <n v="153.21"/>
    <x v="0"/>
    <x v="2"/>
    <x v="2"/>
    <x v="0"/>
    <x v="1"/>
  </r>
  <r>
    <s v="CUST01379"/>
    <n v="43"/>
    <s v="Male"/>
    <s v="Mumbai"/>
    <x v="2"/>
    <x v="303"/>
    <x v="312"/>
    <n v="25"/>
    <n v="3523"/>
    <n v="140.92"/>
    <x v="2"/>
    <x v="1"/>
    <x v="4"/>
    <x v="0"/>
    <x v="1"/>
  </r>
  <r>
    <s v="CUST01257"/>
    <n v="29"/>
    <s v="Male"/>
    <s v="Bangalore"/>
    <x v="2"/>
    <x v="127"/>
    <x v="313"/>
    <n v="23"/>
    <n v="3515.09"/>
    <n v="152.83"/>
    <x v="1"/>
    <x v="0"/>
    <x v="7"/>
    <x v="0"/>
    <x v="1"/>
  </r>
  <r>
    <s v="CUST00591"/>
    <n v="20"/>
    <s v="Female"/>
    <s v="Hyderabad"/>
    <x v="2"/>
    <x v="136"/>
    <x v="28"/>
    <n v="13"/>
    <n v="3512.08"/>
    <n v="270.16"/>
    <x v="0"/>
    <x v="0"/>
    <x v="4"/>
    <x v="0"/>
    <x v="1"/>
  </r>
  <r>
    <s v="CUST01540"/>
    <n v="19"/>
    <s v="Female"/>
    <s v="Mumbai"/>
    <x v="1"/>
    <x v="35"/>
    <x v="314"/>
    <n v="15"/>
    <n v="3507.9"/>
    <n v="233.86"/>
    <x v="4"/>
    <x v="0"/>
    <x v="0"/>
    <x v="0"/>
    <x v="1"/>
  </r>
  <r>
    <s v="CUST00156"/>
    <n v="51"/>
    <s v="Female"/>
    <s v="Hyderabad"/>
    <x v="2"/>
    <x v="257"/>
    <x v="32"/>
    <n v="15"/>
    <n v="3504.9"/>
    <n v="233.66"/>
    <x v="4"/>
    <x v="2"/>
    <x v="8"/>
    <x v="0"/>
    <x v="1"/>
  </r>
  <r>
    <s v="CUST00186"/>
    <n v="26"/>
    <s v="Male"/>
    <s v="Pune"/>
    <x v="1"/>
    <x v="62"/>
    <x v="120"/>
    <n v="23"/>
    <n v="3502.21"/>
    <n v="152.27"/>
    <x v="2"/>
    <x v="0"/>
    <x v="2"/>
    <x v="0"/>
    <x v="1"/>
  </r>
  <r>
    <s v="CUST00489"/>
    <n v="19"/>
    <s v="Female"/>
    <s v="Mumbai"/>
    <x v="1"/>
    <x v="304"/>
    <x v="315"/>
    <n v="13"/>
    <n v="3501.03"/>
    <n v="269.31"/>
    <x v="4"/>
    <x v="1"/>
    <x v="5"/>
    <x v="0"/>
    <x v="1"/>
  </r>
  <r>
    <s v="CUST00841"/>
    <n v="24"/>
    <s v="Female"/>
    <s v="Delhi"/>
    <x v="3"/>
    <x v="305"/>
    <x v="316"/>
    <n v="17"/>
    <n v="3499.45"/>
    <n v="205.85"/>
    <x v="4"/>
    <x v="2"/>
    <x v="1"/>
    <x v="0"/>
    <x v="1"/>
  </r>
  <r>
    <s v="CUST01893"/>
    <n v="52"/>
    <s v="Male"/>
    <s v="Pune"/>
    <x v="2"/>
    <x v="306"/>
    <x v="317"/>
    <n v="12"/>
    <n v="3498.96"/>
    <n v="291.58"/>
    <x v="4"/>
    <x v="0"/>
    <x v="2"/>
    <x v="0"/>
    <x v="1"/>
  </r>
  <r>
    <s v="CUST01415"/>
    <n v="22"/>
    <s v="Female"/>
    <s v="Bangalore"/>
    <x v="3"/>
    <x v="307"/>
    <x v="272"/>
    <n v="13"/>
    <n v="3488.81"/>
    <n v="268.37"/>
    <x v="3"/>
    <x v="1"/>
    <x v="8"/>
    <x v="0"/>
    <x v="1"/>
  </r>
  <r>
    <s v="CUST00669"/>
    <n v="31"/>
    <s v="Male"/>
    <s v="Kolkata"/>
    <x v="2"/>
    <x v="308"/>
    <x v="318"/>
    <n v="22"/>
    <n v="3483.92"/>
    <n v="158.36"/>
    <x v="4"/>
    <x v="0"/>
    <x v="2"/>
    <x v="0"/>
    <x v="1"/>
  </r>
  <r>
    <s v="CUST00349"/>
    <n v="50"/>
    <s v="Male"/>
    <s v="Chennai"/>
    <x v="0"/>
    <x v="309"/>
    <x v="319"/>
    <n v="22"/>
    <n v="3483.7"/>
    <n v="158.35"/>
    <x v="4"/>
    <x v="0"/>
    <x v="0"/>
    <x v="0"/>
    <x v="1"/>
  </r>
  <r>
    <s v="CUST00463"/>
    <n v="26"/>
    <s v="Male"/>
    <s v="Kolkata"/>
    <x v="0"/>
    <x v="309"/>
    <x v="263"/>
    <n v="17"/>
    <n v="3476.33"/>
    <n v="204.49"/>
    <x v="1"/>
    <x v="2"/>
    <x v="2"/>
    <x v="1"/>
    <x v="1"/>
  </r>
  <r>
    <s v="CUST01018"/>
    <n v="64"/>
    <s v="Female"/>
    <s v="Bangalore"/>
    <x v="0"/>
    <x v="310"/>
    <x v="320"/>
    <n v="12"/>
    <n v="3474.96"/>
    <n v="289.58"/>
    <x v="1"/>
    <x v="1"/>
    <x v="3"/>
    <x v="0"/>
    <x v="1"/>
  </r>
  <r>
    <s v="CUST00581"/>
    <n v="44"/>
    <s v="Male"/>
    <s v="Chennai"/>
    <x v="2"/>
    <x v="311"/>
    <x v="321"/>
    <n v="24"/>
    <n v="3469.2"/>
    <n v="144.55"/>
    <x v="1"/>
    <x v="2"/>
    <x v="9"/>
    <x v="0"/>
    <x v="1"/>
  </r>
  <r>
    <s v="CUST01737"/>
    <n v="54"/>
    <s v="Male"/>
    <s v="Chennai"/>
    <x v="0"/>
    <x v="312"/>
    <x v="322"/>
    <n v="12"/>
    <n v="3468.72"/>
    <n v="289.06"/>
    <x v="0"/>
    <x v="2"/>
    <x v="3"/>
    <x v="1"/>
    <x v="1"/>
  </r>
  <r>
    <s v="CUST01363"/>
    <n v="38"/>
    <s v="Female"/>
    <s v="Delhi"/>
    <x v="2"/>
    <x v="75"/>
    <x v="323"/>
    <n v="22"/>
    <n v="3466.54"/>
    <n v="157.57"/>
    <x v="2"/>
    <x v="1"/>
    <x v="3"/>
    <x v="1"/>
    <x v="1"/>
  </r>
  <r>
    <s v="CUST00980"/>
    <n v="64"/>
    <s v="Female"/>
    <s v="Mumbai"/>
    <x v="0"/>
    <x v="58"/>
    <x v="324"/>
    <n v="22"/>
    <n v="3459.06"/>
    <n v="157.23"/>
    <x v="4"/>
    <x v="1"/>
    <x v="8"/>
    <x v="0"/>
    <x v="1"/>
  </r>
  <r>
    <s v="CUST01215"/>
    <n v="24"/>
    <s v="Female"/>
    <s v="Hyderabad"/>
    <x v="1"/>
    <x v="19"/>
    <x v="325"/>
    <n v="12"/>
    <n v="3455.16"/>
    <n v="287.93"/>
    <x v="1"/>
    <x v="2"/>
    <x v="3"/>
    <x v="0"/>
    <x v="1"/>
  </r>
  <r>
    <s v="CUST01679"/>
    <n v="58"/>
    <s v="Male"/>
    <s v="Kolkata"/>
    <x v="3"/>
    <x v="313"/>
    <x v="323"/>
    <n v="13"/>
    <n v="3448.25"/>
    <n v="265.25"/>
    <x v="4"/>
    <x v="0"/>
    <x v="1"/>
    <x v="0"/>
    <x v="1"/>
  </r>
  <r>
    <s v="CUST00436"/>
    <n v="29"/>
    <s v="Female"/>
    <s v="Bangalore"/>
    <x v="2"/>
    <x v="305"/>
    <x v="19"/>
    <n v="19"/>
    <n v="3443.75"/>
    <n v="181.25"/>
    <x v="0"/>
    <x v="1"/>
    <x v="2"/>
    <x v="0"/>
    <x v="1"/>
  </r>
  <r>
    <s v="CUST00995"/>
    <n v="18"/>
    <s v="Female"/>
    <s v="Bangalore"/>
    <x v="2"/>
    <x v="219"/>
    <x v="170"/>
    <n v="22"/>
    <n v="3436.84"/>
    <n v="156.22"/>
    <x v="0"/>
    <x v="0"/>
    <x v="4"/>
    <x v="0"/>
    <x v="1"/>
  </r>
  <r>
    <s v="CUST00435"/>
    <n v="41"/>
    <s v="Female"/>
    <s v="Bangalore"/>
    <x v="0"/>
    <x v="314"/>
    <x v="326"/>
    <n v="15"/>
    <n v="3427.35"/>
    <n v="228.49"/>
    <x v="2"/>
    <x v="2"/>
    <x v="9"/>
    <x v="0"/>
    <x v="1"/>
  </r>
  <r>
    <s v="CUST01298"/>
    <n v="19"/>
    <s v="Female"/>
    <s v="Chennai"/>
    <x v="2"/>
    <x v="107"/>
    <x v="272"/>
    <n v="19"/>
    <n v="3422.47"/>
    <n v="180.13"/>
    <x v="4"/>
    <x v="2"/>
    <x v="9"/>
    <x v="0"/>
    <x v="1"/>
  </r>
  <r>
    <s v="CUST00731"/>
    <n v="20"/>
    <s v="Female"/>
    <s v="Kolkata"/>
    <x v="0"/>
    <x v="315"/>
    <x v="132"/>
    <n v="18"/>
    <n v="3418.56"/>
    <n v="189.92"/>
    <x v="4"/>
    <x v="1"/>
    <x v="5"/>
    <x v="0"/>
    <x v="1"/>
  </r>
  <r>
    <s v="CUST01241"/>
    <n v="32"/>
    <s v="Female"/>
    <s v="Kolkata"/>
    <x v="2"/>
    <x v="316"/>
    <x v="71"/>
    <n v="20"/>
    <n v="3414.2"/>
    <n v="170.71"/>
    <x v="3"/>
    <x v="0"/>
    <x v="8"/>
    <x v="0"/>
    <x v="1"/>
  </r>
  <r>
    <s v="CUST00599"/>
    <n v="39"/>
    <s v="Female"/>
    <s v="Hyderabad"/>
    <x v="3"/>
    <x v="317"/>
    <x v="327"/>
    <n v="17"/>
    <n v="3408.67"/>
    <n v="200.51"/>
    <x v="2"/>
    <x v="1"/>
    <x v="4"/>
    <x v="0"/>
    <x v="1"/>
  </r>
  <r>
    <s v="CUST01487"/>
    <n v="33"/>
    <s v="Male"/>
    <s v="Hyderabad"/>
    <x v="2"/>
    <x v="318"/>
    <x v="328"/>
    <n v="20"/>
    <n v="3406.6"/>
    <n v="170.33"/>
    <x v="0"/>
    <x v="2"/>
    <x v="6"/>
    <x v="0"/>
    <x v="1"/>
  </r>
  <r>
    <s v="CUST01522"/>
    <n v="56"/>
    <s v="Male"/>
    <s v="Mumbai"/>
    <x v="3"/>
    <x v="319"/>
    <x v="103"/>
    <n v="25"/>
    <n v="3405.25"/>
    <n v="136.21"/>
    <x v="4"/>
    <x v="1"/>
    <x v="2"/>
    <x v="0"/>
    <x v="1"/>
  </r>
  <r>
    <s v="CUST01647"/>
    <n v="57"/>
    <s v="Female"/>
    <s v="Kolkata"/>
    <x v="0"/>
    <x v="320"/>
    <x v="228"/>
    <n v="19"/>
    <n v="3404.23"/>
    <n v="179.17"/>
    <x v="3"/>
    <x v="0"/>
    <x v="1"/>
    <x v="1"/>
    <x v="1"/>
  </r>
  <r>
    <s v="CUST00429"/>
    <n v="47"/>
    <s v="Male"/>
    <s v="Chennai"/>
    <x v="3"/>
    <x v="285"/>
    <x v="329"/>
    <n v="13"/>
    <n v="3391.83"/>
    <n v="260.91"/>
    <x v="4"/>
    <x v="0"/>
    <x v="6"/>
    <x v="0"/>
    <x v="1"/>
  </r>
  <r>
    <s v="CUST00051"/>
    <n v="59"/>
    <s v="Female"/>
    <s v="Mumbai"/>
    <x v="3"/>
    <x v="173"/>
    <x v="160"/>
    <n v="19"/>
    <n v="3382.57"/>
    <n v="178.03"/>
    <x v="1"/>
    <x v="2"/>
    <x v="1"/>
    <x v="1"/>
    <x v="1"/>
  </r>
  <r>
    <s v="CUST01288"/>
    <n v="42"/>
    <s v="Female"/>
    <s v="Bangalore"/>
    <x v="2"/>
    <x v="102"/>
    <x v="330"/>
    <n v="15"/>
    <n v="3380.55"/>
    <n v="225.37"/>
    <x v="4"/>
    <x v="0"/>
    <x v="7"/>
    <x v="0"/>
    <x v="1"/>
  </r>
  <r>
    <s v="CUST00727"/>
    <n v="60"/>
    <s v="Female"/>
    <s v="Mumbai"/>
    <x v="2"/>
    <x v="321"/>
    <x v="331"/>
    <n v="17"/>
    <n v="3369.57"/>
    <n v="198.21"/>
    <x v="3"/>
    <x v="0"/>
    <x v="4"/>
    <x v="0"/>
    <x v="1"/>
  </r>
  <r>
    <s v="CUST00940"/>
    <n v="31"/>
    <s v="Female"/>
    <s v="Mumbai"/>
    <x v="0"/>
    <x v="246"/>
    <x v="332"/>
    <n v="23"/>
    <n v="3367.2"/>
    <n v="146.4"/>
    <x v="3"/>
    <x v="1"/>
    <x v="9"/>
    <x v="0"/>
    <x v="1"/>
  </r>
  <r>
    <s v="CUST01377"/>
    <n v="24"/>
    <s v="Male"/>
    <s v="Hyderabad"/>
    <x v="0"/>
    <x v="322"/>
    <x v="333"/>
    <n v="22"/>
    <n v="3364.46"/>
    <n v="152.93"/>
    <x v="1"/>
    <x v="0"/>
    <x v="5"/>
    <x v="0"/>
    <x v="1"/>
  </r>
  <r>
    <s v="CUST00045"/>
    <n v="46"/>
    <s v="Female"/>
    <s v="Kolkata"/>
    <x v="3"/>
    <x v="32"/>
    <x v="48"/>
    <n v="18"/>
    <n v="3361.14"/>
    <n v="186.73"/>
    <x v="1"/>
    <x v="0"/>
    <x v="2"/>
    <x v="0"/>
    <x v="1"/>
  </r>
  <r>
    <s v="CUST01129"/>
    <n v="32"/>
    <s v="Male"/>
    <s v="Hyderabad"/>
    <x v="3"/>
    <x v="248"/>
    <x v="285"/>
    <n v="16"/>
    <n v="3360"/>
    <n v="210"/>
    <x v="4"/>
    <x v="0"/>
    <x v="7"/>
    <x v="0"/>
    <x v="1"/>
  </r>
  <r>
    <s v="CUST00342"/>
    <n v="39"/>
    <s v="Female"/>
    <s v="Chennai"/>
    <x v="1"/>
    <x v="138"/>
    <x v="334"/>
    <n v="15"/>
    <n v="3356.85"/>
    <n v="223.79"/>
    <x v="4"/>
    <x v="1"/>
    <x v="9"/>
    <x v="0"/>
    <x v="1"/>
  </r>
  <r>
    <s v="CUST00845"/>
    <n v="43"/>
    <s v="Female"/>
    <s v="Delhi"/>
    <x v="2"/>
    <x v="240"/>
    <x v="335"/>
    <n v="22"/>
    <n v="3356.32"/>
    <n v="152.56"/>
    <x v="4"/>
    <x v="0"/>
    <x v="0"/>
    <x v="0"/>
    <x v="1"/>
  </r>
  <r>
    <s v="CUST00503"/>
    <n v="51"/>
    <s v="Female"/>
    <s v="Chennai"/>
    <x v="1"/>
    <x v="76"/>
    <x v="336"/>
    <n v="23"/>
    <n v="3354.09"/>
    <n v="145.83"/>
    <x v="2"/>
    <x v="0"/>
    <x v="7"/>
    <x v="0"/>
    <x v="1"/>
  </r>
  <r>
    <s v="CUST00184"/>
    <n v="42"/>
    <s v="Female"/>
    <s v="Mumbai"/>
    <x v="1"/>
    <x v="110"/>
    <x v="96"/>
    <n v="12"/>
    <n v="3344.64"/>
    <n v="278.72"/>
    <x v="0"/>
    <x v="1"/>
    <x v="3"/>
    <x v="0"/>
    <x v="1"/>
  </r>
  <r>
    <s v="CUST01342"/>
    <n v="20"/>
    <s v="Female"/>
    <s v="Kolkata"/>
    <x v="0"/>
    <x v="77"/>
    <x v="337"/>
    <n v="25"/>
    <n v="3339.75"/>
    <n v="133.59"/>
    <x v="1"/>
    <x v="2"/>
    <x v="4"/>
    <x v="0"/>
    <x v="1"/>
  </r>
  <r>
    <s v="CUST00541"/>
    <n v="44"/>
    <s v="Male"/>
    <s v="Bangalore"/>
    <x v="1"/>
    <x v="241"/>
    <x v="320"/>
    <n v="13"/>
    <n v="3329.69"/>
    <n v="256.13"/>
    <x v="1"/>
    <x v="2"/>
    <x v="8"/>
    <x v="0"/>
    <x v="1"/>
  </r>
  <r>
    <s v="CUST00172"/>
    <n v="21"/>
    <s v="Male"/>
    <s v="Bangalore"/>
    <x v="2"/>
    <x v="323"/>
    <x v="44"/>
    <n v="25"/>
    <n v="3322.75"/>
    <n v="132.91"/>
    <x v="3"/>
    <x v="1"/>
    <x v="3"/>
    <x v="1"/>
    <x v="1"/>
  </r>
  <r>
    <s v="CUST01641"/>
    <n v="20"/>
    <s v="Male"/>
    <s v="Chennai"/>
    <x v="2"/>
    <x v="324"/>
    <x v="338"/>
    <n v="22"/>
    <n v="3318.92"/>
    <n v="150.86"/>
    <x v="0"/>
    <x v="2"/>
    <x v="3"/>
    <x v="0"/>
    <x v="1"/>
  </r>
  <r>
    <s v="CUST01485"/>
    <n v="31"/>
    <s v="Male"/>
    <s v="Bangalore"/>
    <x v="0"/>
    <x v="187"/>
    <x v="339"/>
    <n v="15"/>
    <n v="3317.4"/>
    <n v="221.16"/>
    <x v="3"/>
    <x v="1"/>
    <x v="6"/>
    <x v="0"/>
    <x v="1"/>
  </r>
  <r>
    <s v="CUST01554"/>
    <n v="47"/>
    <s v="Male"/>
    <s v="Hyderabad"/>
    <x v="0"/>
    <x v="28"/>
    <x v="290"/>
    <n v="12"/>
    <n v="3317.16"/>
    <n v="276.43"/>
    <x v="1"/>
    <x v="2"/>
    <x v="8"/>
    <x v="0"/>
    <x v="1"/>
  </r>
  <r>
    <s v="CUST00685"/>
    <n v="59"/>
    <s v="Male"/>
    <s v="Delhi"/>
    <x v="2"/>
    <x v="95"/>
    <x v="244"/>
    <n v="25"/>
    <n v="3316.75"/>
    <n v="132.67"/>
    <x v="2"/>
    <x v="1"/>
    <x v="1"/>
    <x v="0"/>
    <x v="1"/>
  </r>
  <r>
    <s v="CUST01854"/>
    <n v="60"/>
    <s v="Male"/>
    <s v="Bangalore"/>
    <x v="0"/>
    <x v="249"/>
    <x v="31"/>
    <n v="15"/>
    <n v="3314.4"/>
    <n v="220.96"/>
    <x v="4"/>
    <x v="2"/>
    <x v="2"/>
    <x v="0"/>
    <x v="1"/>
  </r>
  <r>
    <s v="CUST00561"/>
    <n v="45"/>
    <s v="Male"/>
    <s v="Pune"/>
    <x v="0"/>
    <x v="325"/>
    <x v="340"/>
    <n v="21"/>
    <n v="3313.38"/>
    <n v="157.78"/>
    <x v="2"/>
    <x v="0"/>
    <x v="1"/>
    <x v="1"/>
    <x v="1"/>
  </r>
  <r>
    <s v="CUST01549"/>
    <n v="51"/>
    <s v="Male"/>
    <s v="Kolkata"/>
    <x v="3"/>
    <x v="326"/>
    <x v="42"/>
    <n v="14"/>
    <n v="3312.68"/>
    <n v="236.62"/>
    <x v="2"/>
    <x v="0"/>
    <x v="5"/>
    <x v="0"/>
    <x v="1"/>
  </r>
  <r>
    <s v="CUST01393"/>
    <n v="28"/>
    <s v="Female"/>
    <s v="Mumbai"/>
    <x v="0"/>
    <x v="327"/>
    <x v="341"/>
    <n v="18"/>
    <n v="3303.9"/>
    <n v="183.55"/>
    <x v="1"/>
    <x v="2"/>
    <x v="4"/>
    <x v="0"/>
    <x v="1"/>
  </r>
  <r>
    <s v="CUST01401"/>
    <n v="28"/>
    <s v="Male"/>
    <s v="Mumbai"/>
    <x v="1"/>
    <x v="328"/>
    <x v="123"/>
    <n v="12"/>
    <n v="3303"/>
    <n v="275.25"/>
    <x v="3"/>
    <x v="1"/>
    <x v="9"/>
    <x v="0"/>
    <x v="1"/>
  </r>
  <r>
    <s v="CUST00780"/>
    <n v="31"/>
    <s v="Female"/>
    <s v="Hyderabad"/>
    <x v="0"/>
    <x v="73"/>
    <x v="342"/>
    <n v="14"/>
    <n v="3298.96"/>
    <n v="235.64"/>
    <x v="4"/>
    <x v="2"/>
    <x v="4"/>
    <x v="0"/>
    <x v="1"/>
  </r>
  <r>
    <s v="CUST01042"/>
    <n v="25"/>
    <s v="Male"/>
    <s v="Hyderabad"/>
    <x v="0"/>
    <x v="67"/>
    <x v="198"/>
    <n v="23"/>
    <n v="3295.44"/>
    <n v="143.28"/>
    <x v="4"/>
    <x v="1"/>
    <x v="4"/>
    <x v="0"/>
    <x v="1"/>
  </r>
  <r>
    <s v="CUST00560"/>
    <n v="34"/>
    <s v="Male"/>
    <s v="Hyderabad"/>
    <x v="0"/>
    <x v="289"/>
    <x v="242"/>
    <n v="11"/>
    <n v="3287.57"/>
    <n v="298.87"/>
    <x v="2"/>
    <x v="2"/>
    <x v="4"/>
    <x v="0"/>
    <x v="1"/>
  </r>
  <r>
    <s v="CUST00909"/>
    <n v="63"/>
    <s v="Male"/>
    <s v="Kolkata"/>
    <x v="0"/>
    <x v="329"/>
    <x v="17"/>
    <n v="16"/>
    <n v="3284.48"/>
    <n v="205.28"/>
    <x v="1"/>
    <x v="0"/>
    <x v="5"/>
    <x v="0"/>
    <x v="1"/>
  </r>
  <r>
    <s v="CUST00323"/>
    <n v="30"/>
    <s v="Female"/>
    <s v="Mumbai"/>
    <x v="3"/>
    <x v="330"/>
    <x v="343"/>
    <n v="24"/>
    <n v="3280.8"/>
    <n v="136.7"/>
    <x v="2"/>
    <x v="0"/>
    <x v="9"/>
    <x v="0"/>
    <x v="1"/>
  </r>
  <r>
    <s v="CUST00130"/>
    <n v="51"/>
    <s v="Male"/>
    <s v="Bangalore"/>
    <x v="2"/>
    <x v="331"/>
    <x v="341"/>
    <n v="23"/>
    <n v="3279.11"/>
    <n v="142.57"/>
    <x v="4"/>
    <x v="1"/>
    <x v="7"/>
    <x v="0"/>
    <x v="1"/>
  </r>
  <r>
    <s v="CUST00441"/>
    <n v="23"/>
    <s v="Male"/>
    <s v="Bangalore"/>
    <x v="1"/>
    <x v="326"/>
    <x v="344"/>
    <n v="25"/>
    <n v="3279"/>
    <n v="131.16"/>
    <x v="3"/>
    <x v="0"/>
    <x v="7"/>
    <x v="0"/>
    <x v="1"/>
  </r>
  <r>
    <s v="CUST00496"/>
    <n v="35"/>
    <s v="Female"/>
    <s v="Mumbai"/>
    <x v="1"/>
    <x v="48"/>
    <x v="345"/>
    <n v="14"/>
    <n v="3276.98"/>
    <n v="234.07"/>
    <x v="1"/>
    <x v="2"/>
    <x v="5"/>
    <x v="1"/>
    <x v="1"/>
  </r>
  <r>
    <s v="CUST01384"/>
    <n v="38"/>
    <s v="Male"/>
    <s v="Pune"/>
    <x v="1"/>
    <x v="21"/>
    <x v="346"/>
    <n v="20"/>
    <n v="3275.6"/>
    <n v="163.78"/>
    <x v="4"/>
    <x v="1"/>
    <x v="0"/>
    <x v="0"/>
    <x v="1"/>
  </r>
  <r>
    <s v="CUST01985"/>
    <n v="31"/>
    <s v="Male"/>
    <s v="Delhi"/>
    <x v="0"/>
    <x v="332"/>
    <x v="347"/>
    <n v="12"/>
    <n v="3273"/>
    <n v="272.75"/>
    <x v="3"/>
    <x v="2"/>
    <x v="3"/>
    <x v="1"/>
    <x v="1"/>
  </r>
  <r>
    <s v="CUST01019"/>
    <n v="50"/>
    <s v="Male"/>
    <s v="Mumbai"/>
    <x v="1"/>
    <x v="306"/>
    <x v="249"/>
    <n v="12"/>
    <n v="3272.52"/>
    <n v="272.71"/>
    <x v="4"/>
    <x v="0"/>
    <x v="4"/>
    <x v="0"/>
    <x v="1"/>
  </r>
  <r>
    <s v="CUST00469"/>
    <n v="38"/>
    <s v="Female"/>
    <s v="Hyderabad"/>
    <x v="3"/>
    <x v="333"/>
    <x v="348"/>
    <n v="12"/>
    <n v="3272.4"/>
    <n v="272.7"/>
    <x v="4"/>
    <x v="0"/>
    <x v="0"/>
    <x v="0"/>
    <x v="1"/>
  </r>
  <r>
    <s v="CUST01060"/>
    <n v="44"/>
    <s v="Male"/>
    <s v="Pune"/>
    <x v="1"/>
    <x v="111"/>
    <x v="349"/>
    <n v="21"/>
    <n v="3266.76"/>
    <n v="155.56"/>
    <x v="0"/>
    <x v="2"/>
    <x v="7"/>
    <x v="0"/>
    <x v="1"/>
  </r>
  <r>
    <s v="CUST01890"/>
    <n v="56"/>
    <s v="Male"/>
    <s v="Pune"/>
    <x v="3"/>
    <x v="334"/>
    <x v="350"/>
    <n v="12"/>
    <n v="3256.32"/>
    <n v="271.36"/>
    <x v="4"/>
    <x v="0"/>
    <x v="6"/>
    <x v="0"/>
    <x v="1"/>
  </r>
  <r>
    <s v="CUST01186"/>
    <n v="64"/>
    <s v="Female"/>
    <s v="Mumbai"/>
    <x v="2"/>
    <x v="186"/>
    <x v="351"/>
    <n v="16"/>
    <n v="3247.68"/>
    <n v="202.98"/>
    <x v="2"/>
    <x v="1"/>
    <x v="9"/>
    <x v="0"/>
    <x v="1"/>
  </r>
  <r>
    <s v="CUST00842"/>
    <n v="27"/>
    <s v="Male"/>
    <s v="Pune"/>
    <x v="2"/>
    <x v="335"/>
    <x v="352"/>
    <n v="22"/>
    <n v="3247.64"/>
    <n v="147.62"/>
    <x v="4"/>
    <x v="0"/>
    <x v="8"/>
    <x v="0"/>
    <x v="1"/>
  </r>
  <r>
    <s v="CUST00452"/>
    <n v="29"/>
    <s v="Male"/>
    <s v="Kolkata"/>
    <x v="2"/>
    <x v="336"/>
    <x v="253"/>
    <n v="25"/>
    <n v="3247"/>
    <n v="129.88"/>
    <x v="2"/>
    <x v="2"/>
    <x v="8"/>
    <x v="0"/>
    <x v="1"/>
  </r>
  <r>
    <s v="CUST01946"/>
    <n v="49"/>
    <s v="Male"/>
    <s v="Bangalore"/>
    <x v="2"/>
    <x v="337"/>
    <x v="353"/>
    <n v="13"/>
    <n v="3246.36"/>
    <n v="249.72"/>
    <x v="3"/>
    <x v="2"/>
    <x v="7"/>
    <x v="0"/>
    <x v="1"/>
  </r>
  <r>
    <s v="CUST00510"/>
    <n v="53"/>
    <s v="Male"/>
    <s v="Bangalore"/>
    <x v="3"/>
    <x v="338"/>
    <x v="354"/>
    <n v="13"/>
    <n v="3245.71"/>
    <n v="249.67"/>
    <x v="1"/>
    <x v="2"/>
    <x v="1"/>
    <x v="0"/>
    <x v="1"/>
  </r>
  <r>
    <s v="CUST00255"/>
    <n v="54"/>
    <s v="Female"/>
    <s v="Kolkata"/>
    <x v="0"/>
    <x v="339"/>
    <x v="355"/>
    <n v="11"/>
    <n v="3235.32"/>
    <n v="294.12"/>
    <x v="1"/>
    <x v="1"/>
    <x v="6"/>
    <x v="0"/>
    <x v="1"/>
  </r>
  <r>
    <s v="CUST00594"/>
    <n v="55"/>
    <s v="Male"/>
    <s v="Kolkata"/>
    <x v="1"/>
    <x v="340"/>
    <x v="106"/>
    <n v="21"/>
    <n v="3233.58"/>
    <n v="153.98"/>
    <x v="4"/>
    <x v="1"/>
    <x v="1"/>
    <x v="0"/>
    <x v="1"/>
  </r>
  <r>
    <s v="CUST01650"/>
    <n v="55"/>
    <s v="Female"/>
    <s v="Mumbai"/>
    <x v="0"/>
    <x v="236"/>
    <x v="356"/>
    <n v="20"/>
    <n v="3225"/>
    <n v="161.25"/>
    <x v="3"/>
    <x v="1"/>
    <x v="6"/>
    <x v="0"/>
    <x v="1"/>
  </r>
  <r>
    <s v="CUST00847"/>
    <n v="27"/>
    <s v="Male"/>
    <s v="Mumbai"/>
    <x v="1"/>
    <x v="58"/>
    <x v="357"/>
    <n v="15"/>
    <n v="3223.05"/>
    <n v="214.87"/>
    <x v="3"/>
    <x v="1"/>
    <x v="4"/>
    <x v="0"/>
    <x v="1"/>
  </r>
  <r>
    <s v="CUST00151"/>
    <n v="49"/>
    <s v="Female"/>
    <s v="Kolkata"/>
    <x v="2"/>
    <x v="341"/>
    <x v="202"/>
    <n v="11"/>
    <n v="3219.04"/>
    <n v="292.64"/>
    <x v="3"/>
    <x v="0"/>
    <x v="7"/>
    <x v="0"/>
    <x v="1"/>
  </r>
  <r>
    <s v="CUST01007"/>
    <n v="61"/>
    <s v="Female"/>
    <s v="Hyderabad"/>
    <x v="2"/>
    <x v="112"/>
    <x v="29"/>
    <n v="15"/>
    <n v="3215.4"/>
    <n v="214.36"/>
    <x v="2"/>
    <x v="1"/>
    <x v="7"/>
    <x v="0"/>
    <x v="1"/>
  </r>
  <r>
    <s v="CUST00536"/>
    <n v="31"/>
    <s v="Male"/>
    <s v="Pune"/>
    <x v="0"/>
    <x v="342"/>
    <x v="62"/>
    <n v="16"/>
    <n v="3209.6"/>
    <n v="200.6"/>
    <x v="1"/>
    <x v="0"/>
    <x v="5"/>
    <x v="1"/>
    <x v="1"/>
  </r>
  <r>
    <s v="CUST01036"/>
    <n v="46"/>
    <s v="Male"/>
    <s v="Pune"/>
    <x v="2"/>
    <x v="343"/>
    <x v="219"/>
    <n v="23"/>
    <n v="3208.73"/>
    <n v="139.51"/>
    <x v="4"/>
    <x v="2"/>
    <x v="9"/>
    <x v="1"/>
    <x v="1"/>
  </r>
  <r>
    <s v="CUST01453"/>
    <n v="34"/>
    <s v="Male"/>
    <s v="Pune"/>
    <x v="0"/>
    <x v="70"/>
    <x v="0"/>
    <n v="13"/>
    <n v="3196.05"/>
    <n v="245.85"/>
    <x v="3"/>
    <x v="2"/>
    <x v="5"/>
    <x v="0"/>
    <x v="1"/>
  </r>
  <r>
    <s v="CUST01551"/>
    <n v="60"/>
    <s v="Male"/>
    <s v="Pune"/>
    <x v="1"/>
    <x v="218"/>
    <x v="358"/>
    <n v="24"/>
    <n v="3189.6"/>
    <n v="132.9"/>
    <x v="4"/>
    <x v="2"/>
    <x v="3"/>
    <x v="0"/>
    <x v="1"/>
  </r>
  <r>
    <s v="CUST01602"/>
    <n v="63"/>
    <s v="Male"/>
    <s v="Pune"/>
    <x v="1"/>
    <x v="344"/>
    <x v="187"/>
    <n v="15"/>
    <n v="3187.5"/>
    <n v="212.5"/>
    <x v="3"/>
    <x v="1"/>
    <x v="5"/>
    <x v="0"/>
    <x v="1"/>
  </r>
  <r>
    <s v="CUST00744"/>
    <n v="42"/>
    <s v="Female"/>
    <s v="Hyderabad"/>
    <x v="1"/>
    <x v="339"/>
    <x v="359"/>
    <n v="22"/>
    <n v="3182.3"/>
    <n v="144.65"/>
    <x v="3"/>
    <x v="2"/>
    <x v="2"/>
    <x v="1"/>
    <x v="1"/>
  </r>
  <r>
    <s v="CUST01205"/>
    <n v="23"/>
    <s v="Male"/>
    <s v="Pune"/>
    <x v="0"/>
    <x v="345"/>
    <x v="9"/>
    <n v="25"/>
    <n v="3163.5"/>
    <n v="126.54"/>
    <x v="1"/>
    <x v="2"/>
    <x v="8"/>
    <x v="0"/>
    <x v="1"/>
  </r>
  <r>
    <s v="CUST01181"/>
    <n v="48"/>
    <s v="Female"/>
    <s v="Chennai"/>
    <x v="2"/>
    <x v="248"/>
    <x v="360"/>
    <n v="16"/>
    <n v="3147.52"/>
    <n v="196.72"/>
    <x v="4"/>
    <x v="0"/>
    <x v="0"/>
    <x v="0"/>
    <x v="1"/>
  </r>
  <r>
    <s v="CUST00843"/>
    <n v="36"/>
    <s v="Female"/>
    <s v="Delhi"/>
    <x v="2"/>
    <x v="116"/>
    <x v="361"/>
    <n v="16"/>
    <n v="3147.2"/>
    <n v="196.7"/>
    <x v="1"/>
    <x v="0"/>
    <x v="0"/>
    <x v="0"/>
    <x v="1"/>
  </r>
  <r>
    <s v="CUST00607"/>
    <n v="50"/>
    <s v="Female"/>
    <s v="Mumbai"/>
    <x v="3"/>
    <x v="6"/>
    <x v="362"/>
    <n v="15"/>
    <n v="3143.7"/>
    <n v="209.58"/>
    <x v="4"/>
    <x v="0"/>
    <x v="4"/>
    <x v="0"/>
    <x v="1"/>
  </r>
  <r>
    <s v="CUST01145"/>
    <n v="52"/>
    <s v="Male"/>
    <s v="Mumbai"/>
    <x v="1"/>
    <x v="346"/>
    <x v="363"/>
    <n v="24"/>
    <n v="3142.56"/>
    <n v="130.94"/>
    <x v="2"/>
    <x v="1"/>
    <x v="1"/>
    <x v="1"/>
    <x v="1"/>
  </r>
  <r>
    <s v="CUST00111"/>
    <n v="42"/>
    <s v="Female"/>
    <s v="Bangalore"/>
    <x v="1"/>
    <x v="103"/>
    <x v="364"/>
    <n v="14"/>
    <n v="3140.06"/>
    <n v="224.29"/>
    <x v="2"/>
    <x v="2"/>
    <x v="8"/>
    <x v="0"/>
    <x v="1"/>
  </r>
  <r>
    <s v="CUST01231"/>
    <n v="52"/>
    <s v="Female"/>
    <s v="Mumbai"/>
    <x v="0"/>
    <x v="92"/>
    <x v="153"/>
    <n v="22"/>
    <n v="3139.84"/>
    <n v="142.72"/>
    <x v="4"/>
    <x v="1"/>
    <x v="6"/>
    <x v="0"/>
    <x v="1"/>
  </r>
  <r>
    <s v="CUST00354"/>
    <n v="40"/>
    <s v="Male"/>
    <s v="Kolkata"/>
    <x v="1"/>
    <x v="149"/>
    <x v="365"/>
    <n v="22"/>
    <n v="3139.18"/>
    <n v="142.69"/>
    <x v="2"/>
    <x v="1"/>
    <x v="8"/>
    <x v="0"/>
    <x v="1"/>
  </r>
  <r>
    <s v="CUST01263"/>
    <n v="49"/>
    <s v="Male"/>
    <s v="Pune"/>
    <x v="1"/>
    <x v="296"/>
    <x v="40"/>
    <n v="19"/>
    <n v="3138.42"/>
    <n v="165.18"/>
    <x v="0"/>
    <x v="1"/>
    <x v="2"/>
    <x v="0"/>
    <x v="1"/>
  </r>
  <r>
    <s v="CUST01370"/>
    <n v="32"/>
    <s v="Female"/>
    <s v="Kolkata"/>
    <x v="3"/>
    <x v="205"/>
    <x v="316"/>
    <n v="25"/>
    <n v="3137"/>
    <n v="125.48"/>
    <x v="1"/>
    <x v="0"/>
    <x v="2"/>
    <x v="0"/>
    <x v="1"/>
  </r>
  <r>
    <s v="CUST01068"/>
    <n v="50"/>
    <s v="Female"/>
    <s v="Bangalore"/>
    <x v="2"/>
    <x v="252"/>
    <x v="366"/>
    <n v="19"/>
    <n v="3134.05"/>
    <n v="164.95"/>
    <x v="2"/>
    <x v="1"/>
    <x v="5"/>
    <x v="0"/>
    <x v="1"/>
  </r>
  <r>
    <s v="CUST01896"/>
    <n v="46"/>
    <s v="Female"/>
    <s v="Mumbai"/>
    <x v="0"/>
    <x v="347"/>
    <x v="7"/>
    <n v="22"/>
    <n v="3120.48"/>
    <n v="141.84"/>
    <x v="2"/>
    <x v="1"/>
    <x v="2"/>
    <x v="0"/>
    <x v="1"/>
  </r>
  <r>
    <s v="CUST01424"/>
    <n v="64"/>
    <s v="Female"/>
    <s v="Delhi"/>
    <x v="2"/>
    <x v="149"/>
    <x v="236"/>
    <n v="11"/>
    <n v="3114.98"/>
    <n v="283.18"/>
    <x v="4"/>
    <x v="2"/>
    <x v="5"/>
    <x v="0"/>
    <x v="1"/>
  </r>
  <r>
    <s v="CUST01264"/>
    <n v="60"/>
    <s v="Male"/>
    <s v="Bangalore"/>
    <x v="1"/>
    <x v="348"/>
    <x v="367"/>
    <n v="13"/>
    <n v="3114.02"/>
    <n v="239.54"/>
    <x v="4"/>
    <x v="2"/>
    <x v="0"/>
    <x v="0"/>
    <x v="1"/>
  </r>
  <r>
    <s v="CUST01776"/>
    <n v="41"/>
    <s v="Male"/>
    <s v="Bangalore"/>
    <x v="2"/>
    <x v="349"/>
    <x v="368"/>
    <n v="19"/>
    <n v="3104.6"/>
    <n v="163.4"/>
    <x v="4"/>
    <x v="1"/>
    <x v="6"/>
    <x v="0"/>
    <x v="1"/>
  </r>
  <r>
    <s v="CUST01172"/>
    <n v="40"/>
    <s v="Male"/>
    <s v="Pune"/>
    <x v="2"/>
    <x v="350"/>
    <x v="308"/>
    <n v="16"/>
    <n v="3090.72"/>
    <n v="193.17"/>
    <x v="0"/>
    <x v="1"/>
    <x v="7"/>
    <x v="1"/>
    <x v="1"/>
  </r>
  <r>
    <s v="CUST01326"/>
    <n v="35"/>
    <s v="Male"/>
    <s v="Bangalore"/>
    <x v="0"/>
    <x v="351"/>
    <x v="209"/>
    <n v="13"/>
    <n v="3089.84"/>
    <n v="237.68"/>
    <x v="2"/>
    <x v="2"/>
    <x v="0"/>
    <x v="0"/>
    <x v="1"/>
  </r>
  <r>
    <s v="CUST00004"/>
    <n v="20"/>
    <s v="Female"/>
    <s v="Pune"/>
    <x v="0"/>
    <x v="352"/>
    <x v="38"/>
    <n v="12"/>
    <n v="3087.6"/>
    <n v="257.3"/>
    <x v="2"/>
    <x v="2"/>
    <x v="3"/>
    <x v="0"/>
    <x v="1"/>
  </r>
  <r>
    <s v="CUST00559"/>
    <n v="45"/>
    <s v="Female"/>
    <s v="Bangalore"/>
    <x v="1"/>
    <x v="96"/>
    <x v="369"/>
    <n v="21"/>
    <n v="3086.16"/>
    <n v="146.96"/>
    <x v="3"/>
    <x v="1"/>
    <x v="6"/>
    <x v="0"/>
    <x v="1"/>
  </r>
  <r>
    <s v="CUST00114"/>
    <n v="42"/>
    <s v="Male"/>
    <s v="Kolkata"/>
    <x v="3"/>
    <x v="353"/>
    <x v="49"/>
    <n v="12"/>
    <n v="3080.4"/>
    <n v="256.7"/>
    <x v="0"/>
    <x v="0"/>
    <x v="4"/>
    <x v="0"/>
    <x v="1"/>
  </r>
  <r>
    <s v="CUST01108"/>
    <n v="40"/>
    <s v="Female"/>
    <s v="Kolkata"/>
    <x v="2"/>
    <x v="156"/>
    <x v="370"/>
    <n v="13"/>
    <n v="3077.1"/>
    <n v="236.7"/>
    <x v="0"/>
    <x v="2"/>
    <x v="4"/>
    <x v="0"/>
    <x v="1"/>
  </r>
  <r>
    <s v="CUST01380"/>
    <n v="44"/>
    <s v="Male"/>
    <s v="Mumbai"/>
    <x v="2"/>
    <x v="201"/>
    <x v="371"/>
    <n v="16"/>
    <n v="3074.72"/>
    <n v="192.17"/>
    <x v="2"/>
    <x v="2"/>
    <x v="7"/>
    <x v="0"/>
    <x v="1"/>
  </r>
  <r>
    <s v="CUST01729"/>
    <n v="63"/>
    <s v="Female"/>
    <s v="Chennai"/>
    <x v="2"/>
    <x v="205"/>
    <x v="372"/>
    <n v="17"/>
    <n v="3072.24"/>
    <n v="180.72"/>
    <x v="1"/>
    <x v="0"/>
    <x v="5"/>
    <x v="0"/>
    <x v="1"/>
  </r>
  <r>
    <s v="CUST01821"/>
    <n v="40"/>
    <s v="Male"/>
    <s v="Kolkata"/>
    <x v="1"/>
    <x v="354"/>
    <x v="142"/>
    <n v="20"/>
    <n v="3060.8"/>
    <n v="153.04"/>
    <x v="0"/>
    <x v="0"/>
    <x v="1"/>
    <x v="0"/>
    <x v="1"/>
  </r>
  <r>
    <s v="CUST00860"/>
    <n v="52"/>
    <s v="Male"/>
    <s v="Delhi"/>
    <x v="2"/>
    <x v="6"/>
    <x v="373"/>
    <n v="22"/>
    <n v="3060.2"/>
    <n v="139.1"/>
    <x v="1"/>
    <x v="0"/>
    <x v="9"/>
    <x v="0"/>
    <x v="1"/>
  </r>
  <r>
    <s v="CUST01391"/>
    <n v="24"/>
    <s v="Female"/>
    <s v="Mumbai"/>
    <x v="0"/>
    <x v="41"/>
    <x v="374"/>
    <n v="18"/>
    <n v="3057.48"/>
    <n v="169.86"/>
    <x v="0"/>
    <x v="2"/>
    <x v="6"/>
    <x v="1"/>
    <x v="1"/>
  </r>
  <r>
    <s v="CUST01304"/>
    <n v="40"/>
    <s v="Female"/>
    <s v="Pune"/>
    <x v="1"/>
    <x v="355"/>
    <x v="375"/>
    <n v="14"/>
    <n v="3052.56"/>
    <n v="218.04"/>
    <x v="2"/>
    <x v="1"/>
    <x v="1"/>
    <x v="1"/>
    <x v="1"/>
  </r>
  <r>
    <s v="CUST00485"/>
    <n v="42"/>
    <s v="Female"/>
    <s v="Chennai"/>
    <x v="2"/>
    <x v="21"/>
    <x v="101"/>
    <n v="15"/>
    <n v="3049.95"/>
    <n v="203.33"/>
    <x v="3"/>
    <x v="2"/>
    <x v="1"/>
    <x v="1"/>
    <x v="1"/>
  </r>
  <r>
    <s v="CUST01253"/>
    <n v="43"/>
    <s v="Male"/>
    <s v="Chennai"/>
    <x v="3"/>
    <x v="356"/>
    <x v="376"/>
    <n v="14"/>
    <n v="3040.52"/>
    <n v="217.18"/>
    <x v="4"/>
    <x v="0"/>
    <x v="1"/>
    <x v="0"/>
    <x v="1"/>
  </r>
  <r>
    <s v="CUST00495"/>
    <n v="29"/>
    <s v="Female"/>
    <s v="Hyderabad"/>
    <x v="3"/>
    <x v="357"/>
    <x v="377"/>
    <n v="20"/>
    <n v="3025"/>
    <n v="151.25"/>
    <x v="1"/>
    <x v="2"/>
    <x v="0"/>
    <x v="0"/>
    <x v="1"/>
  </r>
  <r>
    <s v="CUST01103"/>
    <n v="40"/>
    <s v="Male"/>
    <s v="Bangalore"/>
    <x v="0"/>
    <x v="358"/>
    <x v="86"/>
    <n v="20"/>
    <n v="3024.6"/>
    <n v="151.23"/>
    <x v="1"/>
    <x v="1"/>
    <x v="1"/>
    <x v="1"/>
    <x v="1"/>
  </r>
  <r>
    <s v="CUST00712"/>
    <n v="59"/>
    <s v="Male"/>
    <s v="Pune"/>
    <x v="0"/>
    <x v="359"/>
    <x v="378"/>
    <n v="13"/>
    <n v="3023.41"/>
    <n v="232.57"/>
    <x v="0"/>
    <x v="1"/>
    <x v="7"/>
    <x v="0"/>
    <x v="1"/>
  </r>
  <r>
    <s v="CUST00360"/>
    <n v="42"/>
    <s v="Female"/>
    <s v="Bangalore"/>
    <x v="0"/>
    <x v="360"/>
    <x v="147"/>
    <n v="17"/>
    <n v="3016.65"/>
    <n v="177.45"/>
    <x v="1"/>
    <x v="1"/>
    <x v="9"/>
    <x v="0"/>
    <x v="1"/>
  </r>
  <r>
    <s v="CUST01062"/>
    <n v="30"/>
    <s v="Male"/>
    <s v="Hyderabad"/>
    <x v="0"/>
    <x v="161"/>
    <x v="120"/>
    <n v="19"/>
    <n v="3009.22"/>
    <n v="158.38"/>
    <x v="1"/>
    <x v="2"/>
    <x v="7"/>
    <x v="0"/>
    <x v="1"/>
  </r>
  <r>
    <s v="CUST00362"/>
    <n v="20"/>
    <s v="Male"/>
    <s v="Hyderabad"/>
    <x v="1"/>
    <x v="229"/>
    <x v="379"/>
    <n v="18"/>
    <n v="2990.88"/>
    <n v="166.16"/>
    <x v="2"/>
    <x v="2"/>
    <x v="1"/>
    <x v="0"/>
    <x v="1"/>
  </r>
  <r>
    <s v="CUST00472"/>
    <n v="27"/>
    <s v="Male"/>
    <s v="Delhi"/>
    <x v="3"/>
    <x v="361"/>
    <x v="380"/>
    <n v="17"/>
    <n v="2988.09"/>
    <n v="175.77"/>
    <x v="4"/>
    <x v="2"/>
    <x v="5"/>
    <x v="0"/>
    <x v="1"/>
  </r>
  <r>
    <s v="CUST00784"/>
    <n v="28"/>
    <s v="Male"/>
    <s v="Chennai"/>
    <x v="1"/>
    <x v="362"/>
    <x v="10"/>
    <n v="15"/>
    <n v="2983.8"/>
    <n v="198.92"/>
    <x v="3"/>
    <x v="0"/>
    <x v="4"/>
    <x v="0"/>
    <x v="1"/>
  </r>
  <r>
    <s v="CUST01580"/>
    <n v="59"/>
    <s v="Female"/>
    <s v="Pune"/>
    <x v="2"/>
    <x v="363"/>
    <x v="377"/>
    <n v="23"/>
    <n v="2979.42"/>
    <n v="129.54"/>
    <x v="2"/>
    <x v="0"/>
    <x v="9"/>
    <x v="0"/>
    <x v="1"/>
  </r>
  <r>
    <s v="CUST01385"/>
    <n v="45"/>
    <s v="Male"/>
    <s v="Kolkata"/>
    <x v="1"/>
    <x v="364"/>
    <x v="220"/>
    <n v="22"/>
    <n v="2975.06"/>
    <n v="135.23"/>
    <x v="4"/>
    <x v="2"/>
    <x v="9"/>
    <x v="0"/>
    <x v="1"/>
  </r>
  <r>
    <s v="CUST00006"/>
    <n v="41"/>
    <s v="Female"/>
    <s v="Mumbai"/>
    <x v="2"/>
    <x v="352"/>
    <x v="381"/>
    <n v="15"/>
    <n v="2969.85"/>
    <n v="197.99"/>
    <x v="3"/>
    <x v="0"/>
    <x v="5"/>
    <x v="0"/>
    <x v="1"/>
  </r>
  <r>
    <s v="CUST01927"/>
    <n v="35"/>
    <s v="Female"/>
    <s v="Hyderabad"/>
    <x v="0"/>
    <x v="319"/>
    <x v="135"/>
    <n v="14"/>
    <n v="2967.44"/>
    <n v="211.96"/>
    <x v="2"/>
    <x v="1"/>
    <x v="7"/>
    <x v="0"/>
    <x v="1"/>
  </r>
  <r>
    <s v="CUST00250"/>
    <n v="46"/>
    <s v="Female"/>
    <s v="Mumbai"/>
    <x v="0"/>
    <x v="232"/>
    <x v="182"/>
    <n v="14"/>
    <n v="2964.08"/>
    <n v="211.72"/>
    <x v="0"/>
    <x v="2"/>
    <x v="0"/>
    <x v="0"/>
    <x v="1"/>
  </r>
  <r>
    <s v="CUST01898"/>
    <n v="49"/>
    <s v="Female"/>
    <s v="Pune"/>
    <x v="2"/>
    <x v="276"/>
    <x v="184"/>
    <n v="20"/>
    <n v="2960.8"/>
    <n v="148.04"/>
    <x v="0"/>
    <x v="0"/>
    <x v="1"/>
    <x v="0"/>
    <x v="1"/>
  </r>
  <r>
    <s v="CUST00515"/>
    <n v="25"/>
    <s v="Female"/>
    <s v="Bangalore"/>
    <x v="3"/>
    <x v="78"/>
    <x v="151"/>
    <n v="17"/>
    <n v="2958"/>
    <n v="174"/>
    <x v="0"/>
    <x v="0"/>
    <x v="6"/>
    <x v="0"/>
    <x v="1"/>
  </r>
  <r>
    <s v="CUST01128"/>
    <n v="45"/>
    <s v="Female"/>
    <s v="Hyderabad"/>
    <x v="1"/>
    <x v="317"/>
    <x v="382"/>
    <n v="20"/>
    <n v="2956.2"/>
    <n v="147.81"/>
    <x v="4"/>
    <x v="0"/>
    <x v="9"/>
    <x v="0"/>
    <x v="1"/>
  </r>
  <r>
    <s v="CUST01032"/>
    <n v="31"/>
    <s v="Female"/>
    <s v="Kolkata"/>
    <x v="0"/>
    <x v="365"/>
    <x v="98"/>
    <n v="11"/>
    <n v="2955.15"/>
    <n v="268.65"/>
    <x v="1"/>
    <x v="1"/>
    <x v="8"/>
    <x v="1"/>
    <x v="1"/>
  </r>
  <r>
    <s v="CUST00365"/>
    <n v="29"/>
    <s v="Male"/>
    <s v="Chennai"/>
    <x v="1"/>
    <x v="366"/>
    <x v="285"/>
    <n v="19"/>
    <n v="2949.18"/>
    <n v="155.22"/>
    <x v="3"/>
    <x v="1"/>
    <x v="4"/>
    <x v="0"/>
    <x v="1"/>
  </r>
  <r>
    <s v="CUST00865"/>
    <n v="52"/>
    <s v="Female"/>
    <s v="Hyderabad"/>
    <x v="1"/>
    <x v="150"/>
    <x v="383"/>
    <n v="12"/>
    <n v="2948.4"/>
    <n v="245.7"/>
    <x v="4"/>
    <x v="2"/>
    <x v="3"/>
    <x v="0"/>
    <x v="1"/>
  </r>
  <r>
    <s v="CUST01005"/>
    <n v="55"/>
    <s v="Male"/>
    <s v="Chennai"/>
    <x v="1"/>
    <x v="367"/>
    <x v="343"/>
    <n v="14"/>
    <n v="2941.4"/>
    <n v="210.1"/>
    <x v="4"/>
    <x v="2"/>
    <x v="7"/>
    <x v="0"/>
    <x v="1"/>
  </r>
  <r>
    <s v="CUST01074"/>
    <n v="32"/>
    <s v="Male"/>
    <s v="Bangalore"/>
    <x v="1"/>
    <x v="368"/>
    <x v="177"/>
    <n v="12"/>
    <n v="2940.24"/>
    <n v="245.02"/>
    <x v="0"/>
    <x v="1"/>
    <x v="1"/>
    <x v="0"/>
    <x v="1"/>
  </r>
  <r>
    <s v="CUST00993"/>
    <n v="33"/>
    <s v="Female"/>
    <s v="Delhi"/>
    <x v="0"/>
    <x v="212"/>
    <x v="305"/>
    <n v="16"/>
    <n v="2932.48"/>
    <n v="183.28"/>
    <x v="3"/>
    <x v="0"/>
    <x v="1"/>
    <x v="0"/>
    <x v="1"/>
  </r>
  <r>
    <s v="CUST00672"/>
    <n v="56"/>
    <s v="Female"/>
    <s v="Delhi"/>
    <x v="0"/>
    <x v="35"/>
    <x v="171"/>
    <n v="23"/>
    <n v="2929.74"/>
    <n v="127.38"/>
    <x v="0"/>
    <x v="2"/>
    <x v="6"/>
    <x v="0"/>
    <x v="1"/>
  </r>
  <r>
    <s v="CUST01117"/>
    <n v="60"/>
    <s v="Male"/>
    <s v="Delhi"/>
    <x v="1"/>
    <x v="175"/>
    <x v="384"/>
    <n v="22"/>
    <n v="2923.58"/>
    <n v="132.89"/>
    <x v="0"/>
    <x v="2"/>
    <x v="1"/>
    <x v="0"/>
    <x v="1"/>
  </r>
  <r>
    <s v="CUST00867"/>
    <n v="35"/>
    <s v="Female"/>
    <s v="Pune"/>
    <x v="1"/>
    <x v="369"/>
    <x v="385"/>
    <n v="12"/>
    <n v="2922.84"/>
    <n v="243.57"/>
    <x v="4"/>
    <x v="0"/>
    <x v="8"/>
    <x v="0"/>
    <x v="1"/>
  </r>
  <r>
    <s v="CUST00060"/>
    <n v="56"/>
    <s v="Female"/>
    <s v="Pune"/>
    <x v="0"/>
    <x v="269"/>
    <x v="310"/>
    <n v="12"/>
    <n v="2920.68"/>
    <n v="243.39"/>
    <x v="0"/>
    <x v="2"/>
    <x v="8"/>
    <x v="0"/>
    <x v="1"/>
  </r>
  <r>
    <s v="CUST01507"/>
    <n v="20"/>
    <s v="Female"/>
    <s v="Delhi"/>
    <x v="3"/>
    <x v="370"/>
    <x v="386"/>
    <n v="13"/>
    <n v="2915.77"/>
    <n v="224.29"/>
    <x v="1"/>
    <x v="2"/>
    <x v="7"/>
    <x v="0"/>
    <x v="1"/>
  </r>
  <r>
    <s v="CUST01779"/>
    <n v="44"/>
    <s v="Male"/>
    <s v="Kolkata"/>
    <x v="2"/>
    <x v="371"/>
    <x v="387"/>
    <n v="10"/>
    <n v="2912.2"/>
    <n v="291.22"/>
    <x v="0"/>
    <x v="0"/>
    <x v="9"/>
    <x v="0"/>
    <x v="1"/>
  </r>
  <r>
    <s v="CUST00073"/>
    <n v="56"/>
    <s v="Male"/>
    <s v="Hyderabad"/>
    <x v="2"/>
    <x v="123"/>
    <x v="75"/>
    <n v="17"/>
    <n v="2910.23"/>
    <n v="171.19"/>
    <x v="0"/>
    <x v="1"/>
    <x v="6"/>
    <x v="0"/>
    <x v="1"/>
  </r>
  <r>
    <s v="CUST00249"/>
    <n v="18"/>
    <s v="Female"/>
    <s v="Mumbai"/>
    <x v="1"/>
    <x v="129"/>
    <x v="295"/>
    <n v="15"/>
    <n v="2901.45"/>
    <n v="193.43"/>
    <x v="2"/>
    <x v="0"/>
    <x v="3"/>
    <x v="0"/>
    <x v="1"/>
  </r>
  <r>
    <s v="CUST00586"/>
    <n v="18"/>
    <s v="Female"/>
    <s v="Chennai"/>
    <x v="1"/>
    <x v="4"/>
    <x v="106"/>
    <n v="19"/>
    <n v="2899.02"/>
    <n v="152.58"/>
    <x v="1"/>
    <x v="1"/>
    <x v="7"/>
    <x v="0"/>
    <x v="1"/>
  </r>
  <r>
    <s v="CUST00408"/>
    <n v="48"/>
    <s v="Male"/>
    <s v="Pune"/>
    <x v="0"/>
    <x v="314"/>
    <x v="388"/>
    <n v="18"/>
    <n v="2896.74"/>
    <n v="160.93"/>
    <x v="2"/>
    <x v="0"/>
    <x v="7"/>
    <x v="1"/>
    <x v="1"/>
  </r>
  <r>
    <s v="CUST01508"/>
    <n v="19"/>
    <s v="Male"/>
    <s v="Mumbai"/>
    <x v="0"/>
    <x v="347"/>
    <x v="99"/>
    <n v="15"/>
    <n v="2896.05"/>
    <n v="193.07"/>
    <x v="3"/>
    <x v="1"/>
    <x v="6"/>
    <x v="0"/>
    <x v="1"/>
  </r>
  <r>
    <s v="CUST01592"/>
    <n v="18"/>
    <s v="Female"/>
    <s v="Bangalore"/>
    <x v="3"/>
    <x v="372"/>
    <x v="76"/>
    <n v="11"/>
    <n v="2894.98"/>
    <n v="263.18"/>
    <x v="3"/>
    <x v="0"/>
    <x v="0"/>
    <x v="1"/>
    <x v="1"/>
  </r>
  <r>
    <s v="CUST00106"/>
    <n v="38"/>
    <s v="Male"/>
    <s v="Mumbai"/>
    <x v="2"/>
    <x v="71"/>
    <x v="179"/>
    <n v="12"/>
    <n v="2894.4"/>
    <n v="241.2"/>
    <x v="3"/>
    <x v="2"/>
    <x v="7"/>
    <x v="0"/>
    <x v="1"/>
  </r>
  <r>
    <s v="CUST00719"/>
    <n v="24"/>
    <s v="Female"/>
    <s v="Pune"/>
    <x v="1"/>
    <x v="373"/>
    <x v="316"/>
    <n v="23"/>
    <n v="2892.25"/>
    <n v="125.75"/>
    <x v="4"/>
    <x v="1"/>
    <x v="8"/>
    <x v="0"/>
    <x v="1"/>
  </r>
  <r>
    <s v="CUST01786"/>
    <n v="43"/>
    <s v="Female"/>
    <s v="Chennai"/>
    <x v="3"/>
    <x v="374"/>
    <x v="389"/>
    <n v="19"/>
    <n v="2891.99"/>
    <n v="152.21"/>
    <x v="3"/>
    <x v="1"/>
    <x v="0"/>
    <x v="0"/>
    <x v="1"/>
  </r>
  <r>
    <s v="CUST00649"/>
    <n v="44"/>
    <s v="Female"/>
    <s v="Bangalore"/>
    <x v="3"/>
    <x v="375"/>
    <x v="390"/>
    <n v="14"/>
    <n v="2880.78"/>
    <n v="205.77"/>
    <x v="0"/>
    <x v="2"/>
    <x v="6"/>
    <x v="0"/>
    <x v="1"/>
  </r>
  <r>
    <s v="CUST00422"/>
    <n v="61"/>
    <s v="Female"/>
    <s v="Pune"/>
    <x v="0"/>
    <x v="33"/>
    <x v="391"/>
    <n v="25"/>
    <n v="2877.75"/>
    <n v="115.11"/>
    <x v="2"/>
    <x v="2"/>
    <x v="1"/>
    <x v="0"/>
    <x v="1"/>
  </r>
  <r>
    <s v="CUST00613"/>
    <n v="48"/>
    <s v="Male"/>
    <s v="Chennai"/>
    <x v="2"/>
    <x v="93"/>
    <x v="135"/>
    <n v="10"/>
    <n v="2876.9"/>
    <n v="287.69"/>
    <x v="2"/>
    <x v="2"/>
    <x v="2"/>
    <x v="0"/>
    <x v="1"/>
  </r>
  <r>
    <s v="CUST00979"/>
    <n v="44"/>
    <s v="Female"/>
    <s v="Chennai"/>
    <x v="0"/>
    <x v="376"/>
    <x v="126"/>
    <n v="11"/>
    <n v="2874.63"/>
    <n v="261.33"/>
    <x v="0"/>
    <x v="0"/>
    <x v="0"/>
    <x v="0"/>
    <x v="1"/>
  </r>
  <r>
    <s v="CUST00772"/>
    <n v="63"/>
    <s v="Female"/>
    <s v="Hyderabad"/>
    <x v="2"/>
    <x v="109"/>
    <x v="46"/>
    <n v="23"/>
    <n v="2867.87"/>
    <n v="124.69"/>
    <x v="0"/>
    <x v="1"/>
    <x v="4"/>
    <x v="0"/>
    <x v="1"/>
  </r>
  <r>
    <s v="CUST00137"/>
    <n v="46"/>
    <s v="Male"/>
    <s v="Pune"/>
    <x v="1"/>
    <x v="377"/>
    <x v="22"/>
    <n v="15"/>
    <n v="2864.55"/>
    <n v="190.97"/>
    <x v="4"/>
    <x v="1"/>
    <x v="0"/>
    <x v="0"/>
    <x v="1"/>
  </r>
  <r>
    <s v="CUST00257"/>
    <n v="58"/>
    <s v="Male"/>
    <s v="Hyderabad"/>
    <x v="2"/>
    <x v="58"/>
    <x v="152"/>
    <n v="21"/>
    <n v="2855.58"/>
    <n v="135.98"/>
    <x v="4"/>
    <x v="1"/>
    <x v="2"/>
    <x v="0"/>
    <x v="1"/>
  </r>
  <r>
    <s v="CUST01878"/>
    <n v="37"/>
    <s v="Male"/>
    <s v="Pune"/>
    <x v="3"/>
    <x v="165"/>
    <x v="392"/>
    <n v="10"/>
    <n v="2848.1"/>
    <n v="284.81"/>
    <x v="1"/>
    <x v="2"/>
    <x v="1"/>
    <x v="0"/>
    <x v="1"/>
  </r>
  <r>
    <s v="CUST01513"/>
    <n v="28"/>
    <s v="Female"/>
    <s v="Kolkata"/>
    <x v="2"/>
    <x v="378"/>
    <x v="303"/>
    <n v="10"/>
    <n v="2847.3"/>
    <n v="284.73"/>
    <x v="4"/>
    <x v="2"/>
    <x v="5"/>
    <x v="0"/>
    <x v="1"/>
  </r>
  <r>
    <s v="CUST01294"/>
    <n v="40"/>
    <s v="Male"/>
    <s v="Chennai"/>
    <x v="1"/>
    <x v="243"/>
    <x v="393"/>
    <n v="11"/>
    <n v="2846.03"/>
    <n v="258.73"/>
    <x v="1"/>
    <x v="1"/>
    <x v="8"/>
    <x v="0"/>
    <x v="1"/>
  </r>
  <r>
    <s v="CUST01027"/>
    <n v="22"/>
    <s v="Female"/>
    <s v="Mumbai"/>
    <x v="3"/>
    <x v="379"/>
    <x v="394"/>
    <n v="12"/>
    <n v="2841.96"/>
    <n v="236.83"/>
    <x v="1"/>
    <x v="2"/>
    <x v="4"/>
    <x v="0"/>
    <x v="1"/>
  </r>
  <r>
    <s v="CUST01372"/>
    <n v="44"/>
    <s v="Female"/>
    <s v="Delhi"/>
    <x v="2"/>
    <x v="380"/>
    <x v="395"/>
    <n v="23"/>
    <n v="2831.76"/>
    <n v="123.12"/>
    <x v="2"/>
    <x v="0"/>
    <x v="7"/>
    <x v="0"/>
    <x v="1"/>
  </r>
  <r>
    <s v="CUST00821"/>
    <n v="23"/>
    <s v="Male"/>
    <s v="Hyderabad"/>
    <x v="1"/>
    <x v="381"/>
    <x v="396"/>
    <n v="13"/>
    <n v="2830.1"/>
    <n v="217.7"/>
    <x v="2"/>
    <x v="1"/>
    <x v="1"/>
    <x v="0"/>
    <x v="1"/>
  </r>
  <r>
    <s v="CUST01661"/>
    <n v="26"/>
    <s v="Male"/>
    <s v="Pune"/>
    <x v="1"/>
    <x v="87"/>
    <x v="76"/>
    <n v="21"/>
    <n v="2811.06"/>
    <n v="133.86"/>
    <x v="4"/>
    <x v="0"/>
    <x v="7"/>
    <x v="0"/>
    <x v="1"/>
  </r>
  <r>
    <s v="CUST00523"/>
    <n v="56"/>
    <s v="Male"/>
    <s v="Bangalore"/>
    <x v="3"/>
    <x v="194"/>
    <x v="397"/>
    <n v="10"/>
    <n v="2810.5"/>
    <n v="281.05"/>
    <x v="3"/>
    <x v="2"/>
    <x v="3"/>
    <x v="0"/>
    <x v="1"/>
  </r>
  <r>
    <s v="CUST00061"/>
    <n v="42"/>
    <s v="Female"/>
    <s v="Hyderabad"/>
    <x v="0"/>
    <x v="382"/>
    <x v="398"/>
    <n v="16"/>
    <n v="2807.2"/>
    <n v="175.45"/>
    <x v="3"/>
    <x v="1"/>
    <x v="0"/>
    <x v="0"/>
    <x v="1"/>
  </r>
  <r>
    <s v="CUST00668"/>
    <n v="23"/>
    <s v="Female"/>
    <s v="Mumbai"/>
    <x v="0"/>
    <x v="16"/>
    <x v="87"/>
    <n v="20"/>
    <n v="2801.8"/>
    <n v="140.09"/>
    <x v="3"/>
    <x v="0"/>
    <x v="3"/>
    <x v="0"/>
    <x v="1"/>
  </r>
  <r>
    <s v="CUST01525"/>
    <n v="44"/>
    <s v="Male"/>
    <s v="Mumbai"/>
    <x v="1"/>
    <x v="383"/>
    <x v="2"/>
    <n v="11"/>
    <n v="2801.26"/>
    <n v="254.66"/>
    <x v="1"/>
    <x v="0"/>
    <x v="4"/>
    <x v="0"/>
    <x v="1"/>
  </r>
  <r>
    <s v="CUST01222"/>
    <n v="26"/>
    <s v="Male"/>
    <s v="Mumbai"/>
    <x v="3"/>
    <x v="384"/>
    <x v="301"/>
    <n v="14"/>
    <n v="2797.76"/>
    <n v="199.84"/>
    <x v="3"/>
    <x v="2"/>
    <x v="3"/>
    <x v="0"/>
    <x v="1"/>
  </r>
  <r>
    <s v="CUST00516"/>
    <n v="48"/>
    <s v="Female"/>
    <s v="Kolkata"/>
    <x v="0"/>
    <x v="344"/>
    <x v="290"/>
    <n v="11"/>
    <n v="2788.17"/>
    <n v="253.47"/>
    <x v="1"/>
    <x v="1"/>
    <x v="5"/>
    <x v="0"/>
    <x v="1"/>
  </r>
  <r>
    <s v="CUST00144"/>
    <n v="22"/>
    <s v="Male"/>
    <s v="Kolkata"/>
    <x v="3"/>
    <x v="385"/>
    <x v="399"/>
    <n v="14"/>
    <n v="2784.74"/>
    <n v="198.91"/>
    <x v="0"/>
    <x v="0"/>
    <x v="6"/>
    <x v="0"/>
    <x v="1"/>
  </r>
  <r>
    <s v="CUST01619"/>
    <n v="51"/>
    <s v="Female"/>
    <s v="Mumbai"/>
    <x v="1"/>
    <x v="386"/>
    <x v="252"/>
    <n v="24"/>
    <n v="2784.48"/>
    <n v="116.02"/>
    <x v="0"/>
    <x v="0"/>
    <x v="0"/>
    <x v="0"/>
    <x v="1"/>
  </r>
  <r>
    <s v="CUST01080"/>
    <n v="25"/>
    <s v="Female"/>
    <s v="Hyderabad"/>
    <x v="3"/>
    <x v="356"/>
    <x v="180"/>
    <n v="18"/>
    <n v="2784.06"/>
    <n v="154.67"/>
    <x v="4"/>
    <x v="2"/>
    <x v="7"/>
    <x v="1"/>
    <x v="1"/>
  </r>
  <r>
    <s v="CUST01482"/>
    <n v="42"/>
    <s v="Female"/>
    <s v="Delhi"/>
    <x v="3"/>
    <x v="387"/>
    <x v="400"/>
    <n v="21"/>
    <n v="2783.55"/>
    <n v="132.55"/>
    <x v="2"/>
    <x v="0"/>
    <x v="0"/>
    <x v="0"/>
    <x v="1"/>
  </r>
  <r>
    <s v="CUST00369"/>
    <n v="60"/>
    <s v="Female"/>
    <s v="Chennai"/>
    <x v="2"/>
    <x v="194"/>
    <x v="209"/>
    <n v="18"/>
    <n v="2781"/>
    <n v="154.5"/>
    <x v="2"/>
    <x v="2"/>
    <x v="3"/>
    <x v="0"/>
    <x v="1"/>
  </r>
  <r>
    <s v="CUST01678"/>
    <n v="38"/>
    <s v="Male"/>
    <s v="Mumbai"/>
    <x v="0"/>
    <x v="64"/>
    <x v="200"/>
    <n v="19"/>
    <n v="2777.23"/>
    <n v="146.17"/>
    <x v="2"/>
    <x v="2"/>
    <x v="0"/>
    <x v="0"/>
    <x v="1"/>
  </r>
  <r>
    <s v="CUST01496"/>
    <n v="55"/>
    <s v="Male"/>
    <s v="Delhi"/>
    <x v="1"/>
    <x v="333"/>
    <x v="401"/>
    <n v="18"/>
    <n v="2775.78"/>
    <n v="154.21"/>
    <x v="0"/>
    <x v="2"/>
    <x v="5"/>
    <x v="0"/>
    <x v="1"/>
  </r>
  <r>
    <s v="CUST01584"/>
    <n v="31"/>
    <s v="Male"/>
    <s v="Bangalore"/>
    <x v="1"/>
    <x v="103"/>
    <x v="125"/>
    <n v="11"/>
    <n v="2769.03"/>
    <n v="251.73"/>
    <x v="2"/>
    <x v="1"/>
    <x v="3"/>
    <x v="0"/>
    <x v="1"/>
  </r>
  <r>
    <s v="CUST00618"/>
    <n v="37"/>
    <s v="Female"/>
    <s v="Chennai"/>
    <x v="2"/>
    <x v="172"/>
    <x v="402"/>
    <n v="11"/>
    <n v="2766.61"/>
    <n v="251.51"/>
    <x v="3"/>
    <x v="0"/>
    <x v="4"/>
    <x v="0"/>
    <x v="1"/>
  </r>
  <r>
    <s v="CUST00813"/>
    <n v="35"/>
    <s v="Female"/>
    <s v="Delhi"/>
    <x v="2"/>
    <x v="388"/>
    <x v="403"/>
    <n v="19"/>
    <n v="2764.88"/>
    <n v="145.52"/>
    <x v="2"/>
    <x v="1"/>
    <x v="5"/>
    <x v="0"/>
    <x v="1"/>
  </r>
  <r>
    <s v="CUST01030"/>
    <n v="28"/>
    <s v="Female"/>
    <s v="Delhi"/>
    <x v="1"/>
    <x v="389"/>
    <x v="403"/>
    <n v="23"/>
    <n v="2764.83"/>
    <n v="120.21"/>
    <x v="0"/>
    <x v="0"/>
    <x v="3"/>
    <x v="0"/>
    <x v="1"/>
  </r>
  <r>
    <s v="CUST00877"/>
    <n v="63"/>
    <s v="Male"/>
    <s v="Delhi"/>
    <x v="1"/>
    <x v="100"/>
    <x v="404"/>
    <n v="12"/>
    <n v="2750.28"/>
    <n v="229.19"/>
    <x v="4"/>
    <x v="2"/>
    <x v="5"/>
    <x v="1"/>
    <x v="1"/>
  </r>
  <r>
    <s v="CUST01796"/>
    <n v="30"/>
    <s v="Female"/>
    <s v="Delhi"/>
    <x v="0"/>
    <x v="58"/>
    <x v="173"/>
    <n v="13"/>
    <n v="2742.35"/>
    <n v="210.95"/>
    <x v="4"/>
    <x v="2"/>
    <x v="6"/>
    <x v="0"/>
    <x v="1"/>
  </r>
  <r>
    <s v="CUST01092"/>
    <n v="33"/>
    <s v="Female"/>
    <s v="Delhi"/>
    <x v="3"/>
    <x v="390"/>
    <x v="113"/>
    <n v="10"/>
    <n v="2741.5"/>
    <n v="274.15"/>
    <x v="2"/>
    <x v="1"/>
    <x v="3"/>
    <x v="0"/>
    <x v="1"/>
  </r>
  <r>
    <s v="CUST01407"/>
    <n v="26"/>
    <s v="Male"/>
    <s v="Delhi"/>
    <x v="3"/>
    <x v="391"/>
    <x v="384"/>
    <n v="17"/>
    <n v="2741.42"/>
    <n v="161.26"/>
    <x v="1"/>
    <x v="2"/>
    <x v="0"/>
    <x v="1"/>
    <x v="1"/>
  </r>
  <r>
    <s v="CUST01864"/>
    <n v="34"/>
    <s v="Female"/>
    <s v="Kolkata"/>
    <x v="1"/>
    <x v="392"/>
    <x v="405"/>
    <n v="13"/>
    <n v="2732.08"/>
    <n v="210.16"/>
    <x v="1"/>
    <x v="0"/>
    <x v="6"/>
    <x v="0"/>
    <x v="1"/>
  </r>
  <r>
    <s v="CUST00096"/>
    <n v="28"/>
    <s v="Female"/>
    <s v="Kolkata"/>
    <x v="3"/>
    <x v="340"/>
    <x v="406"/>
    <n v="17"/>
    <n v="2728.5"/>
    <n v="160.5"/>
    <x v="4"/>
    <x v="0"/>
    <x v="9"/>
    <x v="0"/>
    <x v="1"/>
  </r>
  <r>
    <s v="CUST00674"/>
    <n v="53"/>
    <s v="Male"/>
    <s v="Pune"/>
    <x v="1"/>
    <x v="393"/>
    <x v="141"/>
    <n v="22"/>
    <n v="2724.7"/>
    <n v="123.85"/>
    <x v="4"/>
    <x v="2"/>
    <x v="3"/>
    <x v="0"/>
    <x v="1"/>
  </r>
  <r>
    <s v="CUST01534"/>
    <n v="19"/>
    <s v="Male"/>
    <s v="Pune"/>
    <x v="2"/>
    <x v="394"/>
    <x v="407"/>
    <n v="22"/>
    <n v="2722.72"/>
    <n v="123.76"/>
    <x v="0"/>
    <x v="0"/>
    <x v="8"/>
    <x v="0"/>
    <x v="1"/>
  </r>
  <r>
    <s v="CUST01791"/>
    <n v="63"/>
    <s v="Male"/>
    <s v="Hyderabad"/>
    <x v="3"/>
    <x v="395"/>
    <x v="408"/>
    <n v="25"/>
    <n v="2717.25"/>
    <n v="108.69"/>
    <x v="1"/>
    <x v="0"/>
    <x v="2"/>
    <x v="0"/>
    <x v="1"/>
  </r>
  <r>
    <s v="CUST00878"/>
    <n v="60"/>
    <s v="Male"/>
    <s v="Hyderabad"/>
    <x v="2"/>
    <x v="396"/>
    <x v="391"/>
    <n v="24"/>
    <n v="2705.76"/>
    <n v="112.74"/>
    <x v="3"/>
    <x v="1"/>
    <x v="2"/>
    <x v="1"/>
    <x v="1"/>
  </r>
  <r>
    <s v="CUST01221"/>
    <n v="53"/>
    <s v="Female"/>
    <s v="Chennai"/>
    <x v="0"/>
    <x v="131"/>
    <x v="409"/>
    <n v="11"/>
    <n v="2705.56"/>
    <n v="245.96"/>
    <x v="4"/>
    <x v="0"/>
    <x v="1"/>
    <x v="0"/>
    <x v="1"/>
  </r>
  <r>
    <s v="CUST00631"/>
    <n v="61"/>
    <s v="Female"/>
    <s v="Chennai"/>
    <x v="0"/>
    <x v="397"/>
    <x v="333"/>
    <n v="22"/>
    <n v="2703.36"/>
    <n v="122.88"/>
    <x v="2"/>
    <x v="1"/>
    <x v="3"/>
    <x v="1"/>
    <x v="1"/>
  </r>
  <r>
    <s v="CUST00095"/>
    <n v="36"/>
    <s v="Female"/>
    <s v="Chennai"/>
    <x v="3"/>
    <x v="398"/>
    <x v="410"/>
    <n v="12"/>
    <n v="2700.72"/>
    <n v="225.06"/>
    <x v="1"/>
    <x v="2"/>
    <x v="5"/>
    <x v="1"/>
    <x v="1"/>
  </r>
  <r>
    <s v="CUST01828"/>
    <n v="46"/>
    <s v="Male"/>
    <s v="Delhi"/>
    <x v="2"/>
    <x v="399"/>
    <x v="158"/>
    <n v="14"/>
    <n v="2696.54"/>
    <n v="192.61"/>
    <x v="1"/>
    <x v="0"/>
    <x v="7"/>
    <x v="0"/>
    <x v="1"/>
  </r>
  <r>
    <s v="CUST01046"/>
    <n v="54"/>
    <s v="Female"/>
    <s v="Mumbai"/>
    <x v="3"/>
    <x v="400"/>
    <x v="411"/>
    <n v="18"/>
    <n v="2696.04"/>
    <n v="149.78"/>
    <x v="2"/>
    <x v="0"/>
    <x v="0"/>
    <x v="0"/>
    <x v="1"/>
  </r>
  <r>
    <s v="CUST00868"/>
    <n v="23"/>
    <s v="Male"/>
    <s v="Chennai"/>
    <x v="1"/>
    <x v="401"/>
    <x v="229"/>
    <n v="25"/>
    <n v="2689.25"/>
    <n v="107.57"/>
    <x v="3"/>
    <x v="2"/>
    <x v="4"/>
    <x v="1"/>
    <x v="1"/>
  </r>
  <r>
    <s v="CUST01957"/>
    <n v="46"/>
    <s v="Female"/>
    <s v="Pune"/>
    <x v="1"/>
    <x v="89"/>
    <x v="240"/>
    <n v="17"/>
    <n v="2688.72"/>
    <n v="158.16"/>
    <x v="1"/>
    <x v="2"/>
    <x v="7"/>
    <x v="0"/>
    <x v="1"/>
  </r>
  <r>
    <s v="CUST01235"/>
    <n v="63"/>
    <s v="Female"/>
    <s v="Pune"/>
    <x v="3"/>
    <x v="402"/>
    <x v="391"/>
    <n v="19"/>
    <n v="2687.55"/>
    <n v="141.45"/>
    <x v="0"/>
    <x v="0"/>
    <x v="7"/>
    <x v="0"/>
    <x v="1"/>
  </r>
  <r>
    <s v="CUST01824"/>
    <n v="47"/>
    <s v="Female"/>
    <s v="Hyderabad"/>
    <x v="0"/>
    <x v="51"/>
    <x v="149"/>
    <n v="9"/>
    <n v="2682.81"/>
    <n v="298.09"/>
    <x v="3"/>
    <x v="2"/>
    <x v="5"/>
    <x v="0"/>
    <x v="1"/>
  </r>
  <r>
    <s v="CUST01826"/>
    <n v="30"/>
    <s v="Female"/>
    <s v="Bangalore"/>
    <x v="3"/>
    <x v="47"/>
    <x v="412"/>
    <n v="10"/>
    <n v="2677.5"/>
    <n v="267.75"/>
    <x v="3"/>
    <x v="1"/>
    <x v="9"/>
    <x v="1"/>
    <x v="1"/>
  </r>
  <r>
    <s v="CUST00883"/>
    <n v="45"/>
    <s v="Male"/>
    <s v="Pune"/>
    <x v="1"/>
    <x v="37"/>
    <x v="413"/>
    <n v="9"/>
    <n v="2675.79"/>
    <n v="297.31"/>
    <x v="3"/>
    <x v="2"/>
    <x v="7"/>
    <x v="0"/>
    <x v="1"/>
  </r>
  <r>
    <s v="CUST01162"/>
    <n v="48"/>
    <s v="Male"/>
    <s v="Bangalore"/>
    <x v="1"/>
    <x v="100"/>
    <x v="414"/>
    <n v="12"/>
    <n v="2669.52"/>
    <n v="222.46"/>
    <x v="4"/>
    <x v="2"/>
    <x v="6"/>
    <x v="0"/>
    <x v="1"/>
  </r>
  <r>
    <s v="CUST00198"/>
    <n v="61"/>
    <s v="Female"/>
    <s v="Chennai"/>
    <x v="0"/>
    <x v="391"/>
    <x v="415"/>
    <n v="15"/>
    <n v="2668.5"/>
    <n v="177.9"/>
    <x v="2"/>
    <x v="1"/>
    <x v="6"/>
    <x v="0"/>
    <x v="1"/>
  </r>
  <r>
    <s v="CUST01191"/>
    <n v="21"/>
    <s v="Male"/>
    <s v="Delhi"/>
    <x v="2"/>
    <x v="31"/>
    <x v="283"/>
    <n v="9"/>
    <n v="2667.06"/>
    <n v="296.34"/>
    <x v="4"/>
    <x v="0"/>
    <x v="9"/>
    <x v="0"/>
    <x v="1"/>
  </r>
  <r>
    <s v="CUST01512"/>
    <n v="45"/>
    <s v="Male"/>
    <s v="Delhi"/>
    <x v="2"/>
    <x v="403"/>
    <x v="416"/>
    <n v="12"/>
    <n v="2666.76"/>
    <n v="222.23"/>
    <x v="4"/>
    <x v="2"/>
    <x v="2"/>
    <x v="0"/>
    <x v="1"/>
  </r>
  <r>
    <s v="CUST00244"/>
    <n v="31"/>
    <s v="Male"/>
    <s v="Bangalore"/>
    <x v="0"/>
    <x v="404"/>
    <x v="226"/>
    <n v="19"/>
    <n v="2665.13"/>
    <n v="140.27"/>
    <x v="0"/>
    <x v="2"/>
    <x v="3"/>
    <x v="1"/>
    <x v="1"/>
  </r>
  <r>
    <s v="CUST00608"/>
    <n v="45"/>
    <s v="Female"/>
    <s v="Hyderabad"/>
    <x v="2"/>
    <x v="22"/>
    <x v="75"/>
    <n v="22"/>
    <n v="2664.2"/>
    <n v="121.1"/>
    <x v="3"/>
    <x v="1"/>
    <x v="9"/>
    <x v="1"/>
    <x v="1"/>
  </r>
  <r>
    <s v="CUST01714"/>
    <n v="22"/>
    <s v="Female"/>
    <s v="Hyderabad"/>
    <x v="0"/>
    <x v="193"/>
    <x v="417"/>
    <n v="19"/>
    <n v="2660.95"/>
    <n v="140.05"/>
    <x v="0"/>
    <x v="2"/>
    <x v="5"/>
    <x v="0"/>
    <x v="1"/>
  </r>
  <r>
    <s v="CUST01292"/>
    <n v="27"/>
    <s v="Female"/>
    <s v="Pune"/>
    <x v="1"/>
    <x v="405"/>
    <x v="418"/>
    <n v="9"/>
    <n v="2658.78"/>
    <n v="295.42"/>
    <x v="1"/>
    <x v="1"/>
    <x v="9"/>
    <x v="0"/>
    <x v="1"/>
  </r>
  <r>
    <s v="CUST00334"/>
    <n v="28"/>
    <s v="Male"/>
    <s v="Bangalore"/>
    <x v="0"/>
    <x v="406"/>
    <x v="419"/>
    <n v="22"/>
    <n v="2648.36"/>
    <n v="120.38"/>
    <x v="2"/>
    <x v="2"/>
    <x v="1"/>
    <x v="0"/>
    <x v="1"/>
  </r>
  <r>
    <s v="CUST00358"/>
    <n v="23"/>
    <s v="Female"/>
    <s v="Hyderabad"/>
    <x v="3"/>
    <x v="407"/>
    <x v="193"/>
    <n v="21"/>
    <n v="2646.42"/>
    <n v="126.02"/>
    <x v="3"/>
    <x v="1"/>
    <x v="2"/>
    <x v="0"/>
    <x v="1"/>
  </r>
  <r>
    <s v="CUST00400"/>
    <n v="22"/>
    <s v="Female"/>
    <s v="Hyderabad"/>
    <x v="1"/>
    <x v="408"/>
    <x v="420"/>
    <n v="21"/>
    <n v="2645.79"/>
    <n v="125.99"/>
    <x v="0"/>
    <x v="1"/>
    <x v="9"/>
    <x v="0"/>
    <x v="1"/>
  </r>
  <r>
    <s v="CUST00320"/>
    <n v="48"/>
    <s v="Male"/>
    <s v="Mumbai"/>
    <x v="2"/>
    <x v="409"/>
    <x v="62"/>
    <n v="13"/>
    <n v="2643.42"/>
    <n v="203.34"/>
    <x v="2"/>
    <x v="2"/>
    <x v="4"/>
    <x v="0"/>
    <x v="1"/>
  </r>
  <r>
    <s v="CUST00367"/>
    <n v="50"/>
    <s v="Female"/>
    <s v="Kolkata"/>
    <x v="2"/>
    <x v="410"/>
    <x v="421"/>
    <n v="14"/>
    <n v="2641.94"/>
    <n v="188.71"/>
    <x v="0"/>
    <x v="0"/>
    <x v="0"/>
    <x v="0"/>
    <x v="1"/>
  </r>
  <r>
    <s v="CUST00157"/>
    <n v="25"/>
    <s v="Female"/>
    <s v="Kolkata"/>
    <x v="2"/>
    <x v="294"/>
    <x v="422"/>
    <n v="16"/>
    <n v="2639.52"/>
    <n v="164.97"/>
    <x v="2"/>
    <x v="2"/>
    <x v="4"/>
    <x v="0"/>
    <x v="1"/>
  </r>
  <r>
    <s v="CUST00289"/>
    <n v="24"/>
    <s v="Female"/>
    <s v="Delhi"/>
    <x v="1"/>
    <x v="193"/>
    <x v="423"/>
    <n v="15"/>
    <n v="2635.05"/>
    <n v="175.67"/>
    <x v="3"/>
    <x v="2"/>
    <x v="6"/>
    <x v="0"/>
    <x v="1"/>
  </r>
  <r>
    <s v="CUST01173"/>
    <n v="42"/>
    <s v="Male"/>
    <s v="Chennai"/>
    <x v="0"/>
    <x v="411"/>
    <x v="50"/>
    <n v="17"/>
    <n v="2634.49"/>
    <n v="154.97"/>
    <x v="4"/>
    <x v="2"/>
    <x v="1"/>
    <x v="0"/>
    <x v="1"/>
  </r>
  <r>
    <s v="CUST01040"/>
    <n v="35"/>
    <s v="Female"/>
    <s v="Chennai"/>
    <x v="0"/>
    <x v="144"/>
    <x v="424"/>
    <n v="10"/>
    <n v="2633.1"/>
    <n v="263.31"/>
    <x v="3"/>
    <x v="1"/>
    <x v="7"/>
    <x v="0"/>
    <x v="1"/>
  </r>
  <r>
    <s v="CUST01091"/>
    <n v="42"/>
    <s v="Female"/>
    <s v="Hyderabad"/>
    <x v="0"/>
    <x v="61"/>
    <x v="425"/>
    <n v="9"/>
    <n v="2622.51"/>
    <n v="291.39"/>
    <x v="1"/>
    <x v="1"/>
    <x v="3"/>
    <x v="0"/>
    <x v="1"/>
  </r>
  <r>
    <s v="CUST00855"/>
    <n v="20"/>
    <s v="Male"/>
    <s v="Pune"/>
    <x v="1"/>
    <x v="124"/>
    <x v="126"/>
    <n v="18"/>
    <n v="2614.14"/>
    <n v="145.23"/>
    <x v="1"/>
    <x v="2"/>
    <x v="3"/>
    <x v="0"/>
    <x v="1"/>
  </r>
  <r>
    <s v="CUST01034"/>
    <n v="45"/>
    <s v="Female"/>
    <s v="Bangalore"/>
    <x v="1"/>
    <x v="329"/>
    <x v="426"/>
    <n v="16"/>
    <n v="2594.08"/>
    <n v="162.13"/>
    <x v="3"/>
    <x v="2"/>
    <x v="6"/>
    <x v="0"/>
    <x v="1"/>
  </r>
  <r>
    <s v="CUST01897"/>
    <n v="22"/>
    <s v="Female"/>
    <s v="Pune"/>
    <x v="3"/>
    <x v="26"/>
    <x v="105"/>
    <n v="14"/>
    <n v="2593.78"/>
    <n v="185.27"/>
    <x v="2"/>
    <x v="2"/>
    <x v="3"/>
    <x v="0"/>
    <x v="1"/>
  </r>
  <r>
    <s v="CUST00790"/>
    <n v="37"/>
    <s v="Female"/>
    <s v="Pune"/>
    <x v="1"/>
    <x v="110"/>
    <x v="427"/>
    <n v="12"/>
    <n v="2593.08"/>
    <n v="216.09"/>
    <x v="2"/>
    <x v="2"/>
    <x v="5"/>
    <x v="0"/>
    <x v="1"/>
  </r>
  <r>
    <s v="CUST00041"/>
    <n v="65"/>
    <s v="Male"/>
    <s v="Chennai"/>
    <x v="0"/>
    <x v="412"/>
    <x v="428"/>
    <n v="17"/>
    <n v="2592.33"/>
    <n v="152.49"/>
    <x v="4"/>
    <x v="0"/>
    <x v="4"/>
    <x v="0"/>
    <x v="1"/>
  </r>
  <r>
    <s v="CUST01456"/>
    <n v="20"/>
    <s v="Female"/>
    <s v="Mumbai"/>
    <x v="0"/>
    <x v="413"/>
    <x v="429"/>
    <n v="21"/>
    <n v="2588.88"/>
    <n v="123.28"/>
    <x v="0"/>
    <x v="1"/>
    <x v="6"/>
    <x v="0"/>
    <x v="1"/>
  </r>
  <r>
    <s v="CUST00894"/>
    <n v="35"/>
    <s v="Male"/>
    <s v="Mumbai"/>
    <x v="1"/>
    <x v="54"/>
    <x v="390"/>
    <n v="10"/>
    <n v="2586.9"/>
    <n v="258.69"/>
    <x v="3"/>
    <x v="0"/>
    <x v="0"/>
    <x v="0"/>
    <x v="1"/>
  </r>
  <r>
    <s v="CUST00563"/>
    <n v="18"/>
    <s v="Female"/>
    <s v="Hyderabad"/>
    <x v="3"/>
    <x v="414"/>
    <x v="430"/>
    <n v="23"/>
    <n v="2584.05"/>
    <n v="112.35"/>
    <x v="2"/>
    <x v="0"/>
    <x v="8"/>
    <x v="0"/>
    <x v="1"/>
  </r>
  <r>
    <s v="CUST00491"/>
    <n v="26"/>
    <s v="Male"/>
    <s v="Kolkata"/>
    <x v="1"/>
    <x v="415"/>
    <x v="239"/>
    <n v="15"/>
    <n v="2577.45"/>
    <n v="171.83"/>
    <x v="4"/>
    <x v="0"/>
    <x v="3"/>
    <x v="0"/>
    <x v="1"/>
  </r>
  <r>
    <s v="CUST01939"/>
    <n v="41"/>
    <s v="Male"/>
    <s v="Chennai"/>
    <x v="2"/>
    <x v="156"/>
    <x v="419"/>
    <n v="14"/>
    <n v="2574.04"/>
    <n v="183.86"/>
    <x v="0"/>
    <x v="0"/>
    <x v="6"/>
    <x v="0"/>
    <x v="1"/>
  </r>
  <r>
    <s v="CUST01977"/>
    <n v="40"/>
    <s v="Female"/>
    <s v="Delhi"/>
    <x v="3"/>
    <x v="416"/>
    <x v="431"/>
    <n v="9"/>
    <n v="2569.05"/>
    <n v="285.45"/>
    <x v="3"/>
    <x v="2"/>
    <x v="8"/>
    <x v="0"/>
    <x v="1"/>
  </r>
  <r>
    <s v="CUST01750"/>
    <n v="26"/>
    <s v="Male"/>
    <s v="Chennai"/>
    <x v="1"/>
    <x v="417"/>
    <x v="432"/>
    <n v="16"/>
    <n v="2564.32"/>
    <n v="160.27"/>
    <x v="0"/>
    <x v="1"/>
    <x v="1"/>
    <x v="0"/>
    <x v="1"/>
  </r>
  <r>
    <s v="CUST01680"/>
    <n v="40"/>
    <s v="Male"/>
    <s v="Delhi"/>
    <x v="0"/>
    <x v="326"/>
    <x v="15"/>
    <n v="13"/>
    <n v="2562.69"/>
    <n v="197.13"/>
    <x v="2"/>
    <x v="2"/>
    <x v="5"/>
    <x v="0"/>
    <x v="1"/>
  </r>
  <r>
    <s v="CUST01239"/>
    <n v="33"/>
    <s v="Female"/>
    <s v="Hyderabad"/>
    <x v="0"/>
    <x v="85"/>
    <x v="433"/>
    <n v="22"/>
    <n v="2559.26"/>
    <n v="116.33"/>
    <x v="4"/>
    <x v="1"/>
    <x v="1"/>
    <x v="0"/>
    <x v="1"/>
  </r>
  <r>
    <s v="CUST01734"/>
    <n v="46"/>
    <s v="Male"/>
    <s v="Pune"/>
    <x v="1"/>
    <x v="418"/>
    <x v="122"/>
    <n v="18"/>
    <n v="2554.56"/>
    <n v="141.92"/>
    <x v="4"/>
    <x v="1"/>
    <x v="3"/>
    <x v="0"/>
    <x v="1"/>
  </r>
  <r>
    <s v="CUST00497"/>
    <n v="42"/>
    <s v="Female"/>
    <s v="Hyderabad"/>
    <x v="0"/>
    <x v="125"/>
    <x v="282"/>
    <n v="23"/>
    <n v="2552.31"/>
    <n v="110.97"/>
    <x v="0"/>
    <x v="0"/>
    <x v="7"/>
    <x v="0"/>
    <x v="1"/>
  </r>
  <r>
    <s v="CUST01929"/>
    <n v="39"/>
    <s v="Male"/>
    <s v="Pune"/>
    <x v="0"/>
    <x v="419"/>
    <x v="194"/>
    <n v="13"/>
    <n v="2549.95"/>
    <n v="196.15"/>
    <x v="3"/>
    <x v="2"/>
    <x v="6"/>
    <x v="0"/>
    <x v="1"/>
  </r>
  <r>
    <s v="CUST01311"/>
    <n v="43"/>
    <s v="Female"/>
    <s v="Pune"/>
    <x v="3"/>
    <x v="241"/>
    <x v="42"/>
    <n v="11"/>
    <n v="2549.36"/>
    <n v="231.76"/>
    <x v="0"/>
    <x v="0"/>
    <x v="1"/>
    <x v="0"/>
    <x v="1"/>
  </r>
  <r>
    <s v="CUST00952"/>
    <n v="44"/>
    <s v="Male"/>
    <s v="Delhi"/>
    <x v="3"/>
    <x v="348"/>
    <x v="434"/>
    <n v="10"/>
    <n v="2547.8"/>
    <n v="254.78"/>
    <x v="3"/>
    <x v="2"/>
    <x v="6"/>
    <x v="0"/>
    <x v="1"/>
  </r>
  <r>
    <s v="CUST01713"/>
    <n v="58"/>
    <s v="Male"/>
    <s v="Hyderabad"/>
    <x v="3"/>
    <x v="420"/>
    <x v="435"/>
    <n v="18"/>
    <n v="2544.66"/>
    <n v="141.37"/>
    <x v="0"/>
    <x v="2"/>
    <x v="9"/>
    <x v="0"/>
    <x v="1"/>
  </r>
  <r>
    <s v="CUST01382"/>
    <n v="37"/>
    <s v="Female"/>
    <s v="Pune"/>
    <x v="3"/>
    <x v="53"/>
    <x v="436"/>
    <n v="10"/>
    <n v="2541.7"/>
    <n v="254.17"/>
    <x v="2"/>
    <x v="0"/>
    <x v="4"/>
    <x v="0"/>
    <x v="1"/>
  </r>
  <r>
    <s v="CUST01611"/>
    <n v="64"/>
    <s v="Female"/>
    <s v="Chennai"/>
    <x v="2"/>
    <x v="421"/>
    <x v="437"/>
    <n v="12"/>
    <n v="2536.92"/>
    <n v="211.41"/>
    <x v="1"/>
    <x v="2"/>
    <x v="3"/>
    <x v="0"/>
    <x v="1"/>
  </r>
  <r>
    <s v="CUST00684"/>
    <n v="29"/>
    <s v="Male"/>
    <s v="Kolkata"/>
    <x v="3"/>
    <x v="311"/>
    <x v="295"/>
    <n v="20"/>
    <n v="2535.8"/>
    <n v="126.79"/>
    <x v="3"/>
    <x v="2"/>
    <x v="0"/>
    <x v="0"/>
    <x v="1"/>
  </r>
  <r>
    <s v="CUST01104"/>
    <n v="43"/>
    <s v="Female"/>
    <s v="Pune"/>
    <x v="1"/>
    <x v="422"/>
    <x v="232"/>
    <n v="24"/>
    <n v="2534.64"/>
    <n v="105.61"/>
    <x v="3"/>
    <x v="0"/>
    <x v="5"/>
    <x v="0"/>
    <x v="1"/>
  </r>
  <r>
    <s v="CUST00991"/>
    <n v="33"/>
    <s v="Male"/>
    <s v="Bangalore"/>
    <x v="0"/>
    <x v="423"/>
    <x v="438"/>
    <n v="24"/>
    <n v="2531.76"/>
    <n v="105.49"/>
    <x v="1"/>
    <x v="2"/>
    <x v="9"/>
    <x v="0"/>
    <x v="1"/>
  </r>
  <r>
    <s v="CUST01189"/>
    <n v="45"/>
    <s v="Female"/>
    <s v="Bangalore"/>
    <x v="1"/>
    <x v="424"/>
    <x v="439"/>
    <n v="10"/>
    <n v="2531.1"/>
    <n v="253.11"/>
    <x v="1"/>
    <x v="0"/>
    <x v="3"/>
    <x v="1"/>
    <x v="1"/>
  </r>
  <r>
    <s v="CUST01346"/>
    <n v="42"/>
    <s v="Male"/>
    <s v="Delhi"/>
    <x v="0"/>
    <x v="130"/>
    <x v="440"/>
    <n v="9"/>
    <n v="2523.96"/>
    <n v="280.44"/>
    <x v="4"/>
    <x v="2"/>
    <x v="0"/>
    <x v="0"/>
    <x v="1"/>
  </r>
  <r>
    <s v="CUST01354"/>
    <n v="40"/>
    <s v="Female"/>
    <s v="Mumbai"/>
    <x v="3"/>
    <x v="303"/>
    <x v="276"/>
    <n v="19"/>
    <n v="2517.5"/>
    <n v="132.5"/>
    <x v="0"/>
    <x v="1"/>
    <x v="9"/>
    <x v="0"/>
    <x v="1"/>
  </r>
  <r>
    <s v="CUST00084"/>
    <n v="42"/>
    <s v="Female"/>
    <s v="Chennai"/>
    <x v="1"/>
    <x v="409"/>
    <x v="433"/>
    <n v="11"/>
    <n v="2513.72"/>
    <n v="228.52"/>
    <x v="2"/>
    <x v="2"/>
    <x v="5"/>
    <x v="0"/>
    <x v="1"/>
  </r>
  <r>
    <s v="CUST00243"/>
    <n v="43"/>
    <s v="Male"/>
    <s v="Mumbai"/>
    <x v="3"/>
    <x v="182"/>
    <x v="82"/>
    <n v="18"/>
    <n v="2508.84"/>
    <n v="139.38"/>
    <x v="2"/>
    <x v="2"/>
    <x v="4"/>
    <x v="0"/>
    <x v="1"/>
  </r>
  <r>
    <s v="CUST01659"/>
    <n v="64"/>
    <s v="Female"/>
    <s v="Pune"/>
    <x v="3"/>
    <x v="425"/>
    <x v="441"/>
    <n v="20"/>
    <n v="2507.4"/>
    <n v="125.37"/>
    <x v="3"/>
    <x v="1"/>
    <x v="2"/>
    <x v="0"/>
    <x v="1"/>
  </r>
  <r>
    <s v="CUST00089"/>
    <n v="28"/>
    <s v="Male"/>
    <s v="Delhi"/>
    <x v="3"/>
    <x v="215"/>
    <x v="71"/>
    <n v="14"/>
    <n v="2498.44"/>
    <n v="178.46"/>
    <x v="0"/>
    <x v="0"/>
    <x v="0"/>
    <x v="0"/>
    <x v="1"/>
  </r>
  <r>
    <s v="CUST01689"/>
    <n v="22"/>
    <s v="Male"/>
    <s v="Mumbai"/>
    <x v="1"/>
    <x v="157"/>
    <x v="381"/>
    <n v="11"/>
    <n v="2498.43"/>
    <n v="227.13"/>
    <x v="1"/>
    <x v="0"/>
    <x v="2"/>
    <x v="0"/>
    <x v="1"/>
  </r>
  <r>
    <s v="CUST00412"/>
    <n v="35"/>
    <s v="Female"/>
    <s v="Kolkata"/>
    <x v="1"/>
    <x v="85"/>
    <x v="442"/>
    <n v="18"/>
    <n v="2494.8"/>
    <n v="138.6"/>
    <x v="2"/>
    <x v="0"/>
    <x v="3"/>
    <x v="0"/>
    <x v="1"/>
  </r>
  <r>
    <s v="CUST00101"/>
    <n v="52"/>
    <s v="Female"/>
    <s v="Pune"/>
    <x v="1"/>
    <x v="400"/>
    <x v="57"/>
    <n v="12"/>
    <n v="2492.88"/>
    <n v="207.74"/>
    <x v="2"/>
    <x v="0"/>
    <x v="8"/>
    <x v="0"/>
    <x v="1"/>
  </r>
  <r>
    <s v="CUST00686"/>
    <n v="50"/>
    <s v="Male"/>
    <s v="Hyderabad"/>
    <x v="3"/>
    <x v="77"/>
    <x v="443"/>
    <n v="12"/>
    <n v="2476.2"/>
    <n v="206.35"/>
    <x v="2"/>
    <x v="1"/>
    <x v="1"/>
    <x v="0"/>
    <x v="1"/>
  </r>
  <r>
    <s v="CUST00460"/>
    <n v="56"/>
    <s v="Male"/>
    <s v="Delhi"/>
    <x v="1"/>
    <x v="172"/>
    <x v="444"/>
    <n v="11"/>
    <n v="2475.77"/>
    <n v="225.07"/>
    <x v="2"/>
    <x v="1"/>
    <x v="1"/>
    <x v="0"/>
    <x v="1"/>
  </r>
  <r>
    <s v="CUST01982"/>
    <n v="26"/>
    <s v="Male"/>
    <s v="Kolkata"/>
    <x v="2"/>
    <x v="426"/>
    <x v="330"/>
    <n v="13"/>
    <n v="2472.86"/>
    <n v="190.22"/>
    <x v="1"/>
    <x v="1"/>
    <x v="3"/>
    <x v="0"/>
    <x v="1"/>
  </r>
  <r>
    <s v="CUST00262"/>
    <n v="42"/>
    <s v="Female"/>
    <s v="Chennai"/>
    <x v="2"/>
    <x v="427"/>
    <x v="209"/>
    <n v="12"/>
    <n v="2472.72"/>
    <n v="206.06"/>
    <x v="1"/>
    <x v="1"/>
    <x v="8"/>
    <x v="0"/>
    <x v="1"/>
  </r>
  <r>
    <s v="CUST01016"/>
    <n v="24"/>
    <s v="Female"/>
    <s v="Bangalore"/>
    <x v="2"/>
    <x v="106"/>
    <x v="357"/>
    <n v="16"/>
    <n v="2472.48"/>
    <n v="154.53"/>
    <x v="2"/>
    <x v="1"/>
    <x v="8"/>
    <x v="0"/>
    <x v="1"/>
  </r>
  <r>
    <s v="CUST01345"/>
    <n v="60"/>
    <s v="Male"/>
    <s v="Delhi"/>
    <x v="0"/>
    <x v="347"/>
    <x v="92"/>
    <n v="16"/>
    <n v="2471.2"/>
    <n v="154.45"/>
    <x v="3"/>
    <x v="2"/>
    <x v="4"/>
    <x v="0"/>
    <x v="1"/>
  </r>
  <r>
    <s v="CUST01805"/>
    <n v="25"/>
    <s v="Male"/>
    <s v="Kolkata"/>
    <x v="1"/>
    <x v="22"/>
    <x v="445"/>
    <n v="13"/>
    <n v="2470"/>
    <n v="190"/>
    <x v="2"/>
    <x v="2"/>
    <x v="8"/>
    <x v="0"/>
    <x v="1"/>
  </r>
  <r>
    <s v="CUST01910"/>
    <n v="41"/>
    <s v="Male"/>
    <s v="Bangalore"/>
    <x v="0"/>
    <x v="428"/>
    <x v="446"/>
    <n v="14"/>
    <n v="2469.74"/>
    <n v="176.41"/>
    <x v="2"/>
    <x v="2"/>
    <x v="5"/>
    <x v="0"/>
    <x v="1"/>
  </r>
  <r>
    <s v="CUST00196"/>
    <n v="22"/>
    <s v="Male"/>
    <s v="Delhi"/>
    <x v="1"/>
    <x v="429"/>
    <x v="447"/>
    <n v="17"/>
    <n v="2466.53"/>
    <n v="145.09"/>
    <x v="0"/>
    <x v="0"/>
    <x v="5"/>
    <x v="0"/>
    <x v="1"/>
  </r>
  <r>
    <s v="CUST00296"/>
    <n v="48"/>
    <s v="Female"/>
    <s v="Kolkata"/>
    <x v="1"/>
    <x v="335"/>
    <x v="448"/>
    <n v="25"/>
    <n v="2466.5"/>
    <n v="98.66"/>
    <x v="1"/>
    <x v="2"/>
    <x v="0"/>
    <x v="0"/>
    <x v="1"/>
  </r>
  <r>
    <s v="CUST01752"/>
    <n v="49"/>
    <s v="Male"/>
    <s v="Hyderabad"/>
    <x v="2"/>
    <x v="247"/>
    <x v="449"/>
    <n v="21"/>
    <n v="2465.82"/>
    <n v="117.42"/>
    <x v="4"/>
    <x v="2"/>
    <x v="7"/>
    <x v="1"/>
    <x v="1"/>
  </r>
  <r>
    <s v="CUST00896"/>
    <n v="41"/>
    <s v="Female"/>
    <s v="Delhi"/>
    <x v="2"/>
    <x v="194"/>
    <x v="85"/>
    <n v="21"/>
    <n v="2463.09"/>
    <n v="117.29"/>
    <x v="1"/>
    <x v="1"/>
    <x v="4"/>
    <x v="0"/>
    <x v="1"/>
  </r>
  <r>
    <s v="CUST01187"/>
    <n v="38"/>
    <s v="Female"/>
    <s v="Bangalore"/>
    <x v="3"/>
    <x v="430"/>
    <x v="101"/>
    <n v="11"/>
    <n v="2458.28"/>
    <n v="223.48"/>
    <x v="0"/>
    <x v="1"/>
    <x v="7"/>
    <x v="0"/>
    <x v="1"/>
  </r>
  <r>
    <s v="CUST01367"/>
    <n v="47"/>
    <s v="Female"/>
    <s v="Chennai"/>
    <x v="3"/>
    <x v="47"/>
    <x v="450"/>
    <n v="17"/>
    <n v="2455.48"/>
    <n v="144.44"/>
    <x v="0"/>
    <x v="0"/>
    <x v="6"/>
    <x v="0"/>
    <x v="1"/>
  </r>
  <r>
    <s v="CUST00459"/>
    <n v="46"/>
    <s v="Female"/>
    <s v="Pune"/>
    <x v="3"/>
    <x v="153"/>
    <x v="47"/>
    <n v="9"/>
    <n v="2444.67"/>
    <n v="271.63"/>
    <x v="1"/>
    <x v="0"/>
    <x v="5"/>
    <x v="0"/>
    <x v="1"/>
  </r>
  <r>
    <s v="CUST00197"/>
    <n v="63"/>
    <s v="Female"/>
    <s v="Delhi"/>
    <x v="3"/>
    <x v="5"/>
    <x v="26"/>
    <n v="17"/>
    <n v="2443.24"/>
    <n v="143.72"/>
    <x v="3"/>
    <x v="1"/>
    <x v="5"/>
    <x v="0"/>
    <x v="1"/>
  </r>
  <r>
    <s v="CUST00543"/>
    <n v="46"/>
    <s v="Female"/>
    <s v="Bangalore"/>
    <x v="1"/>
    <x v="431"/>
    <x v="427"/>
    <n v="15"/>
    <n v="2439.6"/>
    <n v="162.64"/>
    <x v="1"/>
    <x v="1"/>
    <x v="4"/>
    <x v="0"/>
    <x v="1"/>
  </r>
  <r>
    <s v="CUST01058"/>
    <n v="54"/>
    <s v="Female"/>
    <s v="Mumbai"/>
    <x v="2"/>
    <x v="297"/>
    <x v="207"/>
    <n v="17"/>
    <n v="2439.16"/>
    <n v="143.48"/>
    <x v="1"/>
    <x v="1"/>
    <x v="0"/>
    <x v="0"/>
    <x v="1"/>
  </r>
  <r>
    <s v="CUST01900"/>
    <n v="55"/>
    <s v="Male"/>
    <s v="Hyderabad"/>
    <x v="2"/>
    <x v="432"/>
    <x v="444"/>
    <n v="21"/>
    <n v="2438.94"/>
    <n v="116.14"/>
    <x v="0"/>
    <x v="0"/>
    <x v="6"/>
    <x v="0"/>
    <x v="1"/>
  </r>
  <r>
    <s v="CUST00959"/>
    <n v="49"/>
    <s v="Female"/>
    <s v="Kolkata"/>
    <x v="1"/>
    <x v="433"/>
    <x v="395"/>
    <n v="9"/>
    <n v="2434.41"/>
    <n v="270.49"/>
    <x v="2"/>
    <x v="2"/>
    <x v="2"/>
    <x v="1"/>
    <x v="1"/>
  </r>
  <r>
    <s v="CUST00177"/>
    <n v="62"/>
    <s v="Male"/>
    <s v="Pune"/>
    <x v="3"/>
    <x v="434"/>
    <x v="451"/>
    <n v="10"/>
    <n v="2430.9"/>
    <n v="243.09"/>
    <x v="4"/>
    <x v="0"/>
    <x v="4"/>
    <x v="0"/>
    <x v="1"/>
  </r>
  <r>
    <s v="CUST01693"/>
    <n v="42"/>
    <s v="Male"/>
    <s v="Bangalore"/>
    <x v="1"/>
    <x v="435"/>
    <x v="452"/>
    <n v="11"/>
    <n v="2421.43"/>
    <n v="220.13"/>
    <x v="4"/>
    <x v="0"/>
    <x v="0"/>
    <x v="0"/>
    <x v="1"/>
  </r>
  <r>
    <s v="CUST00248"/>
    <n v="58"/>
    <s v="Male"/>
    <s v="Pune"/>
    <x v="1"/>
    <x v="436"/>
    <x v="453"/>
    <n v="19"/>
    <n v="2421.36"/>
    <n v="127.44"/>
    <x v="2"/>
    <x v="1"/>
    <x v="5"/>
    <x v="0"/>
    <x v="1"/>
  </r>
  <r>
    <s v="CUST01131"/>
    <n v="40"/>
    <s v="Female"/>
    <s v="Hyderabad"/>
    <x v="1"/>
    <x v="326"/>
    <x v="454"/>
    <n v="10"/>
    <n v="2420"/>
    <n v="242"/>
    <x v="2"/>
    <x v="2"/>
    <x v="5"/>
    <x v="1"/>
    <x v="1"/>
  </r>
  <r>
    <s v="CUST01157"/>
    <n v="44"/>
    <s v="Female"/>
    <s v="Bangalore"/>
    <x v="2"/>
    <x v="13"/>
    <x v="455"/>
    <n v="18"/>
    <n v="2418.84"/>
    <n v="134.38"/>
    <x v="3"/>
    <x v="0"/>
    <x v="9"/>
    <x v="0"/>
    <x v="1"/>
  </r>
  <r>
    <s v="CUST01527"/>
    <n v="41"/>
    <s v="Male"/>
    <s v="Kolkata"/>
    <x v="2"/>
    <x v="221"/>
    <x v="414"/>
    <n v="18"/>
    <n v="2412.54"/>
    <n v="134.03"/>
    <x v="1"/>
    <x v="1"/>
    <x v="7"/>
    <x v="0"/>
    <x v="1"/>
  </r>
  <r>
    <s v="CUST01457"/>
    <n v="18"/>
    <s v="Female"/>
    <s v="Kolkata"/>
    <x v="3"/>
    <x v="154"/>
    <x v="456"/>
    <n v="21"/>
    <n v="2411.64"/>
    <n v="114.84"/>
    <x v="3"/>
    <x v="2"/>
    <x v="8"/>
    <x v="0"/>
    <x v="1"/>
  </r>
  <r>
    <s v="CUST00770"/>
    <n v="21"/>
    <s v="Female"/>
    <s v="Kolkata"/>
    <x v="1"/>
    <x v="437"/>
    <x v="314"/>
    <n v="10"/>
    <n v="2410.8"/>
    <n v="241.08"/>
    <x v="0"/>
    <x v="0"/>
    <x v="2"/>
    <x v="0"/>
    <x v="1"/>
  </r>
  <r>
    <s v="CUST00849"/>
    <n v="27"/>
    <s v="Female"/>
    <s v="Mumbai"/>
    <x v="0"/>
    <x v="371"/>
    <x v="97"/>
    <n v="21"/>
    <n v="2410.38"/>
    <n v="114.78"/>
    <x v="3"/>
    <x v="2"/>
    <x v="7"/>
    <x v="0"/>
    <x v="1"/>
  </r>
  <r>
    <s v="CUST01217"/>
    <n v="55"/>
    <s v="Female"/>
    <s v="Kolkata"/>
    <x v="1"/>
    <x v="438"/>
    <x v="169"/>
    <n v="11"/>
    <n v="2408.23"/>
    <n v="218.93"/>
    <x v="4"/>
    <x v="1"/>
    <x v="9"/>
    <x v="0"/>
    <x v="1"/>
  </r>
  <r>
    <s v="CUST00059"/>
    <n v="47"/>
    <s v="Female"/>
    <s v="Bangalore"/>
    <x v="0"/>
    <x v="234"/>
    <x v="371"/>
    <n v="9"/>
    <n v="2401.74"/>
    <n v="266.86"/>
    <x v="2"/>
    <x v="1"/>
    <x v="5"/>
    <x v="0"/>
    <x v="1"/>
  </r>
  <r>
    <s v="CUST00869"/>
    <n v="18"/>
    <s v="Female"/>
    <s v="Chennai"/>
    <x v="1"/>
    <x v="439"/>
    <x v="454"/>
    <n v="24"/>
    <n v="2400.96"/>
    <n v="100.04"/>
    <x v="2"/>
    <x v="1"/>
    <x v="3"/>
    <x v="0"/>
    <x v="1"/>
  </r>
  <r>
    <s v="CUST01208"/>
    <n v="59"/>
    <s v="Female"/>
    <s v="Hyderabad"/>
    <x v="0"/>
    <x v="440"/>
    <x v="457"/>
    <n v="8"/>
    <n v="2399.36"/>
    <n v="299.92"/>
    <x v="4"/>
    <x v="0"/>
    <x v="9"/>
    <x v="1"/>
    <x v="1"/>
  </r>
  <r>
    <s v="CUST01101"/>
    <n v="65"/>
    <s v="Male"/>
    <s v="Mumbai"/>
    <x v="3"/>
    <x v="281"/>
    <x v="435"/>
    <n v="16"/>
    <n v="2393.76"/>
    <n v="149.61"/>
    <x v="3"/>
    <x v="1"/>
    <x v="7"/>
    <x v="0"/>
    <x v="1"/>
  </r>
  <r>
    <s v="CUST00506"/>
    <n v="18"/>
    <s v="Female"/>
    <s v="Mumbai"/>
    <x v="1"/>
    <x v="85"/>
    <x v="458"/>
    <n v="15"/>
    <n v="2390.1"/>
    <n v="159.34"/>
    <x v="0"/>
    <x v="0"/>
    <x v="2"/>
    <x v="0"/>
    <x v="1"/>
  </r>
  <r>
    <s v="CUST00088"/>
    <n v="38"/>
    <s v="Male"/>
    <s v="Bangalore"/>
    <x v="2"/>
    <x v="315"/>
    <x v="192"/>
    <n v="23"/>
    <n v="2388.55"/>
    <n v="103.85"/>
    <x v="4"/>
    <x v="1"/>
    <x v="5"/>
    <x v="1"/>
    <x v="1"/>
  </r>
  <r>
    <s v="CUST00557"/>
    <n v="19"/>
    <s v="Male"/>
    <s v="Delhi"/>
    <x v="1"/>
    <x v="244"/>
    <x v="278"/>
    <n v="24"/>
    <n v="2383.68"/>
    <n v="99.31999999999999"/>
    <x v="0"/>
    <x v="0"/>
    <x v="8"/>
    <x v="0"/>
    <x v="1"/>
  </r>
  <r>
    <s v="CUST01448"/>
    <n v="42"/>
    <s v="Female"/>
    <s v="Mumbai"/>
    <x v="1"/>
    <x v="333"/>
    <x v="459"/>
    <n v="10"/>
    <n v="2383.1"/>
    <n v="238.31"/>
    <x v="3"/>
    <x v="0"/>
    <x v="7"/>
    <x v="0"/>
    <x v="1"/>
  </r>
  <r>
    <s v="CUST00484"/>
    <n v="20"/>
    <s v="Female"/>
    <s v="Mumbai"/>
    <x v="0"/>
    <x v="118"/>
    <x v="460"/>
    <n v="13"/>
    <n v="2382.12"/>
    <n v="183.24"/>
    <x v="4"/>
    <x v="2"/>
    <x v="4"/>
    <x v="0"/>
    <x v="1"/>
  </r>
  <r>
    <s v="CUST01747"/>
    <n v="57"/>
    <s v="Male"/>
    <s v="Pune"/>
    <x v="2"/>
    <x v="441"/>
    <x v="461"/>
    <n v="8"/>
    <n v="2378.72"/>
    <n v="297.34"/>
    <x v="4"/>
    <x v="2"/>
    <x v="9"/>
    <x v="0"/>
    <x v="1"/>
  </r>
  <r>
    <s v="CUST00220"/>
    <n v="61"/>
    <s v="Male"/>
    <s v="Chennai"/>
    <x v="0"/>
    <x v="442"/>
    <x v="316"/>
    <n v="8"/>
    <n v="2378.08"/>
    <n v="297.26"/>
    <x v="3"/>
    <x v="1"/>
    <x v="7"/>
    <x v="0"/>
    <x v="1"/>
  </r>
  <r>
    <s v="CUST00430"/>
    <n v="57"/>
    <s v="Female"/>
    <s v="Mumbai"/>
    <x v="2"/>
    <x v="443"/>
    <x v="462"/>
    <n v="13"/>
    <n v="2374.84"/>
    <n v="182.68"/>
    <x v="1"/>
    <x v="1"/>
    <x v="2"/>
    <x v="0"/>
    <x v="1"/>
  </r>
  <r>
    <s v="CUST01155"/>
    <n v="19"/>
    <s v="Female"/>
    <s v="Pune"/>
    <x v="3"/>
    <x v="444"/>
    <x v="4"/>
    <n v="20"/>
    <n v="2369.2"/>
    <n v="118.46"/>
    <x v="1"/>
    <x v="1"/>
    <x v="3"/>
    <x v="0"/>
    <x v="1"/>
  </r>
  <r>
    <s v="CUST00279"/>
    <n v="21"/>
    <s v="Male"/>
    <s v="Mumbai"/>
    <x v="0"/>
    <x v="21"/>
    <x v="221"/>
    <n v="19"/>
    <n v="2363.41"/>
    <n v="124.39"/>
    <x v="2"/>
    <x v="2"/>
    <x v="2"/>
    <x v="0"/>
    <x v="1"/>
  </r>
  <r>
    <s v="CUST00486"/>
    <n v="63"/>
    <s v="Male"/>
    <s v="Bangalore"/>
    <x v="3"/>
    <x v="445"/>
    <x v="463"/>
    <n v="8"/>
    <n v="2354.72"/>
    <n v="294.34"/>
    <x v="0"/>
    <x v="0"/>
    <x v="8"/>
    <x v="0"/>
    <x v="1"/>
  </r>
  <r>
    <s v="CUST00547"/>
    <n v="54"/>
    <s v="Female"/>
    <s v="Hyderabad"/>
    <x v="2"/>
    <x v="406"/>
    <x v="25"/>
    <n v="16"/>
    <n v="2354.08"/>
    <n v="147.13"/>
    <x v="4"/>
    <x v="1"/>
    <x v="5"/>
    <x v="0"/>
    <x v="1"/>
  </r>
  <r>
    <s v="CUST00499"/>
    <n v="53"/>
    <s v="Female"/>
    <s v="Pune"/>
    <x v="0"/>
    <x v="234"/>
    <x v="264"/>
    <n v="18"/>
    <n v="2353.86"/>
    <n v="130.77"/>
    <x v="1"/>
    <x v="1"/>
    <x v="2"/>
    <x v="0"/>
    <x v="1"/>
  </r>
  <r>
    <s v="CUST01932"/>
    <n v="41"/>
    <s v="Female"/>
    <s v="Bangalore"/>
    <x v="2"/>
    <x v="446"/>
    <x v="464"/>
    <n v="19"/>
    <n v="2352.2"/>
    <n v="123.8"/>
    <x v="0"/>
    <x v="2"/>
    <x v="3"/>
    <x v="1"/>
    <x v="1"/>
  </r>
  <r>
    <s v="CUST00105"/>
    <n v="26"/>
    <s v="Female"/>
    <s v="Kolkata"/>
    <x v="1"/>
    <x v="436"/>
    <x v="129"/>
    <n v="9"/>
    <n v="2343.15"/>
    <n v="260.35"/>
    <x v="3"/>
    <x v="0"/>
    <x v="6"/>
    <x v="1"/>
    <x v="1"/>
  </r>
  <r>
    <s v="CUST00605"/>
    <n v="20"/>
    <s v="Male"/>
    <s v="Chennai"/>
    <x v="0"/>
    <x v="447"/>
    <x v="465"/>
    <n v="11"/>
    <n v="2342.56"/>
    <n v="212.96"/>
    <x v="4"/>
    <x v="2"/>
    <x v="7"/>
    <x v="0"/>
    <x v="1"/>
  </r>
  <r>
    <s v="CUST00311"/>
    <n v="27"/>
    <s v="Male"/>
    <s v="Bangalore"/>
    <x v="0"/>
    <x v="302"/>
    <x v="466"/>
    <n v="13"/>
    <n v="2341.3"/>
    <n v="180.1"/>
    <x v="2"/>
    <x v="2"/>
    <x v="1"/>
    <x v="0"/>
    <x v="1"/>
  </r>
  <r>
    <s v="CUST01749"/>
    <n v="53"/>
    <s v="Male"/>
    <s v="Delhi"/>
    <x v="3"/>
    <x v="381"/>
    <x v="364"/>
    <n v="13"/>
    <n v="2339.09"/>
    <n v="179.93"/>
    <x v="2"/>
    <x v="1"/>
    <x v="1"/>
    <x v="0"/>
    <x v="1"/>
  </r>
  <r>
    <s v="CUST00978"/>
    <n v="42"/>
    <s v="Female"/>
    <s v="Chennai"/>
    <x v="1"/>
    <x v="448"/>
    <x v="187"/>
    <n v="11"/>
    <n v="2338.82"/>
    <n v="212.62"/>
    <x v="1"/>
    <x v="0"/>
    <x v="2"/>
    <x v="0"/>
    <x v="1"/>
  </r>
  <r>
    <s v="CUST01315"/>
    <n v="65"/>
    <s v="Male"/>
    <s v="Mumbai"/>
    <x v="1"/>
    <x v="257"/>
    <x v="350"/>
    <n v="10"/>
    <n v="2337.6"/>
    <n v="233.76"/>
    <x v="3"/>
    <x v="0"/>
    <x v="9"/>
    <x v="0"/>
    <x v="1"/>
  </r>
  <r>
    <s v="CUST00511"/>
    <n v="57"/>
    <s v="Male"/>
    <s v="Delhi"/>
    <x v="0"/>
    <x v="211"/>
    <x v="467"/>
    <n v="14"/>
    <n v="2336.6"/>
    <n v="166.9"/>
    <x v="2"/>
    <x v="0"/>
    <x v="4"/>
    <x v="0"/>
    <x v="1"/>
  </r>
  <r>
    <s v="CUST01158"/>
    <n v="49"/>
    <s v="Female"/>
    <s v="Bangalore"/>
    <x v="3"/>
    <x v="285"/>
    <x v="305"/>
    <n v="18"/>
    <n v="2336.58"/>
    <n v="129.81"/>
    <x v="1"/>
    <x v="2"/>
    <x v="7"/>
    <x v="0"/>
    <x v="1"/>
  </r>
  <r>
    <s v="CUST00444"/>
    <n v="37"/>
    <s v="Female"/>
    <s v="Hyderabad"/>
    <x v="1"/>
    <x v="36"/>
    <x v="468"/>
    <n v="14"/>
    <n v="2331.98"/>
    <n v="166.57"/>
    <x v="3"/>
    <x v="1"/>
    <x v="1"/>
    <x v="0"/>
    <x v="1"/>
  </r>
  <r>
    <s v="CUST01399"/>
    <n v="56"/>
    <s v="Female"/>
    <s v="Delhi"/>
    <x v="1"/>
    <x v="116"/>
    <x v="185"/>
    <n v="23"/>
    <n v="2331.97"/>
    <n v="101.39"/>
    <x v="3"/>
    <x v="1"/>
    <x v="6"/>
    <x v="0"/>
    <x v="1"/>
  </r>
  <r>
    <s v="CUST01988"/>
    <n v="27"/>
    <s v="Male"/>
    <s v="Mumbai"/>
    <x v="3"/>
    <x v="87"/>
    <x v="469"/>
    <n v="13"/>
    <n v="2326.48"/>
    <n v="178.96"/>
    <x v="1"/>
    <x v="1"/>
    <x v="4"/>
    <x v="0"/>
    <x v="1"/>
  </r>
  <r>
    <s v="CUST00399"/>
    <n v="51"/>
    <s v="Female"/>
    <s v="Kolkata"/>
    <x v="2"/>
    <x v="15"/>
    <x v="470"/>
    <n v="21"/>
    <n v="2325.54"/>
    <n v="110.74"/>
    <x v="0"/>
    <x v="0"/>
    <x v="4"/>
    <x v="0"/>
    <x v="1"/>
  </r>
  <r>
    <s v="CUST01671"/>
    <n v="23"/>
    <s v="Female"/>
    <s v="Bangalore"/>
    <x v="2"/>
    <x v="415"/>
    <x v="471"/>
    <n v="13"/>
    <n v="2324.66"/>
    <n v="178.82"/>
    <x v="4"/>
    <x v="0"/>
    <x v="6"/>
    <x v="0"/>
    <x v="1"/>
  </r>
  <r>
    <s v="CUST00285"/>
    <n v="43"/>
    <s v="Female"/>
    <s v="Bangalore"/>
    <x v="3"/>
    <x v="222"/>
    <x v="472"/>
    <n v="9"/>
    <n v="2324.34"/>
    <n v="258.26"/>
    <x v="4"/>
    <x v="2"/>
    <x v="8"/>
    <x v="0"/>
    <x v="1"/>
  </r>
  <r>
    <s v="CUST00824"/>
    <n v="45"/>
    <s v="Male"/>
    <s v="Mumbai"/>
    <x v="2"/>
    <x v="397"/>
    <x v="49"/>
    <n v="17"/>
    <n v="2324.24"/>
    <n v="136.72"/>
    <x v="1"/>
    <x v="0"/>
    <x v="5"/>
    <x v="0"/>
    <x v="1"/>
  </r>
  <r>
    <s v="CUST01918"/>
    <n v="40"/>
    <s v="Male"/>
    <s v="Chennai"/>
    <x v="2"/>
    <x v="449"/>
    <x v="473"/>
    <n v="22"/>
    <n v="2320.56"/>
    <n v="105.48"/>
    <x v="3"/>
    <x v="1"/>
    <x v="8"/>
    <x v="0"/>
    <x v="1"/>
  </r>
  <r>
    <s v="CUST01210"/>
    <n v="44"/>
    <s v="Male"/>
    <s v="Mumbai"/>
    <x v="1"/>
    <x v="82"/>
    <x v="244"/>
    <n v="12"/>
    <n v="2314.92"/>
    <n v="192.91"/>
    <x v="1"/>
    <x v="1"/>
    <x v="8"/>
    <x v="0"/>
    <x v="1"/>
  </r>
  <r>
    <s v="CUST01123"/>
    <n v="51"/>
    <s v="Female"/>
    <s v="Kolkata"/>
    <x v="1"/>
    <x v="274"/>
    <x v="474"/>
    <n v="19"/>
    <n v="2314.39"/>
    <n v="121.81"/>
    <x v="3"/>
    <x v="0"/>
    <x v="7"/>
    <x v="0"/>
    <x v="1"/>
  </r>
  <r>
    <s v="CUST01356"/>
    <n v="65"/>
    <s v="Male"/>
    <s v="Kolkata"/>
    <x v="1"/>
    <x v="450"/>
    <x v="369"/>
    <n v="20"/>
    <n v="2313.2"/>
    <n v="115.66"/>
    <x v="1"/>
    <x v="0"/>
    <x v="7"/>
    <x v="0"/>
    <x v="1"/>
  </r>
  <r>
    <s v="CUST01539"/>
    <n v="21"/>
    <s v="Female"/>
    <s v="Pune"/>
    <x v="0"/>
    <x v="118"/>
    <x v="244"/>
    <n v="13"/>
    <n v="2312.7"/>
    <n v="177.9"/>
    <x v="0"/>
    <x v="1"/>
    <x v="5"/>
    <x v="0"/>
    <x v="1"/>
  </r>
  <r>
    <s v="CUST01654"/>
    <n v="43"/>
    <s v="Male"/>
    <s v="Kolkata"/>
    <x v="0"/>
    <x v="124"/>
    <x v="103"/>
    <n v="13"/>
    <n v="2310.88"/>
    <n v="177.76"/>
    <x v="1"/>
    <x v="0"/>
    <x v="2"/>
    <x v="0"/>
    <x v="1"/>
  </r>
  <r>
    <s v="CUST00481"/>
    <n v="46"/>
    <s v="Male"/>
    <s v="Hyderabad"/>
    <x v="0"/>
    <x v="401"/>
    <x v="475"/>
    <n v="12"/>
    <n v="2310.48"/>
    <n v="192.54"/>
    <x v="1"/>
    <x v="2"/>
    <x v="9"/>
    <x v="0"/>
    <x v="1"/>
  </r>
  <r>
    <s v="CUST01968"/>
    <n v="52"/>
    <s v="Male"/>
    <s v="Delhi"/>
    <x v="2"/>
    <x v="451"/>
    <x v="476"/>
    <n v="19"/>
    <n v="2297.29"/>
    <n v="120.91"/>
    <x v="2"/>
    <x v="1"/>
    <x v="4"/>
    <x v="0"/>
    <x v="1"/>
  </r>
  <r>
    <s v="CUST01911"/>
    <n v="48"/>
    <s v="Male"/>
    <s v="Bangalore"/>
    <x v="3"/>
    <x v="395"/>
    <x v="49"/>
    <n v="12"/>
    <n v="2293.92"/>
    <n v="191.16"/>
    <x v="1"/>
    <x v="2"/>
    <x v="5"/>
    <x v="0"/>
    <x v="1"/>
  </r>
  <r>
    <s v="CUST00066"/>
    <n v="21"/>
    <s v="Female"/>
    <s v="Kolkata"/>
    <x v="3"/>
    <x v="452"/>
    <x v="381"/>
    <n v="16"/>
    <n v="2293.28"/>
    <n v="143.33"/>
    <x v="3"/>
    <x v="2"/>
    <x v="7"/>
    <x v="0"/>
    <x v="1"/>
  </r>
  <r>
    <s v="CUST00540"/>
    <n v="42"/>
    <s v="Female"/>
    <s v="Pune"/>
    <x v="1"/>
    <x v="272"/>
    <x v="477"/>
    <n v="21"/>
    <n v="2290.68"/>
    <n v="109.08"/>
    <x v="1"/>
    <x v="1"/>
    <x v="5"/>
    <x v="0"/>
    <x v="1"/>
  </r>
  <r>
    <s v="CUST00318"/>
    <n v="35"/>
    <s v="Female"/>
    <s v="Kolkata"/>
    <x v="0"/>
    <x v="351"/>
    <x v="478"/>
    <n v="13"/>
    <n v="2285.14"/>
    <n v="175.78"/>
    <x v="0"/>
    <x v="0"/>
    <x v="3"/>
    <x v="0"/>
    <x v="1"/>
  </r>
  <r>
    <s v="CUST01541"/>
    <n v="41"/>
    <s v="Male"/>
    <s v="Pune"/>
    <x v="1"/>
    <x v="279"/>
    <x v="330"/>
    <n v="11"/>
    <n v="2284.04"/>
    <n v="207.64"/>
    <x v="0"/>
    <x v="2"/>
    <x v="1"/>
    <x v="0"/>
    <x v="1"/>
  </r>
  <r>
    <s v="CUST01509"/>
    <n v="53"/>
    <s v="Male"/>
    <s v="Bangalore"/>
    <x v="2"/>
    <x v="180"/>
    <x v="479"/>
    <n v="9"/>
    <n v="2283.93"/>
    <n v="253.77"/>
    <x v="1"/>
    <x v="0"/>
    <x v="2"/>
    <x v="1"/>
    <x v="1"/>
  </r>
  <r>
    <s v="CUST00775"/>
    <n v="45"/>
    <s v="Female"/>
    <s v="Bangalore"/>
    <x v="3"/>
    <x v="453"/>
    <x v="281"/>
    <n v="20"/>
    <n v="2283.6"/>
    <n v="114.18"/>
    <x v="4"/>
    <x v="1"/>
    <x v="7"/>
    <x v="0"/>
    <x v="1"/>
  </r>
  <r>
    <s v="CUST01390"/>
    <n v="26"/>
    <s v="Male"/>
    <s v="Delhi"/>
    <x v="2"/>
    <x v="320"/>
    <x v="480"/>
    <n v="16"/>
    <n v="2278.56"/>
    <n v="142.41"/>
    <x v="3"/>
    <x v="2"/>
    <x v="8"/>
    <x v="0"/>
    <x v="1"/>
  </r>
  <r>
    <s v="CUST01975"/>
    <n v="48"/>
    <s v="Male"/>
    <s v="Hyderabad"/>
    <x v="0"/>
    <x v="454"/>
    <x v="308"/>
    <n v="10"/>
    <n v="2277.3"/>
    <n v="227.73"/>
    <x v="1"/>
    <x v="0"/>
    <x v="5"/>
    <x v="0"/>
    <x v="1"/>
  </r>
  <r>
    <s v="CUST01606"/>
    <n v="34"/>
    <s v="Female"/>
    <s v="Pune"/>
    <x v="3"/>
    <x v="325"/>
    <x v="481"/>
    <n v="8"/>
    <n v="2269.84"/>
    <n v="283.73"/>
    <x v="0"/>
    <x v="0"/>
    <x v="8"/>
    <x v="0"/>
    <x v="1"/>
  </r>
  <r>
    <s v="CUST00182"/>
    <n v="36"/>
    <s v="Male"/>
    <s v="Chennai"/>
    <x v="3"/>
    <x v="225"/>
    <x v="482"/>
    <n v="8"/>
    <n v="2268.96"/>
    <n v="283.62"/>
    <x v="4"/>
    <x v="1"/>
    <x v="9"/>
    <x v="0"/>
    <x v="1"/>
  </r>
  <r>
    <s v="CUST00769"/>
    <n v="56"/>
    <s v="Female"/>
    <s v="Chennai"/>
    <x v="1"/>
    <x v="147"/>
    <x v="483"/>
    <n v="18"/>
    <n v="2266.2"/>
    <n v="125.9"/>
    <x v="3"/>
    <x v="0"/>
    <x v="4"/>
    <x v="0"/>
    <x v="1"/>
  </r>
  <r>
    <s v="CUST00814"/>
    <n v="27"/>
    <s v="Female"/>
    <s v="Delhi"/>
    <x v="3"/>
    <x v="92"/>
    <x v="484"/>
    <n v="14"/>
    <n v="2260.72"/>
    <n v="161.48"/>
    <x v="2"/>
    <x v="2"/>
    <x v="1"/>
    <x v="0"/>
    <x v="1"/>
  </r>
  <r>
    <s v="CUST00173"/>
    <n v="57"/>
    <s v="Male"/>
    <s v="Mumbai"/>
    <x v="0"/>
    <x v="455"/>
    <x v="485"/>
    <n v="9"/>
    <n v="2259.81"/>
    <n v="251.09"/>
    <x v="2"/>
    <x v="1"/>
    <x v="9"/>
    <x v="0"/>
    <x v="1"/>
  </r>
  <r>
    <s v="CUST01312"/>
    <n v="51"/>
    <s v="Male"/>
    <s v="Chennai"/>
    <x v="2"/>
    <x v="247"/>
    <x v="486"/>
    <n v="9"/>
    <n v="2257.65"/>
    <n v="250.85"/>
    <x v="4"/>
    <x v="2"/>
    <x v="8"/>
    <x v="0"/>
    <x v="1"/>
  </r>
  <r>
    <s v="CUST00171"/>
    <n v="49"/>
    <s v="Female"/>
    <s v="Bangalore"/>
    <x v="0"/>
    <x v="181"/>
    <x v="105"/>
    <n v="19"/>
    <n v="2257.39"/>
    <n v="118.81"/>
    <x v="3"/>
    <x v="1"/>
    <x v="5"/>
    <x v="1"/>
    <x v="1"/>
  </r>
  <r>
    <s v="CUST00314"/>
    <n v="35"/>
    <s v="Male"/>
    <s v="Mumbai"/>
    <x v="0"/>
    <x v="417"/>
    <x v="288"/>
    <n v="15"/>
    <n v="2253.3"/>
    <n v="150.22"/>
    <x v="3"/>
    <x v="0"/>
    <x v="9"/>
    <x v="0"/>
    <x v="1"/>
  </r>
  <r>
    <s v="CUST00082"/>
    <n v="37"/>
    <s v="Female"/>
    <s v="Kolkata"/>
    <x v="1"/>
    <x v="456"/>
    <x v="310"/>
    <n v="9"/>
    <n v="2247.75"/>
    <n v="249.75"/>
    <x v="2"/>
    <x v="0"/>
    <x v="2"/>
    <x v="0"/>
    <x v="1"/>
  </r>
  <r>
    <s v="CUST01281"/>
    <n v="46"/>
    <s v="Male"/>
    <s v="Kolkata"/>
    <x v="1"/>
    <x v="91"/>
    <x v="42"/>
    <n v="11"/>
    <n v="2246.64"/>
    <n v="204.24"/>
    <x v="0"/>
    <x v="0"/>
    <x v="1"/>
    <x v="0"/>
    <x v="1"/>
  </r>
  <r>
    <s v="CUST00505"/>
    <n v="36"/>
    <s v="Male"/>
    <s v="Delhi"/>
    <x v="1"/>
    <x v="403"/>
    <x v="110"/>
    <n v="10"/>
    <n v="2244.4"/>
    <n v="224.44"/>
    <x v="1"/>
    <x v="2"/>
    <x v="4"/>
    <x v="0"/>
    <x v="1"/>
  </r>
  <r>
    <s v="CUST01049"/>
    <n v="47"/>
    <s v="Male"/>
    <s v="Bangalore"/>
    <x v="3"/>
    <x v="323"/>
    <x v="487"/>
    <n v="15"/>
    <n v="2243.4"/>
    <n v="149.56"/>
    <x v="0"/>
    <x v="2"/>
    <x v="7"/>
    <x v="0"/>
    <x v="1"/>
  </r>
  <r>
    <s v="CUST00138"/>
    <n v="42"/>
    <s v="Female"/>
    <s v="Mumbai"/>
    <x v="1"/>
    <x v="457"/>
    <x v="364"/>
    <n v="15"/>
    <n v="2239.05"/>
    <n v="149.27"/>
    <x v="0"/>
    <x v="2"/>
    <x v="1"/>
    <x v="0"/>
    <x v="1"/>
  </r>
  <r>
    <s v="CUST01722"/>
    <n v="44"/>
    <s v="Female"/>
    <s v="Delhi"/>
    <x v="3"/>
    <x v="384"/>
    <x v="262"/>
    <n v="8"/>
    <n v="2232.8"/>
    <n v="279.1"/>
    <x v="1"/>
    <x v="2"/>
    <x v="5"/>
    <x v="0"/>
    <x v="1"/>
  </r>
  <r>
    <s v="CUST00046"/>
    <n v="51"/>
    <s v="Female"/>
    <s v="Chennai"/>
    <x v="1"/>
    <x v="264"/>
    <x v="120"/>
    <n v="25"/>
    <n v="2230.75"/>
    <n v="89.23"/>
    <x v="4"/>
    <x v="1"/>
    <x v="8"/>
    <x v="0"/>
    <x v="1"/>
  </r>
  <r>
    <s v="CUST01163"/>
    <n v="42"/>
    <s v="Male"/>
    <s v="Kolkata"/>
    <x v="1"/>
    <x v="458"/>
    <x v="388"/>
    <n v="15"/>
    <n v="2228.55"/>
    <n v="148.57"/>
    <x v="2"/>
    <x v="0"/>
    <x v="8"/>
    <x v="0"/>
    <x v="1"/>
  </r>
  <r>
    <s v="CUST00808"/>
    <n v="46"/>
    <s v="Female"/>
    <s v="Mumbai"/>
    <x v="2"/>
    <x v="145"/>
    <x v="160"/>
    <n v="8"/>
    <n v="2228.48"/>
    <n v="278.56"/>
    <x v="4"/>
    <x v="0"/>
    <x v="6"/>
    <x v="0"/>
    <x v="1"/>
  </r>
  <r>
    <s v="CUST00757"/>
    <n v="19"/>
    <s v="Female"/>
    <s v="Pune"/>
    <x v="2"/>
    <x v="446"/>
    <x v="488"/>
    <n v="11"/>
    <n v="2224.86"/>
    <n v="202.26"/>
    <x v="0"/>
    <x v="2"/>
    <x v="8"/>
    <x v="0"/>
    <x v="1"/>
  </r>
  <r>
    <s v="CUST00872"/>
    <n v="25"/>
    <s v="Female"/>
    <s v="Chennai"/>
    <x v="1"/>
    <x v="70"/>
    <x v="489"/>
    <n v="14"/>
    <n v="2222.36"/>
    <n v="158.74"/>
    <x v="0"/>
    <x v="2"/>
    <x v="1"/>
    <x v="1"/>
    <x v="1"/>
  </r>
  <r>
    <s v="CUST00723"/>
    <n v="56"/>
    <s v="Female"/>
    <s v="Delhi"/>
    <x v="0"/>
    <x v="459"/>
    <x v="490"/>
    <n v="18"/>
    <n v="2221.38"/>
    <n v="123.41"/>
    <x v="4"/>
    <x v="0"/>
    <x v="1"/>
    <x v="0"/>
    <x v="1"/>
  </r>
  <r>
    <s v="CUST00713"/>
    <n v="40"/>
    <s v="Male"/>
    <s v="Kolkata"/>
    <x v="2"/>
    <x v="460"/>
    <x v="491"/>
    <n v="10"/>
    <n v="2220.3"/>
    <n v="222.03"/>
    <x v="0"/>
    <x v="0"/>
    <x v="5"/>
    <x v="0"/>
    <x v="1"/>
  </r>
  <r>
    <s v="CUST01771"/>
    <n v="55"/>
    <s v="Male"/>
    <s v="Pune"/>
    <x v="1"/>
    <x v="461"/>
    <x v="492"/>
    <n v="15"/>
    <n v="2219.1"/>
    <n v="147.94"/>
    <x v="1"/>
    <x v="2"/>
    <x v="6"/>
    <x v="0"/>
    <x v="1"/>
  </r>
  <r>
    <s v="CUST00588"/>
    <n v="62"/>
    <s v="Male"/>
    <s v="Hyderabad"/>
    <x v="3"/>
    <x v="398"/>
    <x v="301"/>
    <n v="17"/>
    <n v="2216.97"/>
    <n v="130.41"/>
    <x v="1"/>
    <x v="2"/>
    <x v="3"/>
    <x v="0"/>
    <x v="1"/>
  </r>
  <r>
    <s v="CUST01266"/>
    <n v="30"/>
    <s v="Female"/>
    <s v="Bangalore"/>
    <x v="1"/>
    <x v="462"/>
    <x v="493"/>
    <n v="17"/>
    <n v="2216.29"/>
    <n v="130.37"/>
    <x v="2"/>
    <x v="2"/>
    <x v="1"/>
    <x v="0"/>
    <x v="1"/>
  </r>
  <r>
    <s v="CUST01597"/>
    <n v="42"/>
    <s v="Male"/>
    <s v="Delhi"/>
    <x v="1"/>
    <x v="26"/>
    <x v="167"/>
    <n v="21"/>
    <n v="2212.56"/>
    <n v="105.36"/>
    <x v="2"/>
    <x v="1"/>
    <x v="2"/>
    <x v="1"/>
    <x v="1"/>
  </r>
  <r>
    <s v="CUST01576"/>
    <n v="30"/>
    <s v="Male"/>
    <s v="Bangalore"/>
    <x v="2"/>
    <x v="389"/>
    <x v="124"/>
    <n v="17"/>
    <n v="2211.53"/>
    <n v="130.09"/>
    <x v="1"/>
    <x v="0"/>
    <x v="0"/>
    <x v="0"/>
    <x v="1"/>
  </r>
  <r>
    <s v="CUST00283"/>
    <n v="27"/>
    <s v="Female"/>
    <s v="Delhi"/>
    <x v="0"/>
    <x v="383"/>
    <x v="162"/>
    <n v="14"/>
    <n v="2208.78"/>
    <n v="157.77"/>
    <x v="1"/>
    <x v="0"/>
    <x v="7"/>
    <x v="1"/>
    <x v="1"/>
  </r>
  <r>
    <s v="CUST00807"/>
    <n v="26"/>
    <s v="Female"/>
    <s v="Hyderabad"/>
    <x v="2"/>
    <x v="222"/>
    <x v="494"/>
    <n v="25"/>
    <n v="2204.75"/>
    <n v="88.19"/>
    <x v="1"/>
    <x v="2"/>
    <x v="7"/>
    <x v="1"/>
    <x v="1"/>
  </r>
  <r>
    <s v="CUST01886"/>
    <n v="47"/>
    <s v="Female"/>
    <s v="Mumbai"/>
    <x v="1"/>
    <x v="463"/>
    <x v="135"/>
    <n v="13"/>
    <n v="2203.63"/>
    <n v="169.51"/>
    <x v="1"/>
    <x v="0"/>
    <x v="0"/>
    <x v="0"/>
    <x v="1"/>
  </r>
  <r>
    <s v="CUST01481"/>
    <n v="29"/>
    <s v="Male"/>
    <s v="Chennai"/>
    <x v="2"/>
    <x v="464"/>
    <x v="495"/>
    <n v="19"/>
    <n v="2195.64"/>
    <n v="115.56"/>
    <x v="2"/>
    <x v="1"/>
    <x v="1"/>
    <x v="0"/>
    <x v="1"/>
  </r>
  <r>
    <s v="CUST01047"/>
    <n v="23"/>
    <s v="Male"/>
    <s v="Kolkata"/>
    <x v="2"/>
    <x v="321"/>
    <x v="496"/>
    <n v="9"/>
    <n v="2194.92"/>
    <n v="243.88"/>
    <x v="4"/>
    <x v="0"/>
    <x v="7"/>
    <x v="0"/>
    <x v="1"/>
  </r>
  <r>
    <s v="CUST00509"/>
    <n v="62"/>
    <s v="Male"/>
    <s v="Hyderabad"/>
    <x v="2"/>
    <x v="68"/>
    <x v="83"/>
    <n v="22"/>
    <n v="2191.86"/>
    <n v="99.63"/>
    <x v="3"/>
    <x v="2"/>
    <x v="1"/>
    <x v="0"/>
    <x v="1"/>
  </r>
  <r>
    <s v="CUST01537"/>
    <n v="54"/>
    <s v="Male"/>
    <s v="Mumbai"/>
    <x v="2"/>
    <x v="430"/>
    <x v="497"/>
    <n v="12"/>
    <n v="2186.4"/>
    <n v="182.2"/>
    <x v="0"/>
    <x v="2"/>
    <x v="1"/>
    <x v="0"/>
    <x v="1"/>
  </r>
  <r>
    <s v="CUST00905"/>
    <n v="19"/>
    <s v="Male"/>
    <s v="Delhi"/>
    <x v="2"/>
    <x v="336"/>
    <x v="26"/>
    <n v="23"/>
    <n v="2182.47"/>
    <n v="94.89"/>
    <x v="3"/>
    <x v="0"/>
    <x v="7"/>
    <x v="0"/>
    <x v="1"/>
  </r>
  <r>
    <s v="CUST01470"/>
    <n v="29"/>
    <s v="Male"/>
    <s v="Chennai"/>
    <x v="1"/>
    <x v="272"/>
    <x v="136"/>
    <n v="24"/>
    <n v="2179.68"/>
    <n v="90.81999999999999"/>
    <x v="1"/>
    <x v="0"/>
    <x v="6"/>
    <x v="1"/>
    <x v="1"/>
  </r>
  <r>
    <s v="CUST01583"/>
    <n v="41"/>
    <s v="Male"/>
    <s v="Hyderabad"/>
    <x v="2"/>
    <x v="465"/>
    <x v="163"/>
    <n v="9"/>
    <n v="2179.53"/>
    <n v="242.17"/>
    <x v="3"/>
    <x v="1"/>
    <x v="1"/>
    <x v="1"/>
    <x v="1"/>
  </r>
  <r>
    <s v="CUST01563"/>
    <n v="27"/>
    <s v="Male"/>
    <s v="Bangalore"/>
    <x v="0"/>
    <x v="123"/>
    <x v="498"/>
    <n v="8"/>
    <n v="2176.72"/>
    <n v="272.09"/>
    <x v="2"/>
    <x v="0"/>
    <x v="5"/>
    <x v="0"/>
    <x v="1"/>
  </r>
  <r>
    <s v="CUST00728"/>
    <n v="20"/>
    <s v="Female"/>
    <s v="Chennai"/>
    <x v="2"/>
    <x v="466"/>
    <x v="271"/>
    <n v="8"/>
    <n v="2176.56"/>
    <n v="272.07"/>
    <x v="3"/>
    <x v="2"/>
    <x v="6"/>
    <x v="0"/>
    <x v="1"/>
  </r>
  <r>
    <s v="CUST00648"/>
    <n v="51"/>
    <s v="Female"/>
    <s v="Hyderabad"/>
    <x v="1"/>
    <x v="467"/>
    <x v="469"/>
    <n v="19"/>
    <n v="2171.89"/>
    <n v="114.31"/>
    <x v="4"/>
    <x v="2"/>
    <x v="1"/>
    <x v="1"/>
    <x v="1"/>
  </r>
  <r>
    <s v="CUST00071"/>
    <n v="60"/>
    <s v="Male"/>
    <s v="Hyderabad"/>
    <x v="0"/>
    <x v="311"/>
    <x v="6"/>
    <n v="9"/>
    <n v="2165.31"/>
    <n v="240.59"/>
    <x v="0"/>
    <x v="2"/>
    <x v="5"/>
    <x v="0"/>
    <x v="1"/>
  </r>
  <r>
    <s v="CUST01012"/>
    <n v="27"/>
    <s v="Female"/>
    <s v="Chennai"/>
    <x v="2"/>
    <x v="468"/>
    <x v="65"/>
    <n v="8"/>
    <n v="2164.96"/>
    <n v="270.62"/>
    <x v="3"/>
    <x v="1"/>
    <x v="4"/>
    <x v="0"/>
    <x v="1"/>
  </r>
  <r>
    <s v="CUST00918"/>
    <n v="59"/>
    <s v="Male"/>
    <s v="Bangalore"/>
    <x v="0"/>
    <x v="420"/>
    <x v="499"/>
    <n v="16"/>
    <n v="2163.68"/>
    <n v="135.23"/>
    <x v="1"/>
    <x v="2"/>
    <x v="6"/>
    <x v="0"/>
    <x v="1"/>
  </r>
  <r>
    <s v="CUST00884"/>
    <n v="32"/>
    <s v="Female"/>
    <s v="Hyderabad"/>
    <x v="3"/>
    <x v="127"/>
    <x v="488"/>
    <n v="10"/>
    <n v="2160.4"/>
    <n v="216.04"/>
    <x v="3"/>
    <x v="0"/>
    <x v="7"/>
    <x v="0"/>
    <x v="1"/>
  </r>
  <r>
    <s v="CUST01782"/>
    <n v="36"/>
    <s v="Female"/>
    <s v="Mumbai"/>
    <x v="2"/>
    <x v="156"/>
    <x v="48"/>
    <n v="8"/>
    <n v="2147.68"/>
    <n v="268.46"/>
    <x v="3"/>
    <x v="1"/>
    <x v="3"/>
    <x v="0"/>
    <x v="1"/>
  </r>
  <r>
    <s v="CUST01309"/>
    <n v="30"/>
    <s v="Female"/>
    <s v="Pune"/>
    <x v="1"/>
    <x v="217"/>
    <x v="500"/>
    <n v="11"/>
    <n v="2146.43"/>
    <n v="195.13"/>
    <x v="2"/>
    <x v="1"/>
    <x v="4"/>
    <x v="0"/>
    <x v="1"/>
  </r>
  <r>
    <s v="CUST00585"/>
    <n v="58"/>
    <s v="Male"/>
    <s v="Pune"/>
    <x v="1"/>
    <x v="28"/>
    <x v="124"/>
    <n v="8"/>
    <n v="2145.52"/>
    <n v="268.19"/>
    <x v="3"/>
    <x v="1"/>
    <x v="3"/>
    <x v="0"/>
    <x v="1"/>
  </r>
  <r>
    <s v="CUST00042"/>
    <n v="30"/>
    <s v="Male"/>
    <s v="Delhi"/>
    <x v="0"/>
    <x v="364"/>
    <x v="501"/>
    <n v="25"/>
    <n v="2144"/>
    <n v="85.76000000000001"/>
    <x v="1"/>
    <x v="1"/>
    <x v="4"/>
    <x v="0"/>
    <x v="1"/>
  </r>
  <r>
    <s v="CUST01807"/>
    <n v="38"/>
    <s v="Female"/>
    <s v="Kolkata"/>
    <x v="2"/>
    <x v="469"/>
    <x v="35"/>
    <n v="9"/>
    <n v="2143.98"/>
    <n v="238.22"/>
    <x v="1"/>
    <x v="2"/>
    <x v="0"/>
    <x v="0"/>
    <x v="1"/>
  </r>
  <r>
    <s v="CUST01478"/>
    <n v="32"/>
    <s v="Male"/>
    <s v="Delhi"/>
    <x v="2"/>
    <x v="410"/>
    <x v="502"/>
    <n v="25"/>
    <n v="2141"/>
    <n v="85.64"/>
    <x v="4"/>
    <x v="0"/>
    <x v="1"/>
    <x v="0"/>
    <x v="1"/>
  </r>
  <r>
    <s v="CUST02000"/>
    <n v="43"/>
    <s v="Male"/>
    <s v="Delhi"/>
    <x v="0"/>
    <x v="36"/>
    <x v="22"/>
    <n v="12"/>
    <n v="2136.6"/>
    <n v="178.05"/>
    <x v="2"/>
    <x v="0"/>
    <x v="5"/>
    <x v="0"/>
    <x v="1"/>
  </r>
  <r>
    <s v="CUST01242"/>
    <n v="42"/>
    <s v="Male"/>
    <s v="Bangalore"/>
    <x v="3"/>
    <x v="470"/>
    <x v="463"/>
    <n v="11"/>
    <n v="2135.1"/>
    <n v="194.1"/>
    <x v="4"/>
    <x v="1"/>
    <x v="2"/>
    <x v="0"/>
    <x v="1"/>
  </r>
  <r>
    <s v="CUST01126"/>
    <n v="20"/>
    <s v="Female"/>
    <s v="Chennai"/>
    <x v="0"/>
    <x v="387"/>
    <x v="166"/>
    <n v="12"/>
    <n v="2134.32"/>
    <n v="177.86"/>
    <x v="4"/>
    <x v="2"/>
    <x v="5"/>
    <x v="0"/>
    <x v="1"/>
  </r>
  <r>
    <s v="CUST01425"/>
    <n v="27"/>
    <s v="Male"/>
    <s v="Chennai"/>
    <x v="2"/>
    <x v="471"/>
    <x v="474"/>
    <n v="8"/>
    <n v="2132.88"/>
    <n v="266.61"/>
    <x v="2"/>
    <x v="0"/>
    <x v="7"/>
    <x v="0"/>
    <x v="1"/>
  </r>
  <r>
    <s v="CUST01147"/>
    <n v="39"/>
    <s v="Female"/>
    <s v="Hyderabad"/>
    <x v="3"/>
    <x v="472"/>
    <x v="503"/>
    <n v="13"/>
    <n v="2126.02"/>
    <n v="163.54"/>
    <x v="3"/>
    <x v="2"/>
    <x v="1"/>
    <x v="0"/>
    <x v="1"/>
  </r>
  <r>
    <s v="CUST00413"/>
    <n v="37"/>
    <s v="Female"/>
    <s v="Kolkata"/>
    <x v="3"/>
    <x v="149"/>
    <x v="504"/>
    <n v="12"/>
    <n v="2118.6"/>
    <n v="176.55"/>
    <x v="1"/>
    <x v="0"/>
    <x v="8"/>
    <x v="0"/>
    <x v="1"/>
  </r>
  <r>
    <s v="CUST00331"/>
    <n v="39"/>
    <s v="Female"/>
    <s v="Chennai"/>
    <x v="2"/>
    <x v="167"/>
    <x v="505"/>
    <n v="10"/>
    <n v="2116.4"/>
    <n v="211.64"/>
    <x v="4"/>
    <x v="1"/>
    <x v="1"/>
    <x v="0"/>
    <x v="1"/>
  </r>
  <r>
    <s v="CUST01233"/>
    <n v="62"/>
    <s v="Female"/>
    <s v="Hyderabad"/>
    <x v="0"/>
    <x v="277"/>
    <x v="148"/>
    <n v="8"/>
    <n v="2107.36"/>
    <n v="263.42"/>
    <x v="3"/>
    <x v="1"/>
    <x v="1"/>
    <x v="0"/>
    <x v="1"/>
  </r>
  <r>
    <s v="CUST00271"/>
    <n v="50"/>
    <s v="Female"/>
    <s v="Hyderabad"/>
    <x v="3"/>
    <x v="331"/>
    <x v="506"/>
    <n v="13"/>
    <n v="2104.05"/>
    <n v="161.85"/>
    <x v="3"/>
    <x v="0"/>
    <x v="3"/>
    <x v="0"/>
    <x v="1"/>
  </r>
  <r>
    <s v="CUST00139"/>
    <n v="51"/>
    <s v="Male"/>
    <s v="Bangalore"/>
    <x v="0"/>
    <x v="473"/>
    <x v="507"/>
    <n v="12"/>
    <n v="2103.24"/>
    <n v="175.27"/>
    <x v="1"/>
    <x v="1"/>
    <x v="2"/>
    <x v="1"/>
    <x v="1"/>
  </r>
  <r>
    <s v="CUST01557"/>
    <n v="43"/>
    <s v="Female"/>
    <s v="Pune"/>
    <x v="0"/>
    <x v="16"/>
    <x v="508"/>
    <n v="19"/>
    <n v="2098.55"/>
    <n v="110.45"/>
    <x v="3"/>
    <x v="1"/>
    <x v="1"/>
    <x v="1"/>
    <x v="1"/>
  </r>
  <r>
    <s v="CUST00033"/>
    <n v="29"/>
    <s v="Female"/>
    <s v="Delhi"/>
    <x v="1"/>
    <x v="303"/>
    <x v="416"/>
    <n v="8"/>
    <n v="2096.72"/>
    <n v="262.09"/>
    <x v="4"/>
    <x v="1"/>
    <x v="0"/>
    <x v="0"/>
    <x v="1"/>
  </r>
  <r>
    <s v="CUST00756"/>
    <n v="57"/>
    <s v="Male"/>
    <s v="Hyderabad"/>
    <x v="3"/>
    <x v="302"/>
    <x v="9"/>
    <n v="8"/>
    <n v="2096.64"/>
    <n v="262.08"/>
    <x v="2"/>
    <x v="1"/>
    <x v="4"/>
    <x v="0"/>
    <x v="1"/>
  </r>
  <r>
    <s v="CUST00330"/>
    <n v="43"/>
    <s v="Male"/>
    <s v="Delhi"/>
    <x v="2"/>
    <x v="247"/>
    <x v="494"/>
    <n v="10"/>
    <n v="2096.2"/>
    <n v="209.62"/>
    <x v="0"/>
    <x v="0"/>
    <x v="4"/>
    <x v="0"/>
    <x v="1"/>
  </r>
  <r>
    <s v="CUST00109"/>
    <n v="35"/>
    <s v="Female"/>
    <s v="Hyderabad"/>
    <x v="2"/>
    <x v="474"/>
    <x v="509"/>
    <n v="11"/>
    <n v="2093.52"/>
    <n v="190.32"/>
    <x v="2"/>
    <x v="0"/>
    <x v="4"/>
    <x v="1"/>
    <x v="1"/>
  </r>
  <r>
    <s v="CUST01961"/>
    <n v="21"/>
    <s v="Female"/>
    <s v="Chennai"/>
    <x v="2"/>
    <x v="357"/>
    <x v="327"/>
    <n v="9"/>
    <n v="2090.07"/>
    <n v="232.23"/>
    <x v="3"/>
    <x v="0"/>
    <x v="0"/>
    <x v="1"/>
    <x v="1"/>
  </r>
  <r>
    <s v="CUST01625"/>
    <n v="42"/>
    <s v="Female"/>
    <s v="Kolkata"/>
    <x v="1"/>
    <x v="94"/>
    <x v="77"/>
    <n v="12"/>
    <n v="2086.92"/>
    <n v="173.91"/>
    <x v="1"/>
    <x v="2"/>
    <x v="1"/>
    <x v="0"/>
    <x v="1"/>
  </r>
  <r>
    <s v="CUST01083"/>
    <n v="21"/>
    <s v="Female"/>
    <s v="Hyderabad"/>
    <x v="1"/>
    <x v="475"/>
    <x v="450"/>
    <n v="15"/>
    <n v="2085.9"/>
    <n v="139.06"/>
    <x v="4"/>
    <x v="0"/>
    <x v="6"/>
    <x v="0"/>
    <x v="1"/>
  </r>
  <r>
    <s v="CUST01812"/>
    <n v="25"/>
    <s v="Female"/>
    <s v="Mumbai"/>
    <x v="0"/>
    <x v="476"/>
    <x v="510"/>
    <n v="8"/>
    <n v="2079.2"/>
    <n v="259.9"/>
    <x v="3"/>
    <x v="2"/>
    <x v="7"/>
    <x v="0"/>
    <x v="1"/>
  </r>
  <r>
    <s v="CUST00148"/>
    <n v="29"/>
    <s v="Female"/>
    <s v="Chennai"/>
    <x v="3"/>
    <x v="410"/>
    <x v="347"/>
    <n v="12"/>
    <n v="2074.56"/>
    <n v="172.88"/>
    <x v="1"/>
    <x v="2"/>
    <x v="8"/>
    <x v="0"/>
    <x v="1"/>
  </r>
  <r>
    <s v="CUST00313"/>
    <n v="42"/>
    <s v="Male"/>
    <s v="Bangalore"/>
    <x v="3"/>
    <x v="92"/>
    <x v="227"/>
    <n v="22"/>
    <n v="2072.4"/>
    <n v="94.2"/>
    <x v="4"/>
    <x v="2"/>
    <x v="2"/>
    <x v="0"/>
    <x v="1"/>
  </r>
  <r>
    <s v="CUST01666"/>
    <n v="34"/>
    <s v="Male"/>
    <s v="Pune"/>
    <x v="0"/>
    <x v="275"/>
    <x v="511"/>
    <n v="9"/>
    <n v="2071.17"/>
    <n v="230.13"/>
    <x v="2"/>
    <x v="1"/>
    <x v="6"/>
    <x v="0"/>
    <x v="1"/>
  </r>
  <r>
    <s v="CUST01302"/>
    <n v="47"/>
    <s v="Male"/>
    <s v="Bangalore"/>
    <x v="0"/>
    <x v="240"/>
    <x v="238"/>
    <n v="9"/>
    <n v="2070"/>
    <n v="230"/>
    <x v="1"/>
    <x v="0"/>
    <x v="6"/>
    <x v="0"/>
    <x v="1"/>
  </r>
  <r>
    <s v="CUST00624"/>
    <n v="25"/>
    <s v="Male"/>
    <s v="Pune"/>
    <x v="1"/>
    <x v="477"/>
    <x v="512"/>
    <n v="10"/>
    <n v="2069.2"/>
    <n v="206.92"/>
    <x v="1"/>
    <x v="0"/>
    <x v="9"/>
    <x v="0"/>
    <x v="1"/>
  </r>
  <r>
    <s v="CUST00655"/>
    <n v="44"/>
    <s v="Female"/>
    <s v="Chennai"/>
    <x v="0"/>
    <x v="6"/>
    <x v="16"/>
    <n v="20"/>
    <n v="2068.6"/>
    <n v="103.43"/>
    <x v="2"/>
    <x v="0"/>
    <x v="5"/>
    <x v="1"/>
    <x v="1"/>
  </r>
  <r>
    <s v="CUST00327"/>
    <n v="36"/>
    <s v="Male"/>
    <s v="Hyderabad"/>
    <x v="0"/>
    <x v="461"/>
    <x v="513"/>
    <n v="9"/>
    <n v="2067.39"/>
    <n v="229.71"/>
    <x v="1"/>
    <x v="0"/>
    <x v="0"/>
    <x v="0"/>
    <x v="1"/>
  </r>
  <r>
    <s v="CUST00823"/>
    <n v="43"/>
    <s v="Female"/>
    <s v="Delhi"/>
    <x v="1"/>
    <x v="461"/>
    <x v="514"/>
    <n v="9"/>
    <n v="2066.76"/>
    <n v="229.64"/>
    <x v="2"/>
    <x v="2"/>
    <x v="8"/>
    <x v="0"/>
    <x v="1"/>
  </r>
  <r>
    <s v="CUST00792"/>
    <n v="64"/>
    <s v="Male"/>
    <s v="Hyderabad"/>
    <x v="3"/>
    <x v="69"/>
    <x v="515"/>
    <n v="10"/>
    <n v="2066.6"/>
    <n v="206.66"/>
    <x v="0"/>
    <x v="2"/>
    <x v="9"/>
    <x v="1"/>
    <x v="1"/>
  </r>
  <r>
    <s v="CUST00676"/>
    <n v="36"/>
    <s v="Female"/>
    <s v="Pune"/>
    <x v="2"/>
    <x v="478"/>
    <x v="339"/>
    <n v="9"/>
    <n v="2064.51"/>
    <n v="229.39"/>
    <x v="0"/>
    <x v="1"/>
    <x v="7"/>
    <x v="0"/>
    <x v="1"/>
  </r>
  <r>
    <s v="CUST00062"/>
    <n v="53"/>
    <s v="Female"/>
    <s v="Hyderabad"/>
    <x v="2"/>
    <x v="479"/>
    <x v="516"/>
    <n v="10"/>
    <n v="2059.1"/>
    <n v="205.91"/>
    <x v="4"/>
    <x v="0"/>
    <x v="2"/>
    <x v="0"/>
    <x v="1"/>
  </r>
  <r>
    <s v="CUST00117"/>
    <n v="37"/>
    <s v="Female"/>
    <s v="Kolkata"/>
    <x v="0"/>
    <x v="115"/>
    <x v="77"/>
    <n v="14"/>
    <n v="2058.28"/>
    <n v="147.02"/>
    <x v="3"/>
    <x v="2"/>
    <x v="5"/>
    <x v="1"/>
    <x v="1"/>
  </r>
  <r>
    <s v="CUST01865"/>
    <n v="46"/>
    <s v="Male"/>
    <s v="Bangalore"/>
    <x v="3"/>
    <x v="340"/>
    <x v="256"/>
    <n v="7"/>
    <n v="2053.31"/>
    <n v="293.33"/>
    <x v="0"/>
    <x v="0"/>
    <x v="4"/>
    <x v="0"/>
    <x v="1"/>
  </r>
  <r>
    <s v="CUST01891"/>
    <n v="45"/>
    <s v="Female"/>
    <s v="Kolkata"/>
    <x v="1"/>
    <x v="418"/>
    <x v="357"/>
    <n v="16"/>
    <n v="2047.68"/>
    <n v="127.98"/>
    <x v="3"/>
    <x v="0"/>
    <x v="3"/>
    <x v="0"/>
    <x v="1"/>
  </r>
  <r>
    <s v="CUST00070"/>
    <n v="36"/>
    <s v="Male"/>
    <s v="Mumbai"/>
    <x v="2"/>
    <x v="480"/>
    <x v="234"/>
    <n v="14"/>
    <n v="2045.96"/>
    <n v="146.14"/>
    <x v="4"/>
    <x v="0"/>
    <x v="2"/>
    <x v="0"/>
    <x v="1"/>
  </r>
  <r>
    <s v="CUST00715"/>
    <n v="65"/>
    <s v="Male"/>
    <s v="Pune"/>
    <x v="2"/>
    <x v="481"/>
    <x v="517"/>
    <n v="18"/>
    <n v="2045.88"/>
    <n v="113.66"/>
    <x v="1"/>
    <x v="2"/>
    <x v="3"/>
    <x v="0"/>
    <x v="1"/>
  </r>
  <r>
    <s v="CUST00945"/>
    <n v="18"/>
    <s v="Female"/>
    <s v="Kolkata"/>
    <x v="2"/>
    <x v="482"/>
    <x v="20"/>
    <n v="7"/>
    <n v="2044.63"/>
    <n v="292.09"/>
    <x v="3"/>
    <x v="1"/>
    <x v="1"/>
    <x v="0"/>
    <x v="1"/>
  </r>
  <r>
    <s v="CUST01065"/>
    <n v="64"/>
    <s v="Male"/>
    <s v="Delhi"/>
    <x v="2"/>
    <x v="483"/>
    <x v="518"/>
    <n v="11"/>
    <n v="2041.71"/>
    <n v="185.61"/>
    <x v="2"/>
    <x v="1"/>
    <x v="2"/>
    <x v="0"/>
    <x v="1"/>
  </r>
  <r>
    <s v="CUST01830"/>
    <n v="37"/>
    <s v="Male"/>
    <s v="Delhi"/>
    <x v="2"/>
    <x v="426"/>
    <x v="519"/>
    <n v="15"/>
    <n v="2036.85"/>
    <n v="135.79"/>
    <x v="0"/>
    <x v="1"/>
    <x v="3"/>
    <x v="0"/>
    <x v="1"/>
  </r>
  <r>
    <s v="CUST01730"/>
    <n v="31"/>
    <s v="Female"/>
    <s v="Bangalore"/>
    <x v="1"/>
    <x v="484"/>
    <x v="520"/>
    <n v="15"/>
    <n v="2035.5"/>
    <n v="135.7"/>
    <x v="0"/>
    <x v="1"/>
    <x v="1"/>
    <x v="0"/>
    <x v="1"/>
  </r>
  <r>
    <s v="CUST01585"/>
    <n v="19"/>
    <s v="Female"/>
    <s v="Kolkata"/>
    <x v="1"/>
    <x v="485"/>
    <x v="417"/>
    <n v="14"/>
    <n v="2033.5"/>
    <n v="145.25"/>
    <x v="3"/>
    <x v="1"/>
    <x v="8"/>
    <x v="0"/>
    <x v="1"/>
  </r>
  <r>
    <s v="CUST00709"/>
    <n v="36"/>
    <s v="Male"/>
    <s v="Delhi"/>
    <x v="2"/>
    <x v="486"/>
    <x v="521"/>
    <n v="8"/>
    <n v="2030"/>
    <n v="253.75"/>
    <x v="4"/>
    <x v="0"/>
    <x v="7"/>
    <x v="0"/>
    <x v="1"/>
  </r>
  <r>
    <s v="CUST00737"/>
    <n v="50"/>
    <s v="Male"/>
    <s v="Kolkata"/>
    <x v="1"/>
    <x v="487"/>
    <x v="292"/>
    <n v="14"/>
    <n v="2028.32"/>
    <n v="144.88"/>
    <x v="4"/>
    <x v="0"/>
    <x v="5"/>
    <x v="0"/>
    <x v="1"/>
  </r>
  <r>
    <s v="CUST00782"/>
    <n v="20"/>
    <s v="Male"/>
    <s v="Mumbai"/>
    <x v="2"/>
    <x v="64"/>
    <x v="522"/>
    <n v="11"/>
    <n v="2027.85"/>
    <n v="184.35"/>
    <x v="0"/>
    <x v="0"/>
    <x v="4"/>
    <x v="0"/>
    <x v="1"/>
  </r>
  <r>
    <s v="CUST01840"/>
    <n v="30"/>
    <s v="Female"/>
    <s v="Pune"/>
    <x v="2"/>
    <x v="316"/>
    <x v="45"/>
    <n v="12"/>
    <n v="2016.6"/>
    <n v="168.05"/>
    <x v="2"/>
    <x v="2"/>
    <x v="3"/>
    <x v="0"/>
    <x v="1"/>
  </r>
  <r>
    <s v="CUST00658"/>
    <n v="21"/>
    <s v="Female"/>
    <s v="Pune"/>
    <x v="2"/>
    <x v="98"/>
    <x v="30"/>
    <n v="15"/>
    <n v="2015.25"/>
    <n v="134.35"/>
    <x v="3"/>
    <x v="1"/>
    <x v="3"/>
    <x v="0"/>
    <x v="1"/>
  </r>
  <r>
    <s v="CUST01698"/>
    <n v="42"/>
    <s v="Female"/>
    <s v="Pune"/>
    <x v="1"/>
    <x v="285"/>
    <x v="523"/>
    <n v="22"/>
    <n v="2013.66"/>
    <n v="91.53"/>
    <x v="0"/>
    <x v="2"/>
    <x v="1"/>
    <x v="0"/>
    <x v="1"/>
  </r>
  <r>
    <s v="CUST01494"/>
    <n v="57"/>
    <s v="Female"/>
    <s v="Bangalore"/>
    <x v="2"/>
    <x v="191"/>
    <x v="324"/>
    <n v="7"/>
    <n v="2009.07"/>
    <n v="287.01"/>
    <x v="4"/>
    <x v="0"/>
    <x v="0"/>
    <x v="0"/>
    <x v="1"/>
  </r>
  <r>
    <s v="CUST00826"/>
    <n v="24"/>
    <s v="Male"/>
    <s v="Delhi"/>
    <x v="2"/>
    <x v="488"/>
    <x v="524"/>
    <n v="14"/>
    <n v="2007.6"/>
    <n v="143.4"/>
    <x v="3"/>
    <x v="1"/>
    <x v="8"/>
    <x v="0"/>
    <x v="1"/>
  </r>
  <r>
    <s v="CUST00437"/>
    <n v="27"/>
    <s v="Male"/>
    <s v="Chennai"/>
    <x v="2"/>
    <x v="52"/>
    <x v="148"/>
    <n v="20"/>
    <n v="2004.6"/>
    <n v="100.23"/>
    <x v="2"/>
    <x v="0"/>
    <x v="4"/>
    <x v="0"/>
    <x v="1"/>
  </r>
  <r>
    <s v="CUST00205"/>
    <n v="38"/>
    <s v="Male"/>
    <s v="Bangalore"/>
    <x v="1"/>
    <x v="489"/>
    <x v="58"/>
    <n v="11"/>
    <n v="1998.59"/>
    <n v="181.69"/>
    <x v="0"/>
    <x v="2"/>
    <x v="7"/>
    <x v="0"/>
    <x v="1"/>
  </r>
  <r>
    <s v="CUST00180"/>
    <n v="51"/>
    <s v="Female"/>
    <s v="Bangalore"/>
    <x v="1"/>
    <x v="281"/>
    <x v="355"/>
    <n v="18"/>
    <n v="1998.18"/>
    <n v="111.01"/>
    <x v="2"/>
    <x v="0"/>
    <x v="9"/>
    <x v="0"/>
    <x v="1"/>
  </r>
  <r>
    <s v="CUST00751"/>
    <n v="22"/>
    <s v="Male"/>
    <s v="Mumbai"/>
    <x v="1"/>
    <x v="236"/>
    <x v="351"/>
    <n v="24"/>
    <n v="1996.32"/>
    <n v="83.18000000000001"/>
    <x v="4"/>
    <x v="1"/>
    <x v="8"/>
    <x v="0"/>
    <x v="1"/>
  </r>
  <r>
    <s v="CUST00665"/>
    <n v="33"/>
    <s v="Male"/>
    <s v="Kolkata"/>
    <x v="3"/>
    <x v="490"/>
    <x v="362"/>
    <n v="11"/>
    <n v="1993.53"/>
    <n v="181.23"/>
    <x v="4"/>
    <x v="1"/>
    <x v="2"/>
    <x v="1"/>
    <x v="1"/>
  </r>
  <r>
    <s v="CUST00122"/>
    <n v="63"/>
    <s v="Female"/>
    <s v="Bangalore"/>
    <x v="0"/>
    <x v="442"/>
    <x v="193"/>
    <n v="11"/>
    <n v="1993.31"/>
    <n v="181.21"/>
    <x v="2"/>
    <x v="2"/>
    <x v="9"/>
    <x v="0"/>
    <x v="1"/>
  </r>
  <r>
    <s v="CUST01152"/>
    <n v="39"/>
    <s v="Female"/>
    <s v="Bangalore"/>
    <x v="2"/>
    <x v="362"/>
    <x v="525"/>
    <n v="13"/>
    <n v="1991.21"/>
    <n v="153.17"/>
    <x v="2"/>
    <x v="2"/>
    <x v="2"/>
    <x v="0"/>
    <x v="1"/>
  </r>
  <r>
    <s v="CUST01997"/>
    <n v="49"/>
    <s v="Female"/>
    <s v="Chennai"/>
    <x v="2"/>
    <x v="118"/>
    <x v="234"/>
    <n v="17"/>
    <n v="1990.02"/>
    <n v="117.06"/>
    <x v="1"/>
    <x v="1"/>
    <x v="0"/>
    <x v="0"/>
    <x v="1"/>
  </r>
  <r>
    <s v="CUST01785"/>
    <n v="64"/>
    <s v="Female"/>
    <s v="Chennai"/>
    <x v="2"/>
    <x v="190"/>
    <x v="453"/>
    <n v="15"/>
    <n v="1985.85"/>
    <n v="132.39"/>
    <x v="1"/>
    <x v="1"/>
    <x v="0"/>
    <x v="0"/>
    <x v="1"/>
  </r>
  <r>
    <s v="CUST00064"/>
    <n v="30"/>
    <s v="Female"/>
    <s v="Mumbai"/>
    <x v="2"/>
    <x v="45"/>
    <x v="75"/>
    <n v="20"/>
    <n v="1984.8"/>
    <n v="99.23999999999999"/>
    <x v="1"/>
    <x v="1"/>
    <x v="6"/>
    <x v="1"/>
    <x v="1"/>
  </r>
  <r>
    <s v="CUST01004"/>
    <n v="45"/>
    <s v="Female"/>
    <s v="Delhi"/>
    <x v="2"/>
    <x v="8"/>
    <x v="51"/>
    <n v="8"/>
    <n v="1978.24"/>
    <n v="247.28"/>
    <x v="4"/>
    <x v="0"/>
    <x v="1"/>
    <x v="0"/>
    <x v="1"/>
  </r>
  <r>
    <s v="CUST01709"/>
    <n v="42"/>
    <s v="Female"/>
    <s v="Bangalore"/>
    <x v="0"/>
    <x v="491"/>
    <x v="526"/>
    <n v="14"/>
    <n v="1976.8"/>
    <n v="141.2"/>
    <x v="3"/>
    <x v="2"/>
    <x v="7"/>
    <x v="0"/>
    <x v="1"/>
  </r>
  <r>
    <s v="CUST01125"/>
    <n v="34"/>
    <s v="Male"/>
    <s v="Delhi"/>
    <x v="1"/>
    <x v="492"/>
    <x v="527"/>
    <n v="25"/>
    <n v="1975"/>
    <n v="79"/>
    <x v="2"/>
    <x v="2"/>
    <x v="2"/>
    <x v="0"/>
    <x v="1"/>
  </r>
  <r>
    <s v="CUST01919"/>
    <n v="22"/>
    <s v="Male"/>
    <s v="Bangalore"/>
    <x v="0"/>
    <x v="285"/>
    <x v="294"/>
    <n v="16"/>
    <n v="1969.76"/>
    <n v="123.11"/>
    <x v="0"/>
    <x v="0"/>
    <x v="6"/>
    <x v="1"/>
    <x v="1"/>
  </r>
  <r>
    <s v="CUST01832"/>
    <n v="22"/>
    <s v="Female"/>
    <s v="Pune"/>
    <x v="0"/>
    <x v="469"/>
    <x v="528"/>
    <n v="24"/>
    <n v="1967.76"/>
    <n v="81.98999999999999"/>
    <x v="2"/>
    <x v="0"/>
    <x v="4"/>
    <x v="0"/>
    <x v="1"/>
  </r>
  <r>
    <s v="CUST00716"/>
    <n v="19"/>
    <s v="Male"/>
    <s v="Kolkata"/>
    <x v="2"/>
    <x v="228"/>
    <x v="451"/>
    <n v="17"/>
    <n v="1961.8"/>
    <n v="115.4"/>
    <x v="1"/>
    <x v="1"/>
    <x v="7"/>
    <x v="0"/>
    <x v="1"/>
  </r>
  <r>
    <s v="CUST00504"/>
    <n v="27"/>
    <s v="Male"/>
    <s v="Kolkata"/>
    <x v="1"/>
    <x v="477"/>
    <x v="261"/>
    <n v="11"/>
    <n v="1961.74"/>
    <n v="178.34"/>
    <x v="1"/>
    <x v="0"/>
    <x v="6"/>
    <x v="0"/>
    <x v="1"/>
  </r>
  <r>
    <s v="CUST01825"/>
    <n v="60"/>
    <s v="Female"/>
    <s v="Hyderabad"/>
    <x v="3"/>
    <x v="493"/>
    <x v="76"/>
    <n v="15"/>
    <n v="1961.7"/>
    <n v="130.78"/>
    <x v="4"/>
    <x v="0"/>
    <x v="2"/>
    <x v="0"/>
    <x v="1"/>
  </r>
  <r>
    <s v="CUST00583"/>
    <n v="42"/>
    <s v="Female"/>
    <s v="Mumbai"/>
    <x v="3"/>
    <x v="263"/>
    <x v="229"/>
    <n v="7"/>
    <n v="1958.67"/>
    <n v="279.81"/>
    <x v="1"/>
    <x v="0"/>
    <x v="9"/>
    <x v="0"/>
    <x v="1"/>
  </r>
  <r>
    <s v="CUST00659"/>
    <n v="27"/>
    <s v="Female"/>
    <s v="Hyderabad"/>
    <x v="2"/>
    <x v="494"/>
    <x v="529"/>
    <n v="22"/>
    <n v="1957.56"/>
    <n v="88.98"/>
    <x v="4"/>
    <x v="2"/>
    <x v="4"/>
    <x v="0"/>
    <x v="1"/>
  </r>
  <r>
    <s v="CUST00212"/>
    <n v="37"/>
    <s v="Female"/>
    <s v="Bangalore"/>
    <x v="3"/>
    <x v="495"/>
    <x v="109"/>
    <n v="13"/>
    <n v="1957.15"/>
    <n v="150.55"/>
    <x v="2"/>
    <x v="2"/>
    <x v="2"/>
    <x v="0"/>
    <x v="1"/>
  </r>
  <r>
    <s v="CUST00069"/>
    <n v="60"/>
    <s v="Male"/>
    <s v="Mumbai"/>
    <x v="1"/>
    <x v="463"/>
    <x v="190"/>
    <n v="25"/>
    <n v="1954.5"/>
    <n v="78.18000000000001"/>
    <x v="1"/>
    <x v="0"/>
    <x v="8"/>
    <x v="0"/>
    <x v="1"/>
  </r>
  <r>
    <s v="CUST00287"/>
    <n v="34"/>
    <s v="Male"/>
    <s v="Delhi"/>
    <x v="1"/>
    <x v="65"/>
    <x v="93"/>
    <n v="25"/>
    <n v="1953.5"/>
    <n v="78.14"/>
    <x v="4"/>
    <x v="0"/>
    <x v="4"/>
    <x v="0"/>
    <x v="1"/>
  </r>
  <r>
    <s v="CUST01640"/>
    <n v="39"/>
    <s v="Male"/>
    <s v="Kolkata"/>
    <x v="0"/>
    <x v="414"/>
    <x v="210"/>
    <n v="14"/>
    <n v="1948.24"/>
    <n v="139.16"/>
    <x v="3"/>
    <x v="2"/>
    <x v="2"/>
    <x v="0"/>
    <x v="1"/>
  </r>
  <r>
    <s v="CUST00627"/>
    <n v="48"/>
    <s v="Female"/>
    <s v="Chennai"/>
    <x v="1"/>
    <x v="496"/>
    <x v="530"/>
    <n v="7"/>
    <n v="1944.11"/>
    <n v="277.73"/>
    <x v="2"/>
    <x v="0"/>
    <x v="8"/>
    <x v="0"/>
    <x v="1"/>
  </r>
  <r>
    <s v="CUST01630"/>
    <n v="55"/>
    <s v="Female"/>
    <s v="Bangalore"/>
    <x v="2"/>
    <x v="56"/>
    <x v="531"/>
    <n v="10"/>
    <n v="1944.1"/>
    <n v="194.41"/>
    <x v="2"/>
    <x v="2"/>
    <x v="0"/>
    <x v="0"/>
    <x v="1"/>
  </r>
  <r>
    <s v="CUST01986"/>
    <n v="43"/>
    <s v="Female"/>
    <s v="Mumbai"/>
    <x v="0"/>
    <x v="281"/>
    <x v="482"/>
    <n v="8"/>
    <n v="1936.96"/>
    <n v="242.12"/>
    <x v="0"/>
    <x v="2"/>
    <x v="6"/>
    <x v="0"/>
    <x v="1"/>
  </r>
  <r>
    <s v="CUST01981"/>
    <n v="23"/>
    <s v="Female"/>
    <s v="Bangalore"/>
    <x v="0"/>
    <x v="459"/>
    <x v="49"/>
    <n v="10"/>
    <n v="1935.2"/>
    <n v="193.52"/>
    <x v="3"/>
    <x v="1"/>
    <x v="4"/>
    <x v="0"/>
    <x v="1"/>
  </r>
  <r>
    <s v="CUST01432"/>
    <n v="22"/>
    <s v="Female"/>
    <s v="Mumbai"/>
    <x v="0"/>
    <x v="497"/>
    <x v="382"/>
    <n v="19"/>
    <n v="1930.4"/>
    <n v="101.6"/>
    <x v="2"/>
    <x v="0"/>
    <x v="1"/>
    <x v="0"/>
    <x v="1"/>
  </r>
  <r>
    <s v="CUST00535"/>
    <n v="29"/>
    <s v="Female"/>
    <s v="Hyderabad"/>
    <x v="0"/>
    <x v="498"/>
    <x v="532"/>
    <n v="11"/>
    <n v="1929.62"/>
    <n v="175.42"/>
    <x v="0"/>
    <x v="2"/>
    <x v="4"/>
    <x v="0"/>
    <x v="1"/>
  </r>
  <r>
    <s v="CUST00852"/>
    <n v="55"/>
    <s v="Male"/>
    <s v="Hyderabad"/>
    <x v="3"/>
    <x v="2"/>
    <x v="533"/>
    <n v="9"/>
    <n v="1928.16"/>
    <n v="214.24"/>
    <x v="2"/>
    <x v="1"/>
    <x v="4"/>
    <x v="1"/>
    <x v="1"/>
  </r>
  <r>
    <s v="CUST00893"/>
    <n v="28"/>
    <s v="Male"/>
    <s v="Pune"/>
    <x v="0"/>
    <x v="499"/>
    <x v="534"/>
    <n v="20"/>
    <n v="1920.4"/>
    <n v="96.02"/>
    <x v="0"/>
    <x v="1"/>
    <x v="3"/>
    <x v="0"/>
    <x v="1"/>
  </r>
  <r>
    <s v="CUST00791"/>
    <n v="62"/>
    <s v="Male"/>
    <s v="Hyderabad"/>
    <x v="0"/>
    <x v="88"/>
    <x v="140"/>
    <n v="15"/>
    <n v="1915.65"/>
    <n v="127.71"/>
    <x v="1"/>
    <x v="2"/>
    <x v="1"/>
    <x v="0"/>
    <x v="1"/>
  </r>
  <r>
    <s v="CUST01469"/>
    <n v="25"/>
    <s v="Female"/>
    <s v="Bangalore"/>
    <x v="3"/>
    <x v="272"/>
    <x v="535"/>
    <n v="19"/>
    <n v="1910.45"/>
    <n v="100.55"/>
    <x v="3"/>
    <x v="2"/>
    <x v="7"/>
    <x v="0"/>
    <x v="1"/>
  </r>
  <r>
    <s v="CUST00996"/>
    <n v="19"/>
    <s v="Male"/>
    <s v="Hyderabad"/>
    <x v="1"/>
    <x v="33"/>
    <x v="25"/>
    <n v="9"/>
    <n v="1908.18"/>
    <n v="212.02"/>
    <x v="1"/>
    <x v="1"/>
    <x v="2"/>
    <x v="0"/>
    <x v="1"/>
  </r>
  <r>
    <s v="CUST00556"/>
    <n v="22"/>
    <s v="Male"/>
    <s v="Hyderabad"/>
    <x v="0"/>
    <x v="240"/>
    <x v="118"/>
    <n v="11"/>
    <n v="1906.63"/>
    <n v="173.33"/>
    <x v="0"/>
    <x v="2"/>
    <x v="2"/>
    <x v="0"/>
    <x v="1"/>
  </r>
  <r>
    <s v="CUST00806"/>
    <n v="32"/>
    <s v="Male"/>
    <s v="Mumbai"/>
    <x v="0"/>
    <x v="167"/>
    <x v="536"/>
    <n v="15"/>
    <n v="1905.9"/>
    <n v="127.06"/>
    <x v="0"/>
    <x v="2"/>
    <x v="1"/>
    <x v="0"/>
    <x v="1"/>
  </r>
  <r>
    <s v="CUST01692"/>
    <n v="52"/>
    <s v="Male"/>
    <s v="Kolkata"/>
    <x v="0"/>
    <x v="500"/>
    <x v="74"/>
    <n v="16"/>
    <n v="1904.32"/>
    <n v="119.02"/>
    <x v="0"/>
    <x v="1"/>
    <x v="0"/>
    <x v="1"/>
    <x v="1"/>
  </r>
  <r>
    <s v="CUST00029"/>
    <n v="31"/>
    <s v="Female"/>
    <s v="Pune"/>
    <x v="3"/>
    <x v="43"/>
    <x v="209"/>
    <n v="10"/>
    <n v="1893.5"/>
    <n v="189.35"/>
    <x v="4"/>
    <x v="2"/>
    <x v="8"/>
    <x v="0"/>
    <x v="1"/>
  </r>
  <r>
    <s v="CUST00968"/>
    <n v="51"/>
    <s v="Female"/>
    <s v="Hyderabad"/>
    <x v="0"/>
    <x v="387"/>
    <x v="434"/>
    <n v="10"/>
    <n v="1890.9"/>
    <n v="189.09"/>
    <x v="3"/>
    <x v="2"/>
    <x v="9"/>
    <x v="0"/>
    <x v="1"/>
  </r>
  <r>
    <s v="CUST01735"/>
    <n v="32"/>
    <s v="Female"/>
    <s v="Kolkata"/>
    <x v="2"/>
    <x v="306"/>
    <x v="537"/>
    <n v="18"/>
    <n v="1890.36"/>
    <n v="105.02"/>
    <x v="2"/>
    <x v="2"/>
    <x v="3"/>
    <x v="1"/>
    <x v="1"/>
  </r>
  <r>
    <s v="CUST00466"/>
    <n v="22"/>
    <s v="Female"/>
    <s v="Delhi"/>
    <x v="1"/>
    <x v="56"/>
    <x v="319"/>
    <n v="20"/>
    <n v="1888.6"/>
    <n v="94.43000000000001"/>
    <x v="0"/>
    <x v="2"/>
    <x v="8"/>
    <x v="1"/>
    <x v="1"/>
  </r>
  <r>
    <s v="CUST01177"/>
    <n v="65"/>
    <s v="Male"/>
    <s v="Chennai"/>
    <x v="0"/>
    <x v="155"/>
    <x v="503"/>
    <n v="20"/>
    <n v="1888.2"/>
    <n v="94.41"/>
    <x v="1"/>
    <x v="0"/>
    <x v="1"/>
    <x v="0"/>
    <x v="1"/>
  </r>
  <r>
    <s v="CUST00910"/>
    <n v="48"/>
    <s v="Male"/>
    <s v="Delhi"/>
    <x v="3"/>
    <x v="501"/>
    <x v="538"/>
    <n v="13"/>
    <n v="1885.91"/>
    <n v="145.07"/>
    <x v="4"/>
    <x v="2"/>
    <x v="8"/>
    <x v="0"/>
    <x v="1"/>
  </r>
  <r>
    <s v="CUST00048"/>
    <n v="44"/>
    <s v="Male"/>
    <s v="Mumbai"/>
    <x v="3"/>
    <x v="98"/>
    <x v="301"/>
    <n v="14"/>
    <n v="1877.82"/>
    <n v="134.13"/>
    <x v="2"/>
    <x v="0"/>
    <x v="6"/>
    <x v="0"/>
    <x v="1"/>
  </r>
  <r>
    <s v="CUST01950"/>
    <n v="37"/>
    <s v="Female"/>
    <s v="Kolkata"/>
    <x v="2"/>
    <x v="39"/>
    <x v="513"/>
    <n v="11"/>
    <n v="1869.12"/>
    <n v="169.92"/>
    <x v="3"/>
    <x v="1"/>
    <x v="8"/>
    <x v="0"/>
    <x v="1"/>
  </r>
  <r>
    <s v="CUST01284"/>
    <n v="52"/>
    <s v="Male"/>
    <s v="Delhi"/>
    <x v="3"/>
    <x v="502"/>
    <x v="539"/>
    <n v="8"/>
    <n v="1867.28"/>
    <n v="233.41"/>
    <x v="0"/>
    <x v="0"/>
    <x v="7"/>
    <x v="1"/>
    <x v="1"/>
  </r>
  <r>
    <s v="CUST01449"/>
    <n v="24"/>
    <s v="Male"/>
    <s v="Chennai"/>
    <x v="2"/>
    <x v="217"/>
    <x v="540"/>
    <n v="21"/>
    <n v="1864.17"/>
    <n v="88.77"/>
    <x v="1"/>
    <x v="0"/>
    <x v="1"/>
    <x v="0"/>
    <x v="1"/>
  </r>
  <r>
    <s v="CUST01313"/>
    <n v="57"/>
    <s v="Female"/>
    <s v="Delhi"/>
    <x v="3"/>
    <x v="304"/>
    <x v="267"/>
    <n v="16"/>
    <n v="1862.08"/>
    <n v="116.38"/>
    <x v="3"/>
    <x v="0"/>
    <x v="8"/>
    <x v="0"/>
    <x v="1"/>
  </r>
  <r>
    <s v="CUST00295"/>
    <n v="38"/>
    <s v="Female"/>
    <s v="Bangalore"/>
    <x v="1"/>
    <x v="503"/>
    <x v="24"/>
    <n v="16"/>
    <n v="1861.28"/>
    <n v="116.33"/>
    <x v="3"/>
    <x v="1"/>
    <x v="4"/>
    <x v="0"/>
    <x v="1"/>
  </r>
  <r>
    <s v="CUST00207"/>
    <n v="27"/>
    <s v="Female"/>
    <s v="Hyderabad"/>
    <x v="1"/>
    <x v="461"/>
    <x v="275"/>
    <n v="17"/>
    <n v="1857.25"/>
    <n v="109.25"/>
    <x v="0"/>
    <x v="1"/>
    <x v="0"/>
    <x v="0"/>
    <x v="1"/>
  </r>
  <r>
    <s v="CUST00732"/>
    <n v="25"/>
    <s v="Male"/>
    <s v="Pune"/>
    <x v="1"/>
    <x v="504"/>
    <x v="541"/>
    <n v="17"/>
    <n v="1850.79"/>
    <n v="108.87"/>
    <x v="4"/>
    <x v="2"/>
    <x v="5"/>
    <x v="0"/>
    <x v="1"/>
  </r>
  <r>
    <s v="CUST00788"/>
    <n v="61"/>
    <s v="Female"/>
    <s v="Bangalore"/>
    <x v="1"/>
    <x v="13"/>
    <x v="403"/>
    <n v="10"/>
    <n v="1845"/>
    <n v="184.5"/>
    <x v="3"/>
    <x v="2"/>
    <x v="2"/>
    <x v="0"/>
    <x v="1"/>
  </r>
  <r>
    <s v="CUST01267"/>
    <n v="19"/>
    <s v="Female"/>
    <s v="Delhi"/>
    <x v="2"/>
    <x v="505"/>
    <x v="542"/>
    <n v="13"/>
    <n v="1843.92"/>
    <n v="141.84"/>
    <x v="0"/>
    <x v="1"/>
    <x v="4"/>
    <x v="1"/>
    <x v="1"/>
  </r>
  <r>
    <s v="CUST01252"/>
    <n v="22"/>
    <s v="Female"/>
    <s v="Delhi"/>
    <x v="2"/>
    <x v="50"/>
    <x v="292"/>
    <n v="12"/>
    <n v="1841.52"/>
    <n v="153.46"/>
    <x v="0"/>
    <x v="1"/>
    <x v="6"/>
    <x v="0"/>
    <x v="1"/>
  </r>
  <r>
    <s v="CUST01175"/>
    <n v="43"/>
    <s v="Male"/>
    <s v="Bangalore"/>
    <x v="0"/>
    <x v="506"/>
    <x v="256"/>
    <n v="24"/>
    <n v="1841.04"/>
    <n v="76.70999999999999"/>
    <x v="4"/>
    <x v="0"/>
    <x v="3"/>
    <x v="0"/>
    <x v="1"/>
  </r>
  <r>
    <s v="CUST00963"/>
    <n v="31"/>
    <s v="Male"/>
    <s v="Bangalore"/>
    <x v="1"/>
    <x v="355"/>
    <x v="208"/>
    <n v="7"/>
    <n v="1839.04"/>
    <n v="262.72"/>
    <x v="1"/>
    <x v="2"/>
    <x v="5"/>
    <x v="1"/>
    <x v="1"/>
  </r>
  <r>
    <s v="CUST00447"/>
    <n v="65"/>
    <s v="Female"/>
    <s v="Kolkata"/>
    <x v="3"/>
    <x v="475"/>
    <x v="150"/>
    <n v="14"/>
    <n v="1827.42"/>
    <n v="130.53"/>
    <x v="1"/>
    <x v="1"/>
    <x v="8"/>
    <x v="1"/>
    <x v="1"/>
  </r>
  <r>
    <s v="CUST01428"/>
    <n v="33"/>
    <s v="Male"/>
    <s v="Bangalore"/>
    <x v="1"/>
    <x v="184"/>
    <x v="204"/>
    <n v="13"/>
    <n v="1825.59"/>
    <n v="140.43"/>
    <x v="0"/>
    <x v="1"/>
    <x v="4"/>
    <x v="0"/>
    <x v="1"/>
  </r>
  <r>
    <s v="CUST00688"/>
    <n v="27"/>
    <s v="Female"/>
    <s v="Pune"/>
    <x v="0"/>
    <x v="252"/>
    <x v="110"/>
    <n v="22"/>
    <n v="1821.16"/>
    <n v="82.78"/>
    <x v="4"/>
    <x v="1"/>
    <x v="7"/>
    <x v="0"/>
    <x v="1"/>
  </r>
  <r>
    <s v="CUST00204"/>
    <n v="32"/>
    <s v="Male"/>
    <s v="Kolkata"/>
    <x v="0"/>
    <x v="386"/>
    <x v="33"/>
    <n v="8"/>
    <n v="1818.8"/>
    <n v="227.35"/>
    <x v="1"/>
    <x v="0"/>
    <x v="1"/>
    <x v="0"/>
    <x v="1"/>
  </r>
  <r>
    <s v="CUST01355"/>
    <n v="40"/>
    <s v="Female"/>
    <s v="Hyderabad"/>
    <x v="1"/>
    <x v="507"/>
    <x v="543"/>
    <n v="20"/>
    <n v="1818"/>
    <n v="90.90000000000001"/>
    <x v="3"/>
    <x v="1"/>
    <x v="3"/>
    <x v="1"/>
    <x v="1"/>
  </r>
  <r>
    <s v="CUST00582"/>
    <n v="42"/>
    <s v="Male"/>
    <s v="Delhi"/>
    <x v="3"/>
    <x v="508"/>
    <x v="544"/>
    <n v="8"/>
    <n v="1812.56"/>
    <n v="226.57"/>
    <x v="0"/>
    <x v="1"/>
    <x v="6"/>
    <x v="0"/>
    <x v="1"/>
  </r>
  <r>
    <s v="CUST00442"/>
    <n v="26"/>
    <s v="Male"/>
    <s v="Pune"/>
    <x v="1"/>
    <x v="119"/>
    <x v="545"/>
    <n v="8"/>
    <n v="1812.24"/>
    <n v="226.53"/>
    <x v="3"/>
    <x v="2"/>
    <x v="9"/>
    <x v="0"/>
    <x v="1"/>
  </r>
  <r>
    <s v="CUST01848"/>
    <n v="39"/>
    <s v="Male"/>
    <s v="Mumbai"/>
    <x v="1"/>
    <x v="50"/>
    <x v="163"/>
    <n v="14"/>
    <n v="1812.16"/>
    <n v="129.44"/>
    <x v="1"/>
    <x v="0"/>
    <x v="5"/>
    <x v="0"/>
    <x v="1"/>
  </r>
  <r>
    <s v="CUST00417"/>
    <n v="51"/>
    <s v="Female"/>
    <s v="Mumbai"/>
    <x v="0"/>
    <x v="125"/>
    <x v="546"/>
    <n v="7"/>
    <n v="1807.12"/>
    <n v="258.16"/>
    <x v="0"/>
    <x v="0"/>
    <x v="3"/>
    <x v="0"/>
    <x v="1"/>
  </r>
  <r>
    <s v="CUST00393"/>
    <n v="53"/>
    <s v="Male"/>
    <s v="Mumbai"/>
    <x v="0"/>
    <x v="503"/>
    <x v="547"/>
    <n v="15"/>
    <n v="1806.75"/>
    <n v="120.45"/>
    <x v="4"/>
    <x v="2"/>
    <x v="3"/>
    <x v="0"/>
    <x v="1"/>
  </r>
  <r>
    <s v="CUST01097"/>
    <n v="48"/>
    <s v="Male"/>
    <s v="Delhi"/>
    <x v="3"/>
    <x v="190"/>
    <x v="280"/>
    <n v="21"/>
    <n v="1806.21"/>
    <n v="86.01000000000001"/>
    <x v="3"/>
    <x v="1"/>
    <x v="5"/>
    <x v="0"/>
    <x v="1"/>
  </r>
  <r>
    <s v="CUST00628"/>
    <n v="44"/>
    <s v="Male"/>
    <s v="Kolkata"/>
    <x v="2"/>
    <x v="449"/>
    <x v="548"/>
    <n v="13"/>
    <n v="1803.75"/>
    <n v="138.75"/>
    <x v="3"/>
    <x v="1"/>
    <x v="8"/>
    <x v="0"/>
    <x v="1"/>
  </r>
  <r>
    <s v="CUST00094"/>
    <n v="60"/>
    <s v="Male"/>
    <s v="Chennai"/>
    <x v="0"/>
    <x v="335"/>
    <x v="549"/>
    <n v="20"/>
    <n v="1803.6"/>
    <n v="90.18000000000001"/>
    <x v="3"/>
    <x v="1"/>
    <x v="2"/>
    <x v="0"/>
    <x v="1"/>
  </r>
  <r>
    <s v="CUST00606"/>
    <n v="56"/>
    <s v="Male"/>
    <s v="Pune"/>
    <x v="1"/>
    <x v="88"/>
    <x v="550"/>
    <n v="15"/>
    <n v="1801.05"/>
    <n v="120.07"/>
    <x v="4"/>
    <x v="2"/>
    <x v="6"/>
    <x v="0"/>
    <x v="1"/>
  </r>
  <r>
    <s v="CUST01329"/>
    <n v="18"/>
    <s v="Female"/>
    <s v="Bangalore"/>
    <x v="1"/>
    <x v="204"/>
    <x v="342"/>
    <n v="13"/>
    <n v="1799.72"/>
    <n v="138.44"/>
    <x v="1"/>
    <x v="1"/>
    <x v="6"/>
    <x v="0"/>
    <x v="1"/>
  </r>
  <r>
    <s v="CUST01434"/>
    <n v="43"/>
    <s v="Female"/>
    <s v="Kolkata"/>
    <x v="1"/>
    <x v="509"/>
    <x v="551"/>
    <n v="17"/>
    <n v="1798.43"/>
    <n v="105.79"/>
    <x v="4"/>
    <x v="0"/>
    <x v="9"/>
    <x v="0"/>
    <x v="1"/>
  </r>
  <r>
    <s v="CUST01538"/>
    <n v="30"/>
    <s v="Male"/>
    <s v="Mumbai"/>
    <x v="0"/>
    <x v="380"/>
    <x v="552"/>
    <n v="10"/>
    <n v="1794.5"/>
    <n v="179.45"/>
    <x v="1"/>
    <x v="2"/>
    <x v="1"/>
    <x v="0"/>
    <x v="1"/>
  </r>
  <r>
    <s v="CUST00698"/>
    <n v="21"/>
    <s v="Female"/>
    <s v="Delhi"/>
    <x v="0"/>
    <x v="510"/>
    <x v="277"/>
    <n v="10"/>
    <n v="1794.4"/>
    <n v="179.44"/>
    <x v="2"/>
    <x v="1"/>
    <x v="2"/>
    <x v="0"/>
    <x v="1"/>
  </r>
  <r>
    <s v="CUST01601"/>
    <n v="53"/>
    <s v="Male"/>
    <s v="Chennai"/>
    <x v="3"/>
    <x v="289"/>
    <x v="553"/>
    <n v="8"/>
    <n v="1794.24"/>
    <n v="224.28"/>
    <x v="3"/>
    <x v="0"/>
    <x v="2"/>
    <x v="0"/>
    <x v="1"/>
  </r>
  <r>
    <s v="CUST00651"/>
    <n v="65"/>
    <s v="Female"/>
    <s v="Kolkata"/>
    <x v="3"/>
    <x v="511"/>
    <x v="389"/>
    <n v="12"/>
    <n v="1794"/>
    <n v="149.5"/>
    <x v="2"/>
    <x v="1"/>
    <x v="8"/>
    <x v="0"/>
    <x v="1"/>
  </r>
  <r>
    <s v="CUST01325"/>
    <n v="27"/>
    <s v="Female"/>
    <s v="Delhi"/>
    <x v="3"/>
    <x v="512"/>
    <x v="383"/>
    <n v="11"/>
    <n v="1793.77"/>
    <n v="163.07"/>
    <x v="2"/>
    <x v="0"/>
    <x v="1"/>
    <x v="1"/>
    <x v="1"/>
  </r>
  <r>
    <s v="CUST00189"/>
    <n v="39"/>
    <s v="Female"/>
    <s v="Hyderabad"/>
    <x v="3"/>
    <x v="253"/>
    <x v="554"/>
    <n v="10"/>
    <n v="1790.3"/>
    <n v="179.03"/>
    <x v="1"/>
    <x v="0"/>
    <x v="2"/>
    <x v="1"/>
    <x v="1"/>
  </r>
  <r>
    <s v="CUST00907"/>
    <n v="36"/>
    <s v="Female"/>
    <s v="Delhi"/>
    <x v="2"/>
    <x v="513"/>
    <x v="548"/>
    <n v="6"/>
    <n v="1784.52"/>
    <n v="297.42"/>
    <x v="3"/>
    <x v="1"/>
    <x v="8"/>
    <x v="0"/>
    <x v="1"/>
  </r>
  <r>
    <s v="CUST00912"/>
    <n v="52"/>
    <s v="Female"/>
    <s v="Pune"/>
    <x v="1"/>
    <x v="112"/>
    <x v="555"/>
    <n v="13"/>
    <n v="1783.86"/>
    <n v="137.22"/>
    <x v="2"/>
    <x v="2"/>
    <x v="4"/>
    <x v="0"/>
    <x v="1"/>
  </r>
  <r>
    <s v="CUST00299"/>
    <n v="49"/>
    <s v="Female"/>
    <s v="Mumbai"/>
    <x v="3"/>
    <x v="433"/>
    <x v="545"/>
    <n v="7"/>
    <n v="1779.96"/>
    <n v="254.28"/>
    <x v="3"/>
    <x v="2"/>
    <x v="6"/>
    <x v="0"/>
    <x v="1"/>
  </r>
  <r>
    <s v="CUST01273"/>
    <n v="45"/>
    <s v="Female"/>
    <s v="Mumbai"/>
    <x v="2"/>
    <x v="43"/>
    <x v="556"/>
    <n v="20"/>
    <n v="1778.6"/>
    <n v="88.93000000000001"/>
    <x v="2"/>
    <x v="0"/>
    <x v="6"/>
    <x v="0"/>
    <x v="1"/>
  </r>
  <r>
    <s v="CUST01857"/>
    <n v="29"/>
    <s v="Male"/>
    <s v="Bangalore"/>
    <x v="0"/>
    <x v="514"/>
    <x v="63"/>
    <n v="11"/>
    <n v="1777.82"/>
    <n v="161.62"/>
    <x v="0"/>
    <x v="0"/>
    <x v="9"/>
    <x v="0"/>
    <x v="1"/>
  </r>
  <r>
    <s v="CUST01090"/>
    <n v="38"/>
    <s v="Female"/>
    <s v="Pune"/>
    <x v="0"/>
    <x v="134"/>
    <x v="557"/>
    <n v="7"/>
    <n v="1769.67"/>
    <n v="252.81"/>
    <x v="4"/>
    <x v="1"/>
    <x v="2"/>
    <x v="0"/>
    <x v="1"/>
  </r>
  <r>
    <s v="CUST00192"/>
    <n v="33"/>
    <s v="Male"/>
    <s v="Bangalore"/>
    <x v="3"/>
    <x v="37"/>
    <x v="558"/>
    <n v="6"/>
    <n v="1769.22"/>
    <n v="294.87"/>
    <x v="1"/>
    <x v="1"/>
    <x v="1"/>
    <x v="0"/>
    <x v="1"/>
  </r>
  <r>
    <s v="CUST01704"/>
    <n v="19"/>
    <s v="Female"/>
    <s v="Chennai"/>
    <x v="3"/>
    <x v="515"/>
    <x v="23"/>
    <n v="14"/>
    <n v="1767.22"/>
    <n v="126.23"/>
    <x v="3"/>
    <x v="2"/>
    <x v="3"/>
    <x v="1"/>
    <x v="1"/>
  </r>
  <r>
    <s v="CUST01344"/>
    <n v="31"/>
    <s v="Female"/>
    <s v="Chennai"/>
    <x v="3"/>
    <x v="14"/>
    <x v="559"/>
    <n v="7"/>
    <n v="1765.96"/>
    <n v="252.28"/>
    <x v="4"/>
    <x v="1"/>
    <x v="7"/>
    <x v="0"/>
    <x v="1"/>
  </r>
  <r>
    <s v="CUST00971"/>
    <n v="60"/>
    <s v="Male"/>
    <s v="Pune"/>
    <x v="3"/>
    <x v="81"/>
    <x v="287"/>
    <n v="18"/>
    <n v="1761.3"/>
    <n v="97.84999999999999"/>
    <x v="2"/>
    <x v="1"/>
    <x v="9"/>
    <x v="0"/>
    <x v="1"/>
  </r>
  <r>
    <s v="CUST01029"/>
    <n v="32"/>
    <s v="Male"/>
    <s v="Pune"/>
    <x v="2"/>
    <x v="52"/>
    <x v="394"/>
    <n v="17"/>
    <n v="1759.5"/>
    <n v="103.5"/>
    <x v="3"/>
    <x v="2"/>
    <x v="1"/>
    <x v="1"/>
    <x v="1"/>
  </r>
  <r>
    <s v="CUST01319"/>
    <n v="56"/>
    <s v="Female"/>
    <s v="Hyderabad"/>
    <x v="3"/>
    <x v="13"/>
    <x v="560"/>
    <n v="18"/>
    <n v="1759.5"/>
    <n v="97.75"/>
    <x v="1"/>
    <x v="1"/>
    <x v="6"/>
    <x v="0"/>
    <x v="1"/>
  </r>
  <r>
    <s v="CUST01271"/>
    <n v="31"/>
    <s v="Female"/>
    <s v="Mumbai"/>
    <x v="0"/>
    <x v="516"/>
    <x v="561"/>
    <n v="8"/>
    <n v="1755.76"/>
    <n v="219.47"/>
    <x v="3"/>
    <x v="1"/>
    <x v="0"/>
    <x v="1"/>
    <x v="1"/>
  </r>
  <r>
    <s v="CUST01328"/>
    <n v="56"/>
    <s v="Male"/>
    <s v="Bangalore"/>
    <x v="0"/>
    <x v="517"/>
    <x v="562"/>
    <n v="7"/>
    <n v="1755.32"/>
    <n v="250.76"/>
    <x v="1"/>
    <x v="0"/>
    <x v="3"/>
    <x v="0"/>
    <x v="1"/>
  </r>
  <r>
    <s v="CUST00290"/>
    <n v="58"/>
    <s v="Male"/>
    <s v="Pune"/>
    <x v="2"/>
    <x v="518"/>
    <x v="518"/>
    <n v="7"/>
    <n v="1754.41"/>
    <n v="250.63"/>
    <x v="3"/>
    <x v="2"/>
    <x v="8"/>
    <x v="0"/>
    <x v="1"/>
  </r>
  <r>
    <s v="CUST00844"/>
    <n v="43"/>
    <s v="Female"/>
    <s v="Kolkata"/>
    <x v="1"/>
    <x v="201"/>
    <x v="563"/>
    <n v="25"/>
    <n v="1753.25"/>
    <n v="70.13"/>
    <x v="3"/>
    <x v="0"/>
    <x v="7"/>
    <x v="0"/>
    <x v="1"/>
  </r>
  <r>
    <s v="CUST01701"/>
    <n v="51"/>
    <s v="Male"/>
    <s v="Mumbai"/>
    <x v="0"/>
    <x v="117"/>
    <x v="340"/>
    <n v="21"/>
    <n v="1751.19"/>
    <n v="83.39"/>
    <x v="1"/>
    <x v="2"/>
    <x v="3"/>
    <x v="0"/>
    <x v="1"/>
  </r>
  <r>
    <s v="CUST00612"/>
    <n v="37"/>
    <s v="Female"/>
    <s v="Hyderabad"/>
    <x v="3"/>
    <x v="131"/>
    <x v="339"/>
    <n v="10"/>
    <n v="1750.8"/>
    <n v="175.08"/>
    <x v="1"/>
    <x v="2"/>
    <x v="6"/>
    <x v="1"/>
    <x v="1"/>
  </r>
  <r>
    <s v="CUST01301"/>
    <n v="59"/>
    <s v="Male"/>
    <s v="Chennai"/>
    <x v="2"/>
    <x v="279"/>
    <x v="411"/>
    <n v="16"/>
    <n v="1747.2"/>
    <n v="109.2"/>
    <x v="4"/>
    <x v="1"/>
    <x v="7"/>
    <x v="1"/>
    <x v="1"/>
  </r>
  <r>
    <s v="CUST00421"/>
    <n v="50"/>
    <s v="Female"/>
    <s v="Pune"/>
    <x v="2"/>
    <x v="50"/>
    <x v="564"/>
    <n v="17"/>
    <n v="1740.63"/>
    <n v="102.39"/>
    <x v="2"/>
    <x v="1"/>
    <x v="4"/>
    <x v="0"/>
    <x v="1"/>
  </r>
  <r>
    <s v="CUST00234"/>
    <n v="36"/>
    <s v="Female"/>
    <s v="Pune"/>
    <x v="1"/>
    <x v="519"/>
    <x v="565"/>
    <n v="6"/>
    <n v="1740.48"/>
    <n v="290.08"/>
    <x v="4"/>
    <x v="1"/>
    <x v="1"/>
    <x v="0"/>
    <x v="1"/>
  </r>
  <r>
    <s v="CUST00718"/>
    <n v="65"/>
    <s v="Male"/>
    <s v="Bangalore"/>
    <x v="2"/>
    <x v="2"/>
    <x v="566"/>
    <n v="15"/>
    <n v="1723.65"/>
    <n v="114.91"/>
    <x v="4"/>
    <x v="0"/>
    <x v="4"/>
    <x v="0"/>
    <x v="1"/>
  </r>
  <r>
    <s v="CUST00134"/>
    <n v="49"/>
    <s v="Male"/>
    <s v="Mumbai"/>
    <x v="1"/>
    <x v="107"/>
    <x v="128"/>
    <n v="6"/>
    <n v="1717.98"/>
    <n v="286.33"/>
    <x v="1"/>
    <x v="2"/>
    <x v="1"/>
    <x v="0"/>
    <x v="1"/>
  </r>
  <r>
    <s v="CUST00391"/>
    <n v="60"/>
    <s v="Female"/>
    <s v="Chennai"/>
    <x v="1"/>
    <x v="397"/>
    <x v="399"/>
    <n v="11"/>
    <n v="1716.44"/>
    <n v="156.04"/>
    <x v="0"/>
    <x v="0"/>
    <x v="9"/>
    <x v="0"/>
    <x v="1"/>
  </r>
  <r>
    <s v="CUST01913"/>
    <n v="38"/>
    <s v="Female"/>
    <s v="Pune"/>
    <x v="1"/>
    <x v="503"/>
    <x v="149"/>
    <n v="10"/>
    <n v="1715.3"/>
    <n v="171.53"/>
    <x v="0"/>
    <x v="1"/>
    <x v="9"/>
    <x v="0"/>
    <x v="1"/>
  </r>
  <r>
    <s v="CUST00341"/>
    <n v="26"/>
    <s v="Male"/>
    <s v="Hyderabad"/>
    <x v="2"/>
    <x v="505"/>
    <x v="567"/>
    <n v="8"/>
    <n v="1713.52"/>
    <n v="214.19"/>
    <x v="1"/>
    <x v="2"/>
    <x v="6"/>
    <x v="0"/>
    <x v="1"/>
  </r>
  <r>
    <s v="CUST00328"/>
    <n v="50"/>
    <s v="Male"/>
    <s v="Kolkata"/>
    <x v="0"/>
    <x v="159"/>
    <x v="568"/>
    <n v="22"/>
    <n v="1713.36"/>
    <n v="77.88"/>
    <x v="2"/>
    <x v="2"/>
    <x v="5"/>
    <x v="0"/>
    <x v="1"/>
  </r>
  <r>
    <s v="CUST00306"/>
    <n v="24"/>
    <s v="Male"/>
    <s v="Delhi"/>
    <x v="3"/>
    <x v="520"/>
    <x v="569"/>
    <n v="8"/>
    <n v="1712.72"/>
    <n v="214.09"/>
    <x v="2"/>
    <x v="0"/>
    <x v="7"/>
    <x v="0"/>
    <x v="1"/>
  </r>
  <r>
    <s v="CUST01324"/>
    <n v="38"/>
    <s v="Male"/>
    <s v="Chennai"/>
    <x v="1"/>
    <x v="58"/>
    <x v="570"/>
    <n v="23"/>
    <n v="1711.89"/>
    <n v="74.43000000000001"/>
    <x v="1"/>
    <x v="1"/>
    <x v="4"/>
    <x v="1"/>
    <x v="1"/>
  </r>
  <r>
    <s v="CUST01636"/>
    <n v="63"/>
    <s v="Male"/>
    <s v="Delhi"/>
    <x v="0"/>
    <x v="245"/>
    <x v="168"/>
    <n v="7"/>
    <n v="1710.03"/>
    <n v="244.29"/>
    <x v="0"/>
    <x v="1"/>
    <x v="5"/>
    <x v="1"/>
    <x v="1"/>
  </r>
  <r>
    <s v="CUST00473"/>
    <n v="37"/>
    <s v="Male"/>
    <s v="Pune"/>
    <x v="3"/>
    <x v="520"/>
    <x v="558"/>
    <n v="19"/>
    <n v="1709.24"/>
    <n v="89.95999999999999"/>
    <x v="0"/>
    <x v="2"/>
    <x v="8"/>
    <x v="0"/>
    <x v="1"/>
  </r>
  <r>
    <s v="CUST00820"/>
    <n v="27"/>
    <s v="Female"/>
    <s v="Mumbai"/>
    <x v="1"/>
    <x v="428"/>
    <x v="571"/>
    <n v="9"/>
    <n v="1705.68"/>
    <n v="189.52"/>
    <x v="3"/>
    <x v="2"/>
    <x v="8"/>
    <x v="0"/>
    <x v="1"/>
  </r>
  <r>
    <s v="CUST00513"/>
    <n v="30"/>
    <s v="Male"/>
    <s v="Delhi"/>
    <x v="0"/>
    <x v="521"/>
    <x v="272"/>
    <n v="20"/>
    <n v="1703.2"/>
    <n v="85.16"/>
    <x v="2"/>
    <x v="0"/>
    <x v="8"/>
    <x v="0"/>
    <x v="1"/>
  </r>
  <r>
    <s v="CUST01276"/>
    <n v="54"/>
    <s v="Female"/>
    <s v="Delhi"/>
    <x v="0"/>
    <x v="206"/>
    <x v="572"/>
    <n v="10"/>
    <n v="1701.5"/>
    <n v="170.15"/>
    <x v="2"/>
    <x v="2"/>
    <x v="8"/>
    <x v="0"/>
    <x v="1"/>
  </r>
  <r>
    <s v="CUST01195"/>
    <n v="26"/>
    <s v="Male"/>
    <s v="Chennai"/>
    <x v="3"/>
    <x v="345"/>
    <x v="26"/>
    <n v="9"/>
    <n v="1701.09"/>
    <n v="189.01"/>
    <x v="2"/>
    <x v="1"/>
    <x v="2"/>
    <x v="0"/>
    <x v="1"/>
  </r>
  <r>
    <s v="CUST00620"/>
    <n v="62"/>
    <s v="Male"/>
    <s v="Hyderabad"/>
    <x v="3"/>
    <x v="306"/>
    <x v="573"/>
    <n v="7"/>
    <n v="1698.41"/>
    <n v="242.63"/>
    <x v="3"/>
    <x v="2"/>
    <x v="5"/>
    <x v="0"/>
    <x v="1"/>
  </r>
  <r>
    <s v="CUST01930"/>
    <n v="52"/>
    <s v="Male"/>
    <s v="Kolkata"/>
    <x v="2"/>
    <x v="191"/>
    <x v="459"/>
    <n v="11"/>
    <n v="1697.41"/>
    <n v="154.31"/>
    <x v="1"/>
    <x v="2"/>
    <x v="8"/>
    <x v="0"/>
    <x v="1"/>
  </r>
  <r>
    <s v="CUST01002"/>
    <n v="60"/>
    <s v="Male"/>
    <s v="Delhi"/>
    <x v="2"/>
    <x v="160"/>
    <x v="460"/>
    <n v="16"/>
    <n v="1690.08"/>
    <n v="105.63"/>
    <x v="1"/>
    <x v="1"/>
    <x v="1"/>
    <x v="0"/>
    <x v="1"/>
  </r>
  <r>
    <s v="CUST00038"/>
    <n v="39"/>
    <s v="Female"/>
    <s v="Chennai"/>
    <x v="0"/>
    <x v="214"/>
    <x v="2"/>
    <n v="12"/>
    <n v="1689.12"/>
    <n v="140.76"/>
    <x v="4"/>
    <x v="0"/>
    <x v="1"/>
    <x v="0"/>
    <x v="1"/>
  </r>
  <r>
    <s v="CUST01756"/>
    <n v="26"/>
    <s v="Male"/>
    <s v="Bangalore"/>
    <x v="2"/>
    <x v="395"/>
    <x v="574"/>
    <n v="13"/>
    <n v="1688.96"/>
    <n v="129.92"/>
    <x v="2"/>
    <x v="1"/>
    <x v="4"/>
    <x v="0"/>
    <x v="1"/>
  </r>
  <r>
    <s v="CUST01490"/>
    <n v="30"/>
    <s v="Male"/>
    <s v="Bangalore"/>
    <x v="3"/>
    <x v="489"/>
    <x v="575"/>
    <n v="24"/>
    <n v="1685.52"/>
    <n v="70.23"/>
    <x v="3"/>
    <x v="0"/>
    <x v="2"/>
    <x v="0"/>
    <x v="1"/>
  </r>
  <r>
    <s v="CUST00892"/>
    <n v="49"/>
    <s v="Male"/>
    <s v="Mumbai"/>
    <x v="3"/>
    <x v="250"/>
    <x v="106"/>
    <n v="23"/>
    <n v="1684.75"/>
    <n v="73.25"/>
    <x v="0"/>
    <x v="1"/>
    <x v="3"/>
    <x v="0"/>
    <x v="1"/>
  </r>
  <r>
    <s v="CUST00119"/>
    <n v="61"/>
    <s v="Female"/>
    <s v="Pune"/>
    <x v="2"/>
    <x v="355"/>
    <x v="50"/>
    <n v="12"/>
    <n v="1684.56"/>
    <n v="140.38"/>
    <x v="3"/>
    <x v="2"/>
    <x v="7"/>
    <x v="0"/>
    <x v="1"/>
  </r>
  <r>
    <s v="CUST01867"/>
    <n v="34"/>
    <s v="Male"/>
    <s v="Hyderabad"/>
    <x v="3"/>
    <x v="522"/>
    <x v="576"/>
    <n v="7"/>
    <n v="1684.55"/>
    <n v="240.65"/>
    <x v="1"/>
    <x v="2"/>
    <x v="4"/>
    <x v="0"/>
    <x v="1"/>
  </r>
  <r>
    <s v="CUST00617"/>
    <n v="50"/>
    <s v="Male"/>
    <s v="Kolkata"/>
    <x v="1"/>
    <x v="523"/>
    <x v="577"/>
    <n v="10"/>
    <n v="1682.9"/>
    <n v="168.29"/>
    <x v="3"/>
    <x v="0"/>
    <x v="5"/>
    <x v="0"/>
    <x v="1"/>
  </r>
  <r>
    <s v="CUST01406"/>
    <n v="29"/>
    <s v="Male"/>
    <s v="Kolkata"/>
    <x v="0"/>
    <x v="366"/>
    <x v="578"/>
    <n v="24"/>
    <n v="1682.4"/>
    <n v="70.09999999999999"/>
    <x v="4"/>
    <x v="2"/>
    <x v="1"/>
    <x v="0"/>
    <x v="1"/>
  </r>
  <r>
    <s v="CUST01169"/>
    <n v="27"/>
    <s v="Female"/>
    <s v="Delhi"/>
    <x v="1"/>
    <x v="188"/>
    <x v="122"/>
    <n v="9"/>
    <n v="1677.96"/>
    <n v="186.44"/>
    <x v="4"/>
    <x v="0"/>
    <x v="9"/>
    <x v="0"/>
    <x v="1"/>
  </r>
  <r>
    <s v="CUST01907"/>
    <n v="46"/>
    <s v="Female"/>
    <s v="Hyderabad"/>
    <x v="3"/>
    <x v="74"/>
    <x v="219"/>
    <n v="18"/>
    <n v="1675.8"/>
    <n v="93.09999999999999"/>
    <x v="0"/>
    <x v="2"/>
    <x v="3"/>
    <x v="0"/>
    <x v="1"/>
  </r>
  <r>
    <s v="CUST00127"/>
    <n v="22"/>
    <s v="Female"/>
    <s v="Hyderabad"/>
    <x v="3"/>
    <x v="36"/>
    <x v="579"/>
    <n v="9"/>
    <n v="1670.4"/>
    <n v="185.6"/>
    <x v="3"/>
    <x v="2"/>
    <x v="9"/>
    <x v="0"/>
    <x v="1"/>
  </r>
  <r>
    <s v="CUST00553"/>
    <n v="52"/>
    <s v="Male"/>
    <s v="Hyderabad"/>
    <x v="3"/>
    <x v="32"/>
    <x v="39"/>
    <n v="16"/>
    <n v="1670.08"/>
    <n v="104.38"/>
    <x v="2"/>
    <x v="1"/>
    <x v="5"/>
    <x v="0"/>
    <x v="1"/>
  </r>
  <r>
    <s v="CUST00145"/>
    <n v="45"/>
    <s v="Male"/>
    <s v="Pune"/>
    <x v="2"/>
    <x v="524"/>
    <x v="580"/>
    <n v="19"/>
    <n v="1667.06"/>
    <n v="87.73999999999999"/>
    <x v="1"/>
    <x v="0"/>
    <x v="7"/>
    <x v="1"/>
    <x v="1"/>
  </r>
  <r>
    <s v="CUST00019"/>
    <n v="64"/>
    <s v="Male"/>
    <s v="Chennai"/>
    <x v="0"/>
    <x v="485"/>
    <x v="581"/>
    <n v="12"/>
    <n v="1663.2"/>
    <n v="138.6"/>
    <x v="3"/>
    <x v="1"/>
    <x v="9"/>
    <x v="0"/>
    <x v="1"/>
  </r>
  <r>
    <s v="CUST01316"/>
    <n v="43"/>
    <s v="Female"/>
    <s v="Kolkata"/>
    <x v="3"/>
    <x v="466"/>
    <x v="424"/>
    <n v="15"/>
    <n v="1662.3"/>
    <n v="110.82"/>
    <x v="2"/>
    <x v="2"/>
    <x v="5"/>
    <x v="0"/>
    <x v="1"/>
  </r>
  <r>
    <s v="CUST01757"/>
    <n v="29"/>
    <s v="Male"/>
    <s v="Mumbai"/>
    <x v="3"/>
    <x v="525"/>
    <x v="356"/>
    <n v="15"/>
    <n v="1657.8"/>
    <n v="110.52"/>
    <x v="4"/>
    <x v="2"/>
    <x v="7"/>
    <x v="0"/>
    <x v="1"/>
  </r>
  <r>
    <s v="CUST01559"/>
    <n v="28"/>
    <s v="Male"/>
    <s v="Hyderabad"/>
    <x v="1"/>
    <x v="405"/>
    <x v="582"/>
    <n v="6"/>
    <n v="1657.5"/>
    <n v="276.25"/>
    <x v="3"/>
    <x v="0"/>
    <x v="0"/>
    <x v="1"/>
    <x v="1"/>
  </r>
  <r>
    <s v="CUST01119"/>
    <n v="23"/>
    <s v="Female"/>
    <s v="Delhi"/>
    <x v="0"/>
    <x v="244"/>
    <x v="583"/>
    <n v="11"/>
    <n v="1656.05"/>
    <n v="150.55"/>
    <x v="3"/>
    <x v="2"/>
    <x v="8"/>
    <x v="0"/>
    <x v="1"/>
  </r>
  <r>
    <s v="CUST01608"/>
    <n v="51"/>
    <s v="Female"/>
    <s v="Chennai"/>
    <x v="0"/>
    <x v="126"/>
    <x v="584"/>
    <n v="8"/>
    <n v="1653.44"/>
    <n v="206.68"/>
    <x v="1"/>
    <x v="1"/>
    <x v="9"/>
    <x v="0"/>
    <x v="1"/>
  </r>
  <r>
    <s v="CUST00303"/>
    <n v="42"/>
    <s v="Female"/>
    <s v="Chennai"/>
    <x v="2"/>
    <x v="23"/>
    <x v="585"/>
    <n v="8"/>
    <n v="1650.8"/>
    <n v="206.35"/>
    <x v="1"/>
    <x v="2"/>
    <x v="6"/>
    <x v="0"/>
    <x v="1"/>
  </r>
  <r>
    <s v="CUST00577"/>
    <n v="30"/>
    <s v="Male"/>
    <s v="Pune"/>
    <x v="0"/>
    <x v="136"/>
    <x v="19"/>
    <n v="12"/>
    <n v="1647.12"/>
    <n v="137.26"/>
    <x v="0"/>
    <x v="1"/>
    <x v="3"/>
    <x v="0"/>
    <x v="1"/>
  </r>
  <r>
    <s v="CUST00981"/>
    <n v="31"/>
    <s v="Male"/>
    <s v="Delhi"/>
    <x v="3"/>
    <x v="70"/>
    <x v="551"/>
    <n v="8"/>
    <n v="1637.28"/>
    <n v="204.66"/>
    <x v="3"/>
    <x v="2"/>
    <x v="6"/>
    <x v="0"/>
    <x v="1"/>
  </r>
  <r>
    <s v="CUST01216"/>
    <n v="63"/>
    <s v="Female"/>
    <s v="Bangalore"/>
    <x v="0"/>
    <x v="526"/>
    <x v="331"/>
    <n v="8"/>
    <n v="1636.64"/>
    <n v="204.58"/>
    <x v="1"/>
    <x v="2"/>
    <x v="1"/>
    <x v="0"/>
    <x v="1"/>
  </r>
  <r>
    <s v="CUST00931"/>
    <n v="22"/>
    <s v="Male"/>
    <s v="Chennai"/>
    <x v="3"/>
    <x v="100"/>
    <x v="368"/>
    <n v="9"/>
    <n v="1632.78"/>
    <n v="181.42"/>
    <x v="4"/>
    <x v="1"/>
    <x v="1"/>
    <x v="0"/>
    <x v="1"/>
  </r>
  <r>
    <s v="CUST00035"/>
    <n v="22"/>
    <s v="Female"/>
    <s v="Bangalore"/>
    <x v="3"/>
    <x v="407"/>
    <x v="303"/>
    <n v="22"/>
    <n v="1629.76"/>
    <n v="74.08"/>
    <x v="0"/>
    <x v="1"/>
    <x v="6"/>
    <x v="0"/>
    <x v="1"/>
  </r>
  <r>
    <s v="CUST00714"/>
    <n v="57"/>
    <s v="Female"/>
    <s v="Chennai"/>
    <x v="2"/>
    <x v="527"/>
    <x v="539"/>
    <n v="21"/>
    <n v="1626.24"/>
    <n v="77.44"/>
    <x v="2"/>
    <x v="2"/>
    <x v="1"/>
    <x v="0"/>
    <x v="1"/>
  </r>
  <r>
    <s v="CUST01980"/>
    <n v="19"/>
    <s v="Male"/>
    <s v="Hyderabad"/>
    <x v="0"/>
    <x v="528"/>
    <x v="458"/>
    <n v="17"/>
    <n v="1621.63"/>
    <n v="95.39"/>
    <x v="0"/>
    <x v="2"/>
    <x v="4"/>
    <x v="0"/>
    <x v="1"/>
  </r>
  <r>
    <s v="CUST01199"/>
    <n v="65"/>
    <s v="Female"/>
    <s v="Delhi"/>
    <x v="3"/>
    <x v="260"/>
    <x v="586"/>
    <n v="11"/>
    <n v="1618.43"/>
    <n v="147.13"/>
    <x v="0"/>
    <x v="1"/>
    <x v="6"/>
    <x v="0"/>
    <x v="1"/>
  </r>
  <r>
    <s v="CUST00179"/>
    <n v="62"/>
    <s v="Male"/>
    <s v="Hyderabad"/>
    <x v="3"/>
    <x v="94"/>
    <x v="587"/>
    <n v="15"/>
    <n v="1617.45"/>
    <n v="107.83"/>
    <x v="3"/>
    <x v="0"/>
    <x v="5"/>
    <x v="1"/>
    <x v="1"/>
  </r>
  <r>
    <s v="CUST00888"/>
    <n v="42"/>
    <s v="Male"/>
    <s v="Delhi"/>
    <x v="1"/>
    <x v="426"/>
    <x v="93"/>
    <n v="8"/>
    <n v="1616.56"/>
    <n v="202.07"/>
    <x v="0"/>
    <x v="2"/>
    <x v="6"/>
    <x v="0"/>
    <x v="1"/>
  </r>
  <r>
    <s v="CUST01167"/>
    <n v="39"/>
    <s v="Male"/>
    <s v="Mumbai"/>
    <x v="3"/>
    <x v="87"/>
    <x v="565"/>
    <n v="24"/>
    <n v="1615.44"/>
    <n v="67.31"/>
    <x v="1"/>
    <x v="1"/>
    <x v="8"/>
    <x v="0"/>
    <x v="1"/>
  </r>
  <r>
    <s v="CUST01387"/>
    <n v="41"/>
    <s v="Male"/>
    <s v="Hyderabad"/>
    <x v="3"/>
    <x v="229"/>
    <x v="457"/>
    <n v="6"/>
    <n v="1610.64"/>
    <n v="268.44"/>
    <x v="4"/>
    <x v="0"/>
    <x v="2"/>
    <x v="0"/>
    <x v="1"/>
  </r>
  <r>
    <s v="CUST00901"/>
    <n v="61"/>
    <s v="Male"/>
    <s v="Delhi"/>
    <x v="1"/>
    <x v="380"/>
    <x v="288"/>
    <n v="6"/>
    <n v="1607.22"/>
    <n v="267.87"/>
    <x v="3"/>
    <x v="1"/>
    <x v="0"/>
    <x v="0"/>
    <x v="1"/>
  </r>
  <r>
    <s v="CUST00268"/>
    <n v="21"/>
    <s v="Male"/>
    <s v="Hyderabad"/>
    <x v="3"/>
    <x v="38"/>
    <x v="438"/>
    <n v="7"/>
    <n v="1605.8"/>
    <n v="229.4"/>
    <x v="3"/>
    <x v="2"/>
    <x v="2"/>
    <x v="0"/>
    <x v="1"/>
  </r>
  <r>
    <s v="CUST00680"/>
    <n v="31"/>
    <s v="Male"/>
    <s v="Pune"/>
    <x v="1"/>
    <x v="529"/>
    <x v="226"/>
    <n v="9"/>
    <n v="1599.39"/>
    <n v="177.71"/>
    <x v="2"/>
    <x v="2"/>
    <x v="0"/>
    <x v="0"/>
    <x v="1"/>
  </r>
  <r>
    <s v="CUST00434"/>
    <n v="43"/>
    <s v="Male"/>
    <s v="Chennai"/>
    <x v="1"/>
    <x v="31"/>
    <x v="588"/>
    <n v="9"/>
    <n v="1596.6"/>
    <n v="177.4"/>
    <x v="3"/>
    <x v="2"/>
    <x v="1"/>
    <x v="0"/>
    <x v="1"/>
  </r>
  <r>
    <s v="CUST01359"/>
    <n v="62"/>
    <s v="Male"/>
    <s v="Chennai"/>
    <x v="0"/>
    <x v="127"/>
    <x v="278"/>
    <n v="8"/>
    <n v="1594.64"/>
    <n v="199.33"/>
    <x v="0"/>
    <x v="2"/>
    <x v="2"/>
    <x v="0"/>
    <x v="1"/>
  </r>
  <r>
    <s v="CUST01550"/>
    <n v="49"/>
    <s v="Female"/>
    <s v="Hyderabad"/>
    <x v="2"/>
    <x v="130"/>
    <x v="448"/>
    <n v="8"/>
    <n v="1588"/>
    <n v="198.5"/>
    <x v="2"/>
    <x v="2"/>
    <x v="6"/>
    <x v="0"/>
    <x v="1"/>
  </r>
  <r>
    <s v="CUST01051"/>
    <n v="57"/>
    <s v="Male"/>
    <s v="Mumbai"/>
    <x v="0"/>
    <x v="402"/>
    <x v="317"/>
    <n v="8"/>
    <n v="1572"/>
    <n v="196.5"/>
    <x v="3"/>
    <x v="2"/>
    <x v="3"/>
    <x v="1"/>
    <x v="1"/>
  </r>
  <r>
    <s v="CUST01026"/>
    <n v="30"/>
    <s v="Male"/>
    <s v="Pune"/>
    <x v="0"/>
    <x v="201"/>
    <x v="589"/>
    <n v="24"/>
    <n v="1569.36"/>
    <n v="65.39"/>
    <x v="3"/>
    <x v="2"/>
    <x v="6"/>
    <x v="0"/>
    <x v="1"/>
  </r>
  <r>
    <s v="CUST01078"/>
    <n v="44"/>
    <s v="Female"/>
    <s v="Pune"/>
    <x v="3"/>
    <x v="12"/>
    <x v="285"/>
    <n v="20"/>
    <n v="1567.8"/>
    <n v="78.39"/>
    <x v="0"/>
    <x v="2"/>
    <x v="9"/>
    <x v="1"/>
    <x v="1"/>
  </r>
  <r>
    <s v="CUST00774"/>
    <n v="23"/>
    <s v="Female"/>
    <s v="Hyderabad"/>
    <x v="2"/>
    <x v="480"/>
    <x v="277"/>
    <n v="9"/>
    <n v="1567.35"/>
    <n v="174.15"/>
    <x v="1"/>
    <x v="0"/>
    <x v="6"/>
    <x v="1"/>
    <x v="1"/>
  </r>
  <r>
    <s v="CUST01445"/>
    <n v="59"/>
    <s v="Male"/>
    <s v="Kolkata"/>
    <x v="1"/>
    <x v="59"/>
    <x v="590"/>
    <n v="19"/>
    <n v="1565.79"/>
    <n v="82.41"/>
    <x v="0"/>
    <x v="1"/>
    <x v="7"/>
    <x v="0"/>
    <x v="1"/>
  </r>
  <r>
    <s v="CUST01627"/>
    <n v="57"/>
    <s v="Male"/>
    <s v="Hyderabad"/>
    <x v="0"/>
    <x v="59"/>
    <x v="71"/>
    <n v="16"/>
    <n v="1565.12"/>
    <n v="97.81999999999999"/>
    <x v="2"/>
    <x v="1"/>
    <x v="4"/>
    <x v="1"/>
    <x v="1"/>
  </r>
  <r>
    <s v="CUST01001"/>
    <n v="36"/>
    <s v="Male"/>
    <s v="Hyderabad"/>
    <x v="0"/>
    <x v="225"/>
    <x v="205"/>
    <n v="10"/>
    <n v="1563.1"/>
    <n v="156.31"/>
    <x v="1"/>
    <x v="1"/>
    <x v="4"/>
    <x v="1"/>
    <x v="1"/>
  </r>
  <r>
    <s v="CUST00390"/>
    <n v="39"/>
    <s v="Female"/>
    <s v="Mumbai"/>
    <x v="1"/>
    <x v="427"/>
    <x v="591"/>
    <n v="7"/>
    <n v="1562.12"/>
    <n v="223.16"/>
    <x v="3"/>
    <x v="1"/>
    <x v="4"/>
    <x v="0"/>
    <x v="1"/>
  </r>
  <r>
    <s v="CUST01926"/>
    <n v="38"/>
    <s v="Male"/>
    <s v="Hyderabad"/>
    <x v="0"/>
    <x v="310"/>
    <x v="129"/>
    <n v="14"/>
    <n v="1560.72"/>
    <n v="111.48"/>
    <x v="3"/>
    <x v="0"/>
    <x v="4"/>
    <x v="0"/>
    <x v="1"/>
  </r>
  <r>
    <s v="CUST01468"/>
    <n v="57"/>
    <s v="Female"/>
    <s v="Mumbai"/>
    <x v="2"/>
    <x v="241"/>
    <x v="592"/>
    <n v="18"/>
    <n v="1558.98"/>
    <n v="86.61"/>
    <x v="4"/>
    <x v="2"/>
    <x v="7"/>
    <x v="0"/>
    <x v="1"/>
  </r>
  <r>
    <s v="CUST00549"/>
    <n v="22"/>
    <s v="Female"/>
    <s v="Bangalore"/>
    <x v="1"/>
    <x v="530"/>
    <x v="256"/>
    <n v="10"/>
    <n v="1557.3"/>
    <n v="155.73"/>
    <x v="0"/>
    <x v="1"/>
    <x v="1"/>
    <x v="1"/>
    <x v="1"/>
  </r>
  <r>
    <s v="CUST01670"/>
    <n v="52"/>
    <s v="Male"/>
    <s v="Chennai"/>
    <x v="3"/>
    <x v="505"/>
    <x v="593"/>
    <n v="9"/>
    <n v="1555.74"/>
    <n v="172.86"/>
    <x v="0"/>
    <x v="0"/>
    <x v="2"/>
    <x v="0"/>
    <x v="1"/>
  </r>
  <r>
    <s v="CUST01904"/>
    <n v="48"/>
    <s v="Female"/>
    <s v="Kolkata"/>
    <x v="0"/>
    <x v="401"/>
    <x v="566"/>
    <n v="18"/>
    <n v="1554.3"/>
    <n v="86.34999999999999"/>
    <x v="0"/>
    <x v="1"/>
    <x v="7"/>
    <x v="0"/>
    <x v="1"/>
  </r>
  <r>
    <s v="CUST01441"/>
    <n v="18"/>
    <s v="Female"/>
    <s v="Chennai"/>
    <x v="2"/>
    <x v="468"/>
    <x v="260"/>
    <n v="7"/>
    <n v="1552.74"/>
    <n v="221.82"/>
    <x v="0"/>
    <x v="1"/>
    <x v="9"/>
    <x v="0"/>
    <x v="1"/>
  </r>
  <r>
    <s v="CUST01529"/>
    <n v="23"/>
    <s v="Male"/>
    <s v="Hyderabad"/>
    <x v="1"/>
    <x v="279"/>
    <x v="389"/>
    <n v="12"/>
    <n v="1552.44"/>
    <n v="129.37"/>
    <x v="2"/>
    <x v="2"/>
    <x v="9"/>
    <x v="0"/>
    <x v="1"/>
  </r>
  <r>
    <s v="CUST00749"/>
    <n v="35"/>
    <s v="Male"/>
    <s v="Chennai"/>
    <x v="3"/>
    <x v="531"/>
    <x v="20"/>
    <n v="11"/>
    <n v="1552.21"/>
    <n v="141.11"/>
    <x v="2"/>
    <x v="1"/>
    <x v="3"/>
    <x v="0"/>
    <x v="1"/>
  </r>
  <r>
    <s v="CUST00533"/>
    <n v="48"/>
    <s v="Female"/>
    <s v="Delhi"/>
    <x v="2"/>
    <x v="37"/>
    <x v="450"/>
    <n v="8"/>
    <n v="1550.72"/>
    <n v="193.84"/>
    <x v="1"/>
    <x v="0"/>
    <x v="4"/>
    <x v="0"/>
    <x v="1"/>
  </r>
  <r>
    <s v="CUST00233"/>
    <n v="59"/>
    <s v="Male"/>
    <s v="Bangalore"/>
    <x v="2"/>
    <x v="211"/>
    <x v="36"/>
    <n v="11"/>
    <n v="1546.27"/>
    <n v="140.57"/>
    <x v="0"/>
    <x v="0"/>
    <x v="0"/>
    <x v="0"/>
    <x v="1"/>
  </r>
  <r>
    <s v="CUST00705"/>
    <n v="25"/>
    <s v="Male"/>
    <s v="Hyderabad"/>
    <x v="2"/>
    <x v="532"/>
    <x v="178"/>
    <n v="11"/>
    <n v="1546.27"/>
    <n v="140.57"/>
    <x v="4"/>
    <x v="1"/>
    <x v="6"/>
    <x v="0"/>
    <x v="1"/>
  </r>
  <r>
    <s v="CUST01614"/>
    <n v="64"/>
    <s v="Female"/>
    <s v="Chennai"/>
    <x v="0"/>
    <x v="318"/>
    <x v="407"/>
    <n v="25"/>
    <n v="1544.5"/>
    <n v="61.78"/>
    <x v="3"/>
    <x v="1"/>
    <x v="0"/>
    <x v="0"/>
    <x v="1"/>
  </r>
  <r>
    <s v="CUST00739"/>
    <n v="61"/>
    <s v="Female"/>
    <s v="Bangalore"/>
    <x v="1"/>
    <x v="122"/>
    <x v="594"/>
    <n v="16"/>
    <n v="1544.48"/>
    <n v="96.53"/>
    <x v="0"/>
    <x v="0"/>
    <x v="1"/>
    <x v="0"/>
    <x v="1"/>
  </r>
  <r>
    <s v="CUST00671"/>
    <n v="41"/>
    <s v="Female"/>
    <s v="Delhi"/>
    <x v="0"/>
    <x v="278"/>
    <x v="297"/>
    <n v="8"/>
    <n v="1543.6"/>
    <n v="192.95"/>
    <x v="2"/>
    <x v="2"/>
    <x v="9"/>
    <x v="0"/>
    <x v="1"/>
  </r>
  <r>
    <s v="CUST00011"/>
    <n v="18"/>
    <s v="Male"/>
    <s v="Chennai"/>
    <x v="2"/>
    <x v="533"/>
    <x v="57"/>
    <n v="17"/>
    <n v="1536.8"/>
    <n v="90.40000000000001"/>
    <x v="4"/>
    <x v="2"/>
    <x v="1"/>
    <x v="0"/>
    <x v="1"/>
  </r>
  <r>
    <s v="CUST01662"/>
    <n v="26"/>
    <s v="Female"/>
    <s v="Hyderabad"/>
    <x v="3"/>
    <x v="191"/>
    <x v="579"/>
    <n v="8"/>
    <n v="1535.52"/>
    <n v="191.94"/>
    <x v="1"/>
    <x v="0"/>
    <x v="2"/>
    <x v="0"/>
    <x v="1"/>
  </r>
  <r>
    <s v="CUST00488"/>
    <n v="40"/>
    <s v="Female"/>
    <s v="Chennai"/>
    <x v="2"/>
    <x v="274"/>
    <x v="400"/>
    <n v="24"/>
    <n v="1535.04"/>
    <n v="63.96"/>
    <x v="1"/>
    <x v="0"/>
    <x v="1"/>
    <x v="0"/>
    <x v="1"/>
  </r>
  <r>
    <s v="CUST00278"/>
    <n v="20"/>
    <s v="Female"/>
    <s v="Mumbai"/>
    <x v="2"/>
    <x v="15"/>
    <x v="212"/>
    <n v="12"/>
    <n v="1526.76"/>
    <n v="127.23"/>
    <x v="1"/>
    <x v="1"/>
    <x v="9"/>
    <x v="1"/>
    <x v="1"/>
  </r>
  <r>
    <s v="CUST00297"/>
    <n v="65"/>
    <s v="Male"/>
    <s v="Kolkata"/>
    <x v="1"/>
    <x v="19"/>
    <x v="595"/>
    <n v="9"/>
    <n v="1524.87"/>
    <n v="169.43"/>
    <x v="0"/>
    <x v="1"/>
    <x v="9"/>
    <x v="0"/>
    <x v="1"/>
  </r>
  <r>
    <s v="CUST00889"/>
    <n v="22"/>
    <s v="Female"/>
    <s v="Bangalore"/>
    <x v="3"/>
    <x v="387"/>
    <x v="596"/>
    <n v="7"/>
    <n v="1521.1"/>
    <n v="217.3"/>
    <x v="1"/>
    <x v="0"/>
    <x v="5"/>
    <x v="0"/>
    <x v="1"/>
  </r>
  <r>
    <s v="CUST00384"/>
    <n v="25"/>
    <s v="Male"/>
    <s v="Chennai"/>
    <x v="0"/>
    <x v="455"/>
    <x v="364"/>
    <n v="14"/>
    <n v="1520.26"/>
    <n v="108.59"/>
    <x v="0"/>
    <x v="2"/>
    <x v="8"/>
    <x v="0"/>
    <x v="1"/>
  </r>
  <r>
    <s v="CUST00420"/>
    <n v="43"/>
    <s v="Male"/>
    <s v="Bangalore"/>
    <x v="1"/>
    <x v="231"/>
    <x v="597"/>
    <n v="8"/>
    <n v="1518.24"/>
    <n v="189.78"/>
    <x v="2"/>
    <x v="0"/>
    <x v="8"/>
    <x v="0"/>
    <x v="1"/>
  </r>
  <r>
    <s v="CUST00639"/>
    <n v="37"/>
    <s v="Female"/>
    <s v="Hyderabad"/>
    <x v="0"/>
    <x v="273"/>
    <x v="230"/>
    <n v="23"/>
    <n v="1517.08"/>
    <n v="65.95999999999999"/>
    <x v="0"/>
    <x v="0"/>
    <x v="2"/>
    <x v="0"/>
    <x v="1"/>
  </r>
  <r>
    <s v="CUST00937"/>
    <n v="35"/>
    <s v="Female"/>
    <s v="Delhi"/>
    <x v="1"/>
    <x v="213"/>
    <x v="11"/>
    <n v="7"/>
    <n v="1516.48"/>
    <n v="216.64"/>
    <x v="2"/>
    <x v="2"/>
    <x v="0"/>
    <x v="0"/>
    <x v="1"/>
  </r>
  <r>
    <s v="CUST00492"/>
    <n v="28"/>
    <s v="Female"/>
    <s v="Delhi"/>
    <x v="0"/>
    <x v="451"/>
    <x v="131"/>
    <n v="25"/>
    <n v="1516"/>
    <n v="60.64"/>
    <x v="1"/>
    <x v="1"/>
    <x v="5"/>
    <x v="0"/>
    <x v="1"/>
  </r>
  <r>
    <s v="CUST00013"/>
    <n v="28"/>
    <s v="Male"/>
    <s v="Pune"/>
    <x v="2"/>
    <x v="470"/>
    <x v="598"/>
    <n v="20"/>
    <n v="1514"/>
    <n v="75.7"/>
    <x v="2"/>
    <x v="2"/>
    <x v="8"/>
    <x v="0"/>
    <x v="1"/>
  </r>
  <r>
    <s v="CUST01234"/>
    <n v="40"/>
    <s v="Male"/>
    <s v="Delhi"/>
    <x v="0"/>
    <x v="389"/>
    <x v="599"/>
    <n v="11"/>
    <n v="1512.5"/>
    <n v="137.5"/>
    <x v="2"/>
    <x v="2"/>
    <x v="4"/>
    <x v="0"/>
    <x v="1"/>
  </r>
  <r>
    <s v="CUST00174"/>
    <n v="43"/>
    <s v="Male"/>
    <s v="Delhi"/>
    <x v="0"/>
    <x v="225"/>
    <x v="600"/>
    <n v="25"/>
    <n v="1509.75"/>
    <n v="60.39"/>
    <x v="1"/>
    <x v="0"/>
    <x v="9"/>
    <x v="0"/>
    <x v="1"/>
  </r>
  <r>
    <s v="CUST00743"/>
    <n v="62"/>
    <s v="Female"/>
    <s v="Kolkata"/>
    <x v="3"/>
    <x v="496"/>
    <x v="601"/>
    <n v="22"/>
    <n v="1508.98"/>
    <n v="68.59"/>
    <x v="0"/>
    <x v="2"/>
    <x v="8"/>
    <x v="0"/>
    <x v="1"/>
  </r>
  <r>
    <s v="CUST01556"/>
    <n v="46"/>
    <s v="Male"/>
    <s v="Chennai"/>
    <x v="2"/>
    <x v="106"/>
    <x v="602"/>
    <n v="12"/>
    <n v="1503.24"/>
    <n v="125.27"/>
    <x v="4"/>
    <x v="1"/>
    <x v="4"/>
    <x v="0"/>
    <x v="1"/>
  </r>
  <r>
    <s v="CUST00921"/>
    <n v="56"/>
    <s v="Male"/>
    <s v="Kolkata"/>
    <x v="3"/>
    <x v="335"/>
    <x v="346"/>
    <n v="6"/>
    <n v="1501.8"/>
    <n v="250.3"/>
    <x v="2"/>
    <x v="1"/>
    <x v="7"/>
    <x v="0"/>
    <x v="1"/>
  </r>
  <r>
    <s v="CUST01998"/>
    <n v="32"/>
    <s v="Female"/>
    <s v="Hyderabad"/>
    <x v="0"/>
    <x v="534"/>
    <x v="343"/>
    <n v="14"/>
    <n v="1501.36"/>
    <n v="107.24"/>
    <x v="3"/>
    <x v="1"/>
    <x v="8"/>
    <x v="0"/>
    <x v="1"/>
  </r>
  <r>
    <s v="CUST01124"/>
    <n v="40"/>
    <s v="Female"/>
    <s v="Mumbai"/>
    <x v="2"/>
    <x v="43"/>
    <x v="47"/>
    <n v="19"/>
    <n v="1500.81"/>
    <n v="78.98999999999999"/>
    <x v="0"/>
    <x v="0"/>
    <x v="1"/>
    <x v="0"/>
    <x v="1"/>
  </r>
  <r>
    <s v="CUST00336"/>
    <n v="21"/>
    <s v="Male"/>
    <s v="Hyderabad"/>
    <x v="1"/>
    <x v="535"/>
    <x v="380"/>
    <n v="10"/>
    <n v="1498.5"/>
    <n v="149.85"/>
    <x v="0"/>
    <x v="2"/>
    <x v="7"/>
    <x v="1"/>
    <x v="1"/>
  </r>
  <r>
    <s v="CUST00768"/>
    <n v="57"/>
    <s v="Female"/>
    <s v="Chennai"/>
    <x v="0"/>
    <x v="313"/>
    <x v="240"/>
    <n v="22"/>
    <n v="1495.56"/>
    <n v="67.98"/>
    <x v="3"/>
    <x v="2"/>
    <x v="5"/>
    <x v="0"/>
    <x v="1"/>
  </r>
  <r>
    <s v="CUST01519"/>
    <n v="30"/>
    <s v="Female"/>
    <s v="Mumbai"/>
    <x v="1"/>
    <x v="38"/>
    <x v="603"/>
    <n v="8"/>
    <n v="1489.04"/>
    <n v="186.13"/>
    <x v="2"/>
    <x v="0"/>
    <x v="9"/>
    <x v="0"/>
    <x v="1"/>
  </r>
  <r>
    <s v="CUST00298"/>
    <n v="62"/>
    <s v="Female"/>
    <s v="Pune"/>
    <x v="0"/>
    <x v="367"/>
    <x v="258"/>
    <n v="8"/>
    <n v="1487.28"/>
    <n v="185.91"/>
    <x v="4"/>
    <x v="0"/>
    <x v="4"/>
    <x v="0"/>
    <x v="1"/>
  </r>
  <r>
    <s v="CUST01743"/>
    <n v="49"/>
    <s v="Male"/>
    <s v="Kolkata"/>
    <x v="3"/>
    <x v="49"/>
    <x v="604"/>
    <n v="15"/>
    <n v="1486.65"/>
    <n v="99.11"/>
    <x v="1"/>
    <x v="2"/>
    <x v="2"/>
    <x v="0"/>
    <x v="1"/>
  </r>
  <r>
    <s v="CUST01953"/>
    <n v="19"/>
    <s v="Female"/>
    <s v="Pune"/>
    <x v="0"/>
    <x v="426"/>
    <x v="412"/>
    <n v="8"/>
    <n v="1486"/>
    <n v="185.75"/>
    <x v="2"/>
    <x v="1"/>
    <x v="7"/>
    <x v="0"/>
    <x v="1"/>
  </r>
  <r>
    <s v="CUST00678"/>
    <n v="45"/>
    <s v="Male"/>
    <s v="Hyderabad"/>
    <x v="0"/>
    <x v="369"/>
    <x v="331"/>
    <n v="16"/>
    <n v="1485.76"/>
    <n v="92.86"/>
    <x v="2"/>
    <x v="1"/>
    <x v="3"/>
    <x v="0"/>
    <x v="1"/>
  </r>
  <r>
    <s v="CUST00433"/>
    <n v="29"/>
    <s v="Female"/>
    <s v="Hyderabad"/>
    <x v="1"/>
    <x v="104"/>
    <x v="287"/>
    <n v="24"/>
    <n v="1484.88"/>
    <n v="61.87"/>
    <x v="0"/>
    <x v="0"/>
    <x v="9"/>
    <x v="0"/>
    <x v="1"/>
  </r>
  <r>
    <s v="CUST01025"/>
    <n v="30"/>
    <s v="Male"/>
    <s v="Bangalore"/>
    <x v="3"/>
    <x v="264"/>
    <x v="605"/>
    <n v="5"/>
    <n v="1484.4"/>
    <n v="296.88"/>
    <x v="2"/>
    <x v="0"/>
    <x v="1"/>
    <x v="0"/>
    <x v="1"/>
  </r>
  <r>
    <s v="CUST01170"/>
    <n v="48"/>
    <s v="Female"/>
    <s v="Chennai"/>
    <x v="2"/>
    <x v="536"/>
    <x v="398"/>
    <n v="23"/>
    <n v="1479.36"/>
    <n v="64.31999999999999"/>
    <x v="1"/>
    <x v="0"/>
    <x v="5"/>
    <x v="0"/>
    <x v="1"/>
  </r>
  <r>
    <s v="CUST00593"/>
    <n v="63"/>
    <s v="Male"/>
    <s v="Pune"/>
    <x v="1"/>
    <x v="537"/>
    <x v="605"/>
    <n v="12"/>
    <n v="1471.2"/>
    <n v="122.6"/>
    <x v="1"/>
    <x v="1"/>
    <x v="0"/>
    <x v="0"/>
    <x v="1"/>
  </r>
  <r>
    <s v="CUST00386"/>
    <n v="52"/>
    <s v="Female"/>
    <s v="Chennai"/>
    <x v="1"/>
    <x v="538"/>
    <x v="380"/>
    <n v="18"/>
    <n v="1468.08"/>
    <n v="81.56"/>
    <x v="4"/>
    <x v="0"/>
    <x v="9"/>
    <x v="0"/>
    <x v="1"/>
  </r>
  <r>
    <s v="CUST00596"/>
    <n v="61"/>
    <s v="Male"/>
    <s v="Mumbai"/>
    <x v="3"/>
    <x v="539"/>
    <x v="606"/>
    <n v="10"/>
    <n v="1465.5"/>
    <n v="146.55"/>
    <x v="3"/>
    <x v="2"/>
    <x v="7"/>
    <x v="0"/>
    <x v="1"/>
  </r>
  <r>
    <s v="CUST01339"/>
    <n v="62"/>
    <s v="Male"/>
    <s v="Pune"/>
    <x v="2"/>
    <x v="67"/>
    <x v="496"/>
    <n v="8"/>
    <n v="1465.36"/>
    <n v="183.17"/>
    <x v="0"/>
    <x v="2"/>
    <x v="7"/>
    <x v="1"/>
    <x v="1"/>
  </r>
  <r>
    <s v="CUST00551"/>
    <n v="39"/>
    <s v="Male"/>
    <s v="Mumbai"/>
    <x v="1"/>
    <x v="198"/>
    <x v="268"/>
    <n v="6"/>
    <n v="1462.92"/>
    <n v="243.82"/>
    <x v="2"/>
    <x v="1"/>
    <x v="7"/>
    <x v="0"/>
    <x v="1"/>
  </r>
  <r>
    <s v="CUST01261"/>
    <n v="61"/>
    <s v="Male"/>
    <s v="Pune"/>
    <x v="2"/>
    <x v="256"/>
    <x v="401"/>
    <n v="18"/>
    <n v="1460.52"/>
    <n v="81.14"/>
    <x v="0"/>
    <x v="2"/>
    <x v="2"/>
    <x v="0"/>
    <x v="1"/>
  </r>
  <r>
    <s v="CUST00039"/>
    <n v="26"/>
    <s v="Male"/>
    <s v="Hyderabad"/>
    <x v="3"/>
    <x v="540"/>
    <x v="607"/>
    <n v="11"/>
    <n v="1459.37"/>
    <n v="132.67"/>
    <x v="1"/>
    <x v="0"/>
    <x v="4"/>
    <x v="0"/>
    <x v="1"/>
  </r>
  <r>
    <s v="CUST01093"/>
    <n v="32"/>
    <s v="Female"/>
    <s v="Bangalore"/>
    <x v="3"/>
    <x v="497"/>
    <x v="568"/>
    <n v="8"/>
    <n v="1454.48"/>
    <n v="181.81"/>
    <x v="0"/>
    <x v="2"/>
    <x v="1"/>
    <x v="1"/>
    <x v="1"/>
  </r>
  <r>
    <s v="CUST00973"/>
    <n v="59"/>
    <s v="Male"/>
    <s v="Hyderabad"/>
    <x v="2"/>
    <x v="541"/>
    <x v="358"/>
    <n v="8"/>
    <n v="1451.2"/>
    <n v="181.4"/>
    <x v="1"/>
    <x v="1"/>
    <x v="6"/>
    <x v="0"/>
    <x v="1"/>
  </r>
  <r>
    <s v="CUST00762"/>
    <n v="47"/>
    <s v="Female"/>
    <s v="Kolkata"/>
    <x v="2"/>
    <x v="542"/>
    <x v="17"/>
    <n v="7"/>
    <n v="1449"/>
    <n v="207"/>
    <x v="0"/>
    <x v="1"/>
    <x v="7"/>
    <x v="0"/>
    <x v="1"/>
  </r>
  <r>
    <s v="CUST01400"/>
    <n v="45"/>
    <s v="Female"/>
    <s v="Hyderabad"/>
    <x v="0"/>
    <x v="150"/>
    <x v="149"/>
    <n v="12"/>
    <n v="1448.04"/>
    <n v="120.67"/>
    <x v="2"/>
    <x v="1"/>
    <x v="9"/>
    <x v="1"/>
    <x v="1"/>
  </r>
  <r>
    <s v="CUST00600"/>
    <n v="41"/>
    <s v="Female"/>
    <s v="Kolkata"/>
    <x v="0"/>
    <x v="321"/>
    <x v="135"/>
    <n v="6"/>
    <n v="1446"/>
    <n v="241"/>
    <x v="1"/>
    <x v="1"/>
    <x v="1"/>
    <x v="0"/>
    <x v="1"/>
  </r>
  <r>
    <s v="CUST01902"/>
    <n v="43"/>
    <s v="Female"/>
    <s v="Pune"/>
    <x v="0"/>
    <x v="543"/>
    <x v="123"/>
    <n v="5"/>
    <n v="1445.65"/>
    <n v="289.13"/>
    <x v="3"/>
    <x v="0"/>
    <x v="5"/>
    <x v="1"/>
    <x v="1"/>
  </r>
  <r>
    <s v="CUST00228"/>
    <n v="24"/>
    <s v="Male"/>
    <s v="Delhi"/>
    <x v="1"/>
    <x v="76"/>
    <x v="267"/>
    <n v="10"/>
    <n v="1445.3"/>
    <n v="144.53"/>
    <x v="2"/>
    <x v="1"/>
    <x v="3"/>
    <x v="0"/>
    <x v="1"/>
  </r>
  <r>
    <s v="CUST01599"/>
    <n v="48"/>
    <s v="Female"/>
    <s v="Bangalore"/>
    <x v="2"/>
    <x v="428"/>
    <x v="608"/>
    <n v="6"/>
    <n v="1442.04"/>
    <n v="240.34"/>
    <x v="4"/>
    <x v="0"/>
    <x v="1"/>
    <x v="0"/>
    <x v="1"/>
  </r>
  <r>
    <s v="CUST00990"/>
    <n v="36"/>
    <s v="Female"/>
    <s v="Chennai"/>
    <x v="0"/>
    <x v="468"/>
    <x v="313"/>
    <n v="6"/>
    <n v="1440"/>
    <n v="240"/>
    <x v="3"/>
    <x v="2"/>
    <x v="3"/>
    <x v="0"/>
    <x v="1"/>
  </r>
  <r>
    <s v="CUST01028"/>
    <n v="26"/>
    <s v="Male"/>
    <s v="Hyderabad"/>
    <x v="3"/>
    <x v="538"/>
    <x v="375"/>
    <n v="12"/>
    <n v="1437.84"/>
    <n v="119.82"/>
    <x v="2"/>
    <x v="2"/>
    <x v="4"/>
    <x v="0"/>
    <x v="1"/>
  </r>
  <r>
    <s v="CUST01003"/>
    <n v="27"/>
    <s v="Male"/>
    <s v="Hyderabad"/>
    <x v="0"/>
    <x v="285"/>
    <x v="579"/>
    <n v="5"/>
    <n v="1435.15"/>
    <n v="287.03"/>
    <x v="4"/>
    <x v="2"/>
    <x v="6"/>
    <x v="0"/>
    <x v="1"/>
  </r>
  <r>
    <s v="CUST01808"/>
    <n v="50"/>
    <s v="Male"/>
    <s v="Chennai"/>
    <x v="0"/>
    <x v="29"/>
    <x v="507"/>
    <n v="5"/>
    <n v="1433.2"/>
    <n v="286.64"/>
    <x v="0"/>
    <x v="1"/>
    <x v="1"/>
    <x v="0"/>
    <x v="1"/>
  </r>
  <r>
    <s v="CUST01446"/>
    <n v="46"/>
    <s v="Male"/>
    <s v="Hyderabad"/>
    <x v="0"/>
    <x v="520"/>
    <x v="408"/>
    <n v="17"/>
    <n v="1431.06"/>
    <n v="84.18000000000001"/>
    <x v="2"/>
    <x v="2"/>
    <x v="8"/>
    <x v="0"/>
    <x v="1"/>
  </r>
  <r>
    <s v="CUST00224"/>
    <n v="61"/>
    <s v="Female"/>
    <s v="Hyderabad"/>
    <x v="1"/>
    <x v="95"/>
    <x v="546"/>
    <n v="8"/>
    <n v="1429.44"/>
    <n v="178.68"/>
    <x v="3"/>
    <x v="0"/>
    <x v="9"/>
    <x v="0"/>
    <x v="1"/>
  </r>
  <r>
    <s v="CUST01921"/>
    <n v="65"/>
    <s v="Female"/>
    <s v="Delhi"/>
    <x v="3"/>
    <x v="258"/>
    <x v="118"/>
    <n v="10"/>
    <n v="1427.4"/>
    <n v="142.74"/>
    <x v="3"/>
    <x v="1"/>
    <x v="4"/>
    <x v="0"/>
    <x v="1"/>
  </r>
  <r>
    <s v="CUST01067"/>
    <n v="64"/>
    <s v="Female"/>
    <s v="Kolkata"/>
    <x v="0"/>
    <x v="544"/>
    <x v="536"/>
    <n v="13"/>
    <n v="1426.36"/>
    <n v="109.72"/>
    <x v="1"/>
    <x v="1"/>
    <x v="2"/>
    <x v="1"/>
    <x v="1"/>
  </r>
  <r>
    <s v="CUST00081"/>
    <n v="42"/>
    <s v="Male"/>
    <s v="Pune"/>
    <x v="1"/>
    <x v="486"/>
    <x v="609"/>
    <n v="16"/>
    <n v="1411.84"/>
    <n v="88.23999999999999"/>
    <x v="3"/>
    <x v="1"/>
    <x v="7"/>
    <x v="0"/>
    <x v="1"/>
  </r>
  <r>
    <s v="CUST01623"/>
    <n v="40"/>
    <s v="Female"/>
    <s v="Kolkata"/>
    <x v="0"/>
    <x v="545"/>
    <x v="610"/>
    <n v="19"/>
    <n v="1410.18"/>
    <n v="74.22"/>
    <x v="3"/>
    <x v="2"/>
    <x v="4"/>
    <x v="0"/>
    <x v="1"/>
  </r>
  <r>
    <s v="CUST01530"/>
    <n v="39"/>
    <s v="Female"/>
    <s v="Delhi"/>
    <x v="3"/>
    <x v="546"/>
    <x v="262"/>
    <n v="6"/>
    <n v="1409.58"/>
    <n v="234.93"/>
    <x v="0"/>
    <x v="0"/>
    <x v="5"/>
    <x v="0"/>
    <x v="1"/>
  </r>
  <r>
    <s v="CUST00911"/>
    <n v="49"/>
    <s v="Female"/>
    <s v="Hyderabad"/>
    <x v="3"/>
    <x v="338"/>
    <x v="611"/>
    <n v="6"/>
    <n v="1409.46"/>
    <n v="234.91"/>
    <x v="0"/>
    <x v="0"/>
    <x v="9"/>
    <x v="0"/>
    <x v="1"/>
  </r>
  <r>
    <s v="CUST01952"/>
    <n v="24"/>
    <s v="Female"/>
    <s v="Chennai"/>
    <x v="2"/>
    <x v="424"/>
    <x v="413"/>
    <n v="5"/>
    <n v="1407.1"/>
    <n v="281.42"/>
    <x v="4"/>
    <x v="1"/>
    <x v="8"/>
    <x v="0"/>
    <x v="1"/>
  </r>
  <r>
    <s v="CUST00027"/>
    <n v="33"/>
    <s v="Female"/>
    <s v="Bangalore"/>
    <x v="1"/>
    <x v="547"/>
    <x v="605"/>
    <n v="5"/>
    <n v="1406.55"/>
    <n v="281.31"/>
    <x v="2"/>
    <x v="0"/>
    <x v="1"/>
    <x v="0"/>
    <x v="1"/>
  </r>
  <r>
    <s v="CUST01228"/>
    <n v="33"/>
    <s v="Female"/>
    <s v="Kolkata"/>
    <x v="1"/>
    <x v="18"/>
    <x v="612"/>
    <n v="6"/>
    <n v="1404.54"/>
    <n v="234.09"/>
    <x v="2"/>
    <x v="1"/>
    <x v="4"/>
    <x v="0"/>
    <x v="1"/>
  </r>
  <r>
    <s v="CUST00253"/>
    <n v="23"/>
    <s v="Female"/>
    <s v="Kolkata"/>
    <x v="0"/>
    <x v="209"/>
    <x v="409"/>
    <n v="15"/>
    <n v="1403.85"/>
    <n v="93.59"/>
    <x v="1"/>
    <x v="2"/>
    <x v="4"/>
    <x v="0"/>
    <x v="1"/>
  </r>
  <r>
    <s v="CUST01620"/>
    <n v="31"/>
    <s v="Male"/>
    <s v="Chennai"/>
    <x v="1"/>
    <x v="346"/>
    <x v="613"/>
    <n v="19"/>
    <n v="1403.72"/>
    <n v="73.88"/>
    <x v="2"/>
    <x v="0"/>
    <x v="1"/>
    <x v="0"/>
    <x v="1"/>
  </r>
  <r>
    <s v="CUST00005"/>
    <n v="60"/>
    <s v="Male"/>
    <s v="Kolkata"/>
    <x v="2"/>
    <x v="271"/>
    <x v="614"/>
    <n v="19"/>
    <n v="1402.96"/>
    <n v="73.84"/>
    <x v="3"/>
    <x v="2"/>
    <x v="8"/>
    <x v="1"/>
    <x v="1"/>
  </r>
  <r>
    <s v="CUST00376"/>
    <n v="58"/>
    <s v="Female"/>
    <s v="Hyderabad"/>
    <x v="2"/>
    <x v="548"/>
    <x v="615"/>
    <n v="5"/>
    <n v="1400.1"/>
    <n v="280.02"/>
    <x v="3"/>
    <x v="0"/>
    <x v="9"/>
    <x v="0"/>
    <x v="1"/>
  </r>
  <r>
    <s v="CUST00267"/>
    <n v="56"/>
    <s v="Female"/>
    <s v="Kolkata"/>
    <x v="0"/>
    <x v="45"/>
    <x v="616"/>
    <n v="8"/>
    <n v="1399.6"/>
    <n v="174.95"/>
    <x v="4"/>
    <x v="2"/>
    <x v="3"/>
    <x v="0"/>
    <x v="1"/>
  </r>
  <r>
    <s v="CUST01604"/>
    <n v="28"/>
    <s v="Female"/>
    <s v="Chennai"/>
    <x v="2"/>
    <x v="549"/>
    <x v="617"/>
    <n v="8"/>
    <n v="1399.04"/>
    <n v="174.88"/>
    <x v="1"/>
    <x v="0"/>
    <x v="3"/>
    <x v="1"/>
    <x v="1"/>
  </r>
  <r>
    <s v="CUST01788"/>
    <n v="38"/>
    <s v="Female"/>
    <s v="Pune"/>
    <x v="3"/>
    <x v="135"/>
    <x v="349"/>
    <n v="6"/>
    <n v="1397.52"/>
    <n v="232.92"/>
    <x v="2"/>
    <x v="1"/>
    <x v="2"/>
    <x v="0"/>
    <x v="1"/>
  </r>
  <r>
    <s v="CUST01905"/>
    <n v="41"/>
    <s v="Male"/>
    <s v="Delhi"/>
    <x v="0"/>
    <x v="222"/>
    <x v="540"/>
    <n v="5"/>
    <n v="1395.65"/>
    <n v="279.13"/>
    <x v="1"/>
    <x v="2"/>
    <x v="9"/>
    <x v="0"/>
    <x v="1"/>
  </r>
  <r>
    <s v="CUST01885"/>
    <n v="40"/>
    <s v="Male"/>
    <s v="Hyderabad"/>
    <x v="1"/>
    <x v="215"/>
    <x v="71"/>
    <n v="8"/>
    <n v="1391.6"/>
    <n v="173.95"/>
    <x v="0"/>
    <x v="0"/>
    <x v="6"/>
    <x v="1"/>
    <x v="1"/>
  </r>
  <r>
    <s v="CUST01622"/>
    <n v="54"/>
    <s v="Female"/>
    <s v="Mumbai"/>
    <x v="1"/>
    <x v="450"/>
    <x v="618"/>
    <n v="5"/>
    <n v="1390.7"/>
    <n v="278.14"/>
    <x v="0"/>
    <x v="1"/>
    <x v="7"/>
    <x v="0"/>
    <x v="1"/>
  </r>
  <r>
    <s v="CUST01140"/>
    <n v="25"/>
    <s v="Female"/>
    <s v="Pune"/>
    <x v="2"/>
    <x v="242"/>
    <x v="78"/>
    <n v="10"/>
    <n v="1390"/>
    <n v="139"/>
    <x v="2"/>
    <x v="0"/>
    <x v="9"/>
    <x v="0"/>
    <x v="1"/>
  </r>
  <r>
    <s v="CUST00208"/>
    <n v="21"/>
    <s v="Female"/>
    <s v="Hyderabad"/>
    <x v="1"/>
    <x v="201"/>
    <x v="97"/>
    <n v="23"/>
    <n v="1389.66"/>
    <n v="60.42"/>
    <x v="2"/>
    <x v="2"/>
    <x v="1"/>
    <x v="0"/>
    <x v="1"/>
  </r>
  <r>
    <s v="CUST01996"/>
    <n v="50"/>
    <s v="Female"/>
    <s v="Pune"/>
    <x v="2"/>
    <x v="76"/>
    <x v="295"/>
    <n v="5"/>
    <n v="1388.9"/>
    <n v="277.78"/>
    <x v="3"/>
    <x v="2"/>
    <x v="7"/>
    <x v="0"/>
    <x v="1"/>
  </r>
  <r>
    <s v="CUST01504"/>
    <n v="45"/>
    <s v="Female"/>
    <s v="Delhi"/>
    <x v="0"/>
    <x v="99"/>
    <x v="66"/>
    <n v="11"/>
    <n v="1388.64"/>
    <n v="126.24"/>
    <x v="0"/>
    <x v="2"/>
    <x v="6"/>
    <x v="1"/>
    <x v="1"/>
  </r>
  <r>
    <s v="CUST01160"/>
    <n v="26"/>
    <s v="Male"/>
    <s v="Pune"/>
    <x v="3"/>
    <x v="550"/>
    <x v="195"/>
    <n v="7"/>
    <n v="1387.4"/>
    <n v="198.2"/>
    <x v="3"/>
    <x v="1"/>
    <x v="4"/>
    <x v="0"/>
    <x v="1"/>
  </r>
  <r>
    <s v="CUST00645"/>
    <n v="54"/>
    <s v="Male"/>
    <s v="Kolkata"/>
    <x v="3"/>
    <x v="324"/>
    <x v="525"/>
    <n v="11"/>
    <n v="1383.47"/>
    <n v="125.77"/>
    <x v="3"/>
    <x v="0"/>
    <x v="0"/>
    <x v="0"/>
    <x v="1"/>
  </r>
  <r>
    <s v="CUST00346"/>
    <n v="51"/>
    <s v="Female"/>
    <s v="Pune"/>
    <x v="1"/>
    <x v="551"/>
    <x v="130"/>
    <n v="10"/>
    <n v="1378.4"/>
    <n v="137.84"/>
    <x v="2"/>
    <x v="2"/>
    <x v="3"/>
    <x v="1"/>
    <x v="1"/>
  </r>
  <r>
    <s v="CUST00622"/>
    <n v="26"/>
    <s v="Male"/>
    <s v="Mumbai"/>
    <x v="0"/>
    <x v="518"/>
    <x v="483"/>
    <n v="23"/>
    <n v="1376.78"/>
    <n v="59.86"/>
    <x v="2"/>
    <x v="0"/>
    <x v="8"/>
    <x v="0"/>
    <x v="1"/>
  </r>
  <r>
    <s v="CUST01733"/>
    <n v="33"/>
    <s v="Female"/>
    <s v="Kolkata"/>
    <x v="1"/>
    <x v="322"/>
    <x v="538"/>
    <n v="15"/>
    <n v="1375.35"/>
    <n v="91.69"/>
    <x v="2"/>
    <x v="0"/>
    <x v="6"/>
    <x v="0"/>
    <x v="1"/>
  </r>
  <r>
    <s v="CUST01374"/>
    <n v="60"/>
    <s v="Female"/>
    <s v="Pune"/>
    <x v="2"/>
    <x v="100"/>
    <x v="619"/>
    <n v="19"/>
    <n v="1373.7"/>
    <n v="72.3"/>
    <x v="2"/>
    <x v="2"/>
    <x v="5"/>
    <x v="0"/>
    <x v="1"/>
  </r>
  <r>
    <s v="CUST00458"/>
    <n v="59"/>
    <s v="Female"/>
    <s v="Kolkata"/>
    <x v="3"/>
    <x v="319"/>
    <x v="476"/>
    <n v="16"/>
    <n v="1362.4"/>
    <n v="85.15000000000001"/>
    <x v="1"/>
    <x v="2"/>
    <x v="7"/>
    <x v="0"/>
    <x v="1"/>
  </r>
  <r>
    <s v="CUST00530"/>
    <n v="57"/>
    <s v="Female"/>
    <s v="Bangalore"/>
    <x v="3"/>
    <x v="552"/>
    <x v="620"/>
    <n v="16"/>
    <n v="1357.92"/>
    <n v="84.87"/>
    <x v="1"/>
    <x v="0"/>
    <x v="9"/>
    <x v="0"/>
    <x v="1"/>
  </r>
  <r>
    <s v="CUST01293"/>
    <n v="38"/>
    <s v="Male"/>
    <s v="Chennai"/>
    <x v="0"/>
    <x v="553"/>
    <x v="534"/>
    <n v="24"/>
    <n v="1357.44"/>
    <n v="56.56"/>
    <x v="3"/>
    <x v="2"/>
    <x v="6"/>
    <x v="0"/>
    <x v="1"/>
  </r>
  <r>
    <s v="CUST01914"/>
    <n v="49"/>
    <s v="Male"/>
    <s v="Mumbai"/>
    <x v="2"/>
    <x v="370"/>
    <x v="328"/>
    <n v="8"/>
    <n v="1357.04"/>
    <n v="169.63"/>
    <x v="4"/>
    <x v="0"/>
    <x v="9"/>
    <x v="0"/>
    <x v="1"/>
  </r>
  <r>
    <s v="CUST01839"/>
    <n v="24"/>
    <s v="Male"/>
    <s v="Kolkata"/>
    <x v="0"/>
    <x v="326"/>
    <x v="621"/>
    <n v="5"/>
    <n v="1356.15"/>
    <n v="271.23"/>
    <x v="1"/>
    <x v="0"/>
    <x v="2"/>
    <x v="0"/>
    <x v="1"/>
  </r>
  <r>
    <s v="CUST00058"/>
    <n v="35"/>
    <s v="Female"/>
    <s v="Hyderabad"/>
    <x v="3"/>
    <x v="349"/>
    <x v="569"/>
    <n v="6"/>
    <n v="1352.76"/>
    <n v="225.46"/>
    <x v="0"/>
    <x v="1"/>
    <x v="9"/>
    <x v="0"/>
    <x v="1"/>
  </r>
  <r>
    <s v="CUST01077"/>
    <n v="30"/>
    <s v="Male"/>
    <s v="Pune"/>
    <x v="1"/>
    <x v="327"/>
    <x v="201"/>
    <n v="6"/>
    <n v="1352.4"/>
    <n v="225.4"/>
    <x v="3"/>
    <x v="1"/>
    <x v="8"/>
    <x v="0"/>
    <x v="1"/>
  </r>
  <r>
    <s v="CUST01515"/>
    <n v="36"/>
    <s v="Male"/>
    <s v="Kolkata"/>
    <x v="1"/>
    <x v="512"/>
    <x v="553"/>
    <n v="10"/>
    <n v="1351.3"/>
    <n v="135.13"/>
    <x v="3"/>
    <x v="1"/>
    <x v="0"/>
    <x v="0"/>
    <x v="1"/>
  </r>
  <r>
    <s v="CUST01866"/>
    <n v="18"/>
    <s v="Female"/>
    <s v="Pune"/>
    <x v="3"/>
    <x v="163"/>
    <x v="439"/>
    <n v="9"/>
    <n v="1350.81"/>
    <n v="150.09"/>
    <x v="0"/>
    <x v="0"/>
    <x v="9"/>
    <x v="0"/>
    <x v="1"/>
  </r>
  <r>
    <s v="CUST00350"/>
    <n v="29"/>
    <s v="Male"/>
    <s v="Kolkata"/>
    <x v="2"/>
    <x v="554"/>
    <x v="445"/>
    <n v="9"/>
    <n v="1350"/>
    <n v="150"/>
    <x v="4"/>
    <x v="0"/>
    <x v="9"/>
    <x v="1"/>
    <x v="1"/>
  </r>
  <r>
    <s v="CUST01535"/>
    <n v="46"/>
    <s v="Female"/>
    <s v="Pune"/>
    <x v="1"/>
    <x v="555"/>
    <x v="433"/>
    <n v="19"/>
    <n v="1347.1"/>
    <n v="70.90000000000001"/>
    <x v="2"/>
    <x v="0"/>
    <x v="4"/>
    <x v="1"/>
    <x v="1"/>
  </r>
  <r>
    <s v="CUST01707"/>
    <n v="38"/>
    <s v="Male"/>
    <s v="Delhi"/>
    <x v="0"/>
    <x v="556"/>
    <x v="362"/>
    <n v="10"/>
    <n v="1344.3"/>
    <n v="134.43"/>
    <x v="1"/>
    <x v="0"/>
    <x v="6"/>
    <x v="0"/>
    <x v="1"/>
  </r>
  <r>
    <s v="CUST01086"/>
    <n v="28"/>
    <s v="Female"/>
    <s v="Kolkata"/>
    <x v="1"/>
    <x v="557"/>
    <x v="622"/>
    <n v="17"/>
    <n v="1341.81"/>
    <n v="78.93000000000001"/>
    <x v="4"/>
    <x v="2"/>
    <x v="9"/>
    <x v="0"/>
    <x v="1"/>
  </r>
  <r>
    <s v="CUST01545"/>
    <n v="35"/>
    <s v="Female"/>
    <s v="Pune"/>
    <x v="1"/>
    <x v="236"/>
    <x v="228"/>
    <n v="25"/>
    <n v="1341.25"/>
    <n v="53.65"/>
    <x v="1"/>
    <x v="0"/>
    <x v="1"/>
    <x v="0"/>
    <x v="1"/>
  </r>
  <r>
    <s v="CUST01846"/>
    <n v="59"/>
    <s v="Female"/>
    <s v="Hyderabad"/>
    <x v="2"/>
    <x v="227"/>
    <x v="450"/>
    <n v="5"/>
    <n v="1340.55"/>
    <n v="268.11"/>
    <x v="3"/>
    <x v="1"/>
    <x v="1"/>
    <x v="0"/>
    <x v="1"/>
  </r>
  <r>
    <s v="CUST01983"/>
    <n v="20"/>
    <s v="Male"/>
    <s v="Delhi"/>
    <x v="1"/>
    <x v="280"/>
    <x v="326"/>
    <n v="14"/>
    <n v="1340.08"/>
    <n v="95.72"/>
    <x v="0"/>
    <x v="0"/>
    <x v="7"/>
    <x v="0"/>
    <x v="1"/>
  </r>
  <r>
    <s v="CUST01936"/>
    <n v="31"/>
    <s v="Female"/>
    <s v="Kolkata"/>
    <x v="3"/>
    <x v="558"/>
    <x v="167"/>
    <n v="6"/>
    <n v="1339.86"/>
    <n v="223.31"/>
    <x v="0"/>
    <x v="2"/>
    <x v="8"/>
    <x v="0"/>
    <x v="1"/>
  </r>
  <r>
    <s v="CUST00702"/>
    <n v="42"/>
    <s v="Female"/>
    <s v="Kolkata"/>
    <x v="2"/>
    <x v="49"/>
    <x v="110"/>
    <n v="5"/>
    <n v="1336.45"/>
    <n v="267.29"/>
    <x v="2"/>
    <x v="2"/>
    <x v="4"/>
    <x v="0"/>
    <x v="1"/>
  </r>
  <r>
    <s v="CUST00741"/>
    <n v="38"/>
    <s v="Female"/>
    <s v="Chennai"/>
    <x v="2"/>
    <x v="559"/>
    <x v="623"/>
    <n v="7"/>
    <n v="1336.44"/>
    <n v="190.92"/>
    <x v="2"/>
    <x v="1"/>
    <x v="0"/>
    <x v="0"/>
    <x v="1"/>
  </r>
  <r>
    <s v="CUST01495"/>
    <n v="47"/>
    <s v="Male"/>
    <s v="Kolkata"/>
    <x v="0"/>
    <x v="491"/>
    <x v="397"/>
    <n v="13"/>
    <n v="1335.75"/>
    <n v="102.75"/>
    <x v="1"/>
    <x v="2"/>
    <x v="0"/>
    <x v="0"/>
    <x v="1"/>
  </r>
  <r>
    <s v="CUST01473"/>
    <n v="60"/>
    <s v="Female"/>
    <s v="Hyderabad"/>
    <x v="1"/>
    <x v="260"/>
    <x v="108"/>
    <n v="12"/>
    <n v="1332.36"/>
    <n v="111.03"/>
    <x v="1"/>
    <x v="2"/>
    <x v="7"/>
    <x v="0"/>
    <x v="1"/>
  </r>
  <r>
    <s v="CUST00378"/>
    <n v="57"/>
    <s v="Female"/>
    <s v="Pune"/>
    <x v="0"/>
    <x v="322"/>
    <x v="489"/>
    <n v="11"/>
    <n v="1331.22"/>
    <n v="121.02"/>
    <x v="3"/>
    <x v="0"/>
    <x v="9"/>
    <x v="0"/>
    <x v="1"/>
  </r>
  <r>
    <s v="CUST00652"/>
    <n v="28"/>
    <s v="Female"/>
    <s v="Chennai"/>
    <x v="1"/>
    <x v="176"/>
    <x v="360"/>
    <n v="14"/>
    <n v="1326.36"/>
    <n v="94.73999999999999"/>
    <x v="2"/>
    <x v="2"/>
    <x v="8"/>
    <x v="0"/>
    <x v="1"/>
  </r>
  <r>
    <s v="CUST01719"/>
    <n v="56"/>
    <s v="Female"/>
    <s v="Bangalore"/>
    <x v="0"/>
    <x v="123"/>
    <x v="624"/>
    <n v="14"/>
    <n v="1323.84"/>
    <n v="94.56"/>
    <x v="2"/>
    <x v="2"/>
    <x v="1"/>
    <x v="1"/>
    <x v="1"/>
  </r>
  <r>
    <s v="CUST00861"/>
    <n v="38"/>
    <s v="Female"/>
    <s v="Hyderabad"/>
    <x v="0"/>
    <x v="300"/>
    <x v="625"/>
    <n v="20"/>
    <n v="1318.6"/>
    <n v="65.93000000000001"/>
    <x v="0"/>
    <x v="2"/>
    <x v="8"/>
    <x v="0"/>
    <x v="1"/>
  </r>
  <r>
    <s v="CUST01875"/>
    <n v="52"/>
    <s v="Female"/>
    <s v="Hyderabad"/>
    <x v="2"/>
    <x v="101"/>
    <x v="168"/>
    <n v="5"/>
    <n v="1317.6"/>
    <n v="263.52"/>
    <x v="3"/>
    <x v="2"/>
    <x v="4"/>
    <x v="0"/>
    <x v="1"/>
  </r>
  <r>
    <s v="CUST01327"/>
    <n v="53"/>
    <s v="Male"/>
    <s v="Kolkata"/>
    <x v="2"/>
    <x v="229"/>
    <x v="260"/>
    <n v="11"/>
    <n v="1317.03"/>
    <n v="119.73"/>
    <x v="4"/>
    <x v="1"/>
    <x v="9"/>
    <x v="0"/>
    <x v="1"/>
  </r>
  <r>
    <s v="CUST00132"/>
    <n v="59"/>
    <s v="Female"/>
    <s v="Mumbai"/>
    <x v="0"/>
    <x v="246"/>
    <x v="213"/>
    <n v="22"/>
    <n v="1311.2"/>
    <n v="59.6"/>
    <x v="4"/>
    <x v="0"/>
    <x v="7"/>
    <x v="0"/>
    <x v="1"/>
  </r>
  <r>
    <s v="CUST01745"/>
    <n v="31"/>
    <s v="Female"/>
    <s v="Kolkata"/>
    <x v="0"/>
    <x v="523"/>
    <x v="626"/>
    <n v="13"/>
    <n v="1307.8"/>
    <n v="100.6"/>
    <x v="1"/>
    <x v="0"/>
    <x v="4"/>
    <x v="0"/>
    <x v="1"/>
  </r>
  <r>
    <s v="CUST01677"/>
    <n v="37"/>
    <s v="Female"/>
    <s v="Hyderabad"/>
    <x v="2"/>
    <x v="130"/>
    <x v="627"/>
    <n v="14"/>
    <n v="1307.6"/>
    <n v="93.40000000000001"/>
    <x v="2"/>
    <x v="1"/>
    <x v="9"/>
    <x v="1"/>
    <x v="1"/>
  </r>
  <r>
    <s v="CUST01954"/>
    <n v="35"/>
    <s v="Female"/>
    <s v="Kolkata"/>
    <x v="2"/>
    <x v="535"/>
    <x v="258"/>
    <n v="19"/>
    <n v="1304.16"/>
    <n v="68.64"/>
    <x v="4"/>
    <x v="1"/>
    <x v="8"/>
    <x v="0"/>
    <x v="1"/>
  </r>
  <r>
    <s v="CUST01763"/>
    <n v="53"/>
    <s v="Male"/>
    <s v="Chennai"/>
    <x v="0"/>
    <x v="11"/>
    <x v="369"/>
    <n v="6"/>
    <n v="1302.66"/>
    <n v="217.11"/>
    <x v="4"/>
    <x v="2"/>
    <x v="2"/>
    <x v="1"/>
    <x v="1"/>
  </r>
  <r>
    <s v="CUST01403"/>
    <n v="29"/>
    <s v="Male"/>
    <s v="Hyderabad"/>
    <x v="2"/>
    <x v="259"/>
    <x v="241"/>
    <n v="5"/>
    <n v="1301.9"/>
    <n v="260.38"/>
    <x v="1"/>
    <x v="0"/>
    <x v="8"/>
    <x v="0"/>
    <x v="1"/>
  </r>
  <r>
    <s v="CUST01648"/>
    <n v="21"/>
    <s v="Female"/>
    <s v="Kolkata"/>
    <x v="1"/>
    <x v="275"/>
    <x v="628"/>
    <n v="22"/>
    <n v="1299.76"/>
    <n v="59.08"/>
    <x v="3"/>
    <x v="2"/>
    <x v="7"/>
    <x v="0"/>
    <x v="1"/>
  </r>
  <r>
    <s v="CUST01214"/>
    <n v="18"/>
    <s v="Female"/>
    <s v="Hyderabad"/>
    <x v="3"/>
    <x v="560"/>
    <x v="370"/>
    <n v="5"/>
    <n v="1299.7"/>
    <n v="259.94"/>
    <x v="4"/>
    <x v="2"/>
    <x v="9"/>
    <x v="0"/>
    <x v="1"/>
  </r>
  <r>
    <s v="CUST01467"/>
    <n v="28"/>
    <s v="Male"/>
    <s v="Hyderabad"/>
    <x v="0"/>
    <x v="329"/>
    <x v="629"/>
    <n v="16"/>
    <n v="1298.56"/>
    <n v="81.16"/>
    <x v="0"/>
    <x v="1"/>
    <x v="4"/>
    <x v="0"/>
    <x v="1"/>
  </r>
  <r>
    <s v="CUST01915"/>
    <n v="56"/>
    <s v="Male"/>
    <s v="Delhi"/>
    <x v="1"/>
    <x v="247"/>
    <x v="148"/>
    <n v="6"/>
    <n v="1298.52"/>
    <n v="216.42"/>
    <x v="2"/>
    <x v="2"/>
    <x v="5"/>
    <x v="0"/>
    <x v="1"/>
  </r>
  <r>
    <s v="CUST00706"/>
    <n v="56"/>
    <s v="Male"/>
    <s v="Chennai"/>
    <x v="0"/>
    <x v="561"/>
    <x v="90"/>
    <n v="5"/>
    <n v="1294.75"/>
    <n v="258.95"/>
    <x v="2"/>
    <x v="1"/>
    <x v="8"/>
    <x v="0"/>
    <x v="1"/>
  </r>
  <r>
    <s v="CUST01579"/>
    <n v="32"/>
    <s v="Male"/>
    <s v="Bangalore"/>
    <x v="2"/>
    <x v="150"/>
    <x v="630"/>
    <n v="19"/>
    <n v="1294.28"/>
    <n v="68.12"/>
    <x v="3"/>
    <x v="2"/>
    <x v="3"/>
    <x v="0"/>
    <x v="1"/>
  </r>
  <r>
    <s v="CUST00451"/>
    <n v="49"/>
    <s v="Female"/>
    <s v="Hyderabad"/>
    <x v="0"/>
    <x v="562"/>
    <x v="234"/>
    <n v="16"/>
    <n v="1292.96"/>
    <n v="80.81"/>
    <x v="4"/>
    <x v="2"/>
    <x v="5"/>
    <x v="0"/>
    <x v="1"/>
  </r>
  <r>
    <s v="CUST00537"/>
    <n v="30"/>
    <s v="Male"/>
    <s v="Chennai"/>
    <x v="2"/>
    <x v="509"/>
    <x v="232"/>
    <n v="10"/>
    <n v="1291.9"/>
    <n v="129.19"/>
    <x v="4"/>
    <x v="0"/>
    <x v="1"/>
    <x v="0"/>
    <x v="1"/>
  </r>
  <r>
    <s v="CUST00213"/>
    <n v="32"/>
    <s v="Male"/>
    <s v="Delhi"/>
    <x v="2"/>
    <x v="501"/>
    <x v="297"/>
    <n v="12"/>
    <n v="1291.44"/>
    <n v="107.62"/>
    <x v="0"/>
    <x v="0"/>
    <x v="4"/>
    <x v="1"/>
    <x v="1"/>
  </r>
  <r>
    <s v="CUST01502"/>
    <n v="50"/>
    <s v="Female"/>
    <s v="Kolkata"/>
    <x v="2"/>
    <x v="294"/>
    <x v="299"/>
    <n v="12"/>
    <n v="1291.2"/>
    <n v="107.6"/>
    <x v="4"/>
    <x v="2"/>
    <x v="8"/>
    <x v="0"/>
    <x v="1"/>
  </r>
  <r>
    <s v="CUST00895"/>
    <n v="26"/>
    <s v="Female"/>
    <s v="Kolkata"/>
    <x v="0"/>
    <x v="536"/>
    <x v="138"/>
    <n v="21"/>
    <n v="1291.08"/>
    <n v="61.48"/>
    <x v="1"/>
    <x v="2"/>
    <x v="3"/>
    <x v="0"/>
    <x v="1"/>
  </r>
  <r>
    <s v="CUST01061"/>
    <n v="36"/>
    <s v="Female"/>
    <s v="Bangalore"/>
    <x v="0"/>
    <x v="544"/>
    <x v="631"/>
    <n v="22"/>
    <n v="1290.96"/>
    <n v="58.68"/>
    <x v="3"/>
    <x v="1"/>
    <x v="7"/>
    <x v="0"/>
    <x v="1"/>
  </r>
  <r>
    <s v="CUST00621"/>
    <n v="46"/>
    <s v="Female"/>
    <s v="Mumbai"/>
    <x v="2"/>
    <x v="83"/>
    <x v="575"/>
    <n v="12"/>
    <n v="1286.88"/>
    <n v="107.24"/>
    <x v="3"/>
    <x v="0"/>
    <x v="8"/>
    <x v="0"/>
    <x v="1"/>
  </r>
  <r>
    <s v="CUST01762"/>
    <n v="52"/>
    <s v="Female"/>
    <s v="Bangalore"/>
    <x v="0"/>
    <x v="359"/>
    <x v="632"/>
    <n v="25"/>
    <n v="1284.5"/>
    <n v="51.38"/>
    <x v="0"/>
    <x v="1"/>
    <x v="4"/>
    <x v="0"/>
    <x v="1"/>
  </r>
  <r>
    <s v="CUST00625"/>
    <n v="55"/>
    <s v="Female"/>
    <s v="Bangalore"/>
    <x v="1"/>
    <x v="563"/>
    <x v="633"/>
    <n v="5"/>
    <n v="1284.2"/>
    <n v="256.84"/>
    <x v="0"/>
    <x v="0"/>
    <x v="4"/>
    <x v="0"/>
    <x v="1"/>
  </r>
  <r>
    <s v="CUST00776"/>
    <n v="40"/>
    <s v="Male"/>
    <s v="Bangalore"/>
    <x v="0"/>
    <x v="564"/>
    <x v="509"/>
    <n v="15"/>
    <n v="1281.9"/>
    <n v="85.45999999999999"/>
    <x v="4"/>
    <x v="2"/>
    <x v="8"/>
    <x v="0"/>
    <x v="1"/>
  </r>
  <r>
    <s v="CUST01979"/>
    <n v="50"/>
    <s v="Female"/>
    <s v="Mumbai"/>
    <x v="1"/>
    <x v="38"/>
    <x v="634"/>
    <n v="14"/>
    <n v="1280.72"/>
    <n v="91.48"/>
    <x v="2"/>
    <x v="1"/>
    <x v="6"/>
    <x v="0"/>
    <x v="1"/>
  </r>
  <r>
    <s v="CUST00666"/>
    <n v="36"/>
    <s v="Male"/>
    <s v="Delhi"/>
    <x v="3"/>
    <x v="410"/>
    <x v="137"/>
    <n v="6"/>
    <n v="1274.94"/>
    <n v="212.49"/>
    <x v="4"/>
    <x v="2"/>
    <x v="7"/>
    <x v="0"/>
    <x v="1"/>
  </r>
  <r>
    <s v="CUST00984"/>
    <n v="54"/>
    <s v="Male"/>
    <s v="Mumbai"/>
    <x v="3"/>
    <x v="41"/>
    <x v="635"/>
    <n v="6"/>
    <n v="1272.96"/>
    <n v="212.16"/>
    <x v="3"/>
    <x v="0"/>
    <x v="8"/>
    <x v="0"/>
    <x v="1"/>
  </r>
  <r>
    <s v="CUST01274"/>
    <n v="49"/>
    <s v="Female"/>
    <s v="Pune"/>
    <x v="0"/>
    <x v="486"/>
    <x v="389"/>
    <n v="13"/>
    <n v="1272.18"/>
    <n v="97.86"/>
    <x v="2"/>
    <x v="2"/>
    <x v="2"/>
    <x v="0"/>
    <x v="1"/>
  </r>
  <r>
    <s v="CUST01223"/>
    <n v="23"/>
    <s v="Male"/>
    <s v="Hyderabad"/>
    <x v="1"/>
    <x v="114"/>
    <x v="548"/>
    <n v="12"/>
    <n v="1271.64"/>
    <n v="105.97"/>
    <x v="1"/>
    <x v="0"/>
    <x v="0"/>
    <x v="0"/>
    <x v="1"/>
  </r>
  <r>
    <s v="CUST00610"/>
    <n v="27"/>
    <s v="Male"/>
    <s v="Bangalore"/>
    <x v="3"/>
    <x v="565"/>
    <x v="551"/>
    <n v="5"/>
    <n v="1269.7"/>
    <n v="253.94"/>
    <x v="0"/>
    <x v="1"/>
    <x v="8"/>
    <x v="0"/>
    <x v="1"/>
  </r>
  <r>
    <s v="CUST00211"/>
    <n v="48"/>
    <s v="Male"/>
    <s v="Chennai"/>
    <x v="1"/>
    <x v="86"/>
    <x v="161"/>
    <n v="24"/>
    <n v="1268.4"/>
    <n v="52.85"/>
    <x v="2"/>
    <x v="2"/>
    <x v="3"/>
    <x v="0"/>
    <x v="1"/>
  </r>
  <r>
    <s v="CUST01303"/>
    <n v="42"/>
    <s v="Female"/>
    <s v="Delhi"/>
    <x v="2"/>
    <x v="566"/>
    <x v="272"/>
    <n v="10"/>
    <n v="1265.9"/>
    <n v="126.59"/>
    <x v="2"/>
    <x v="1"/>
    <x v="9"/>
    <x v="0"/>
    <x v="1"/>
  </r>
  <r>
    <s v="CUST00735"/>
    <n v="42"/>
    <s v="Male"/>
    <s v="Bangalore"/>
    <x v="0"/>
    <x v="567"/>
    <x v="636"/>
    <n v="8"/>
    <n v="1264.24"/>
    <n v="158.03"/>
    <x v="4"/>
    <x v="1"/>
    <x v="3"/>
    <x v="0"/>
    <x v="1"/>
  </r>
  <r>
    <s v="CUST00870"/>
    <n v="30"/>
    <s v="Male"/>
    <s v="Chennai"/>
    <x v="3"/>
    <x v="568"/>
    <x v="637"/>
    <n v="23"/>
    <n v="1262.93"/>
    <n v="54.91"/>
    <x v="0"/>
    <x v="0"/>
    <x v="9"/>
    <x v="1"/>
    <x v="1"/>
  </r>
  <r>
    <s v="CUST01510"/>
    <n v="30"/>
    <s v="Male"/>
    <s v="Hyderabad"/>
    <x v="2"/>
    <x v="256"/>
    <x v="355"/>
    <n v="17"/>
    <n v="1262.76"/>
    <n v="74.28"/>
    <x v="1"/>
    <x v="2"/>
    <x v="8"/>
    <x v="0"/>
    <x v="1"/>
  </r>
  <r>
    <s v="CUST01184"/>
    <n v="37"/>
    <s v="Female"/>
    <s v="Bangalore"/>
    <x v="3"/>
    <x v="369"/>
    <x v="184"/>
    <n v="25"/>
    <n v="1261"/>
    <n v="50.44"/>
    <x v="3"/>
    <x v="0"/>
    <x v="1"/>
    <x v="0"/>
    <x v="1"/>
  </r>
  <r>
    <s v="CUST01127"/>
    <n v="29"/>
    <s v="Female"/>
    <s v="Bangalore"/>
    <x v="1"/>
    <x v="102"/>
    <x v="553"/>
    <n v="11"/>
    <n v="1256.97"/>
    <n v="114.27"/>
    <x v="2"/>
    <x v="0"/>
    <x v="5"/>
    <x v="0"/>
    <x v="1"/>
  </r>
  <r>
    <s v="CUST00967"/>
    <n v="58"/>
    <s v="Male"/>
    <s v="Hyderabad"/>
    <x v="1"/>
    <x v="569"/>
    <x v="129"/>
    <n v="7"/>
    <n v="1251.6"/>
    <n v="178.8"/>
    <x v="3"/>
    <x v="0"/>
    <x v="1"/>
    <x v="0"/>
    <x v="1"/>
  </r>
  <r>
    <s v="CUST01238"/>
    <n v="39"/>
    <s v="Male"/>
    <s v="Bangalore"/>
    <x v="3"/>
    <x v="476"/>
    <x v="254"/>
    <n v="7"/>
    <n v="1251.18"/>
    <n v="178.74"/>
    <x v="3"/>
    <x v="0"/>
    <x v="2"/>
    <x v="1"/>
    <x v="1"/>
  </r>
  <r>
    <s v="CUST01412"/>
    <n v="30"/>
    <s v="Male"/>
    <s v="Mumbai"/>
    <x v="3"/>
    <x v="289"/>
    <x v="638"/>
    <n v="10"/>
    <n v="1246.2"/>
    <n v="124.62"/>
    <x v="1"/>
    <x v="1"/>
    <x v="4"/>
    <x v="0"/>
    <x v="1"/>
  </r>
  <r>
    <s v="CUST00579"/>
    <n v="59"/>
    <s v="Female"/>
    <s v="Bangalore"/>
    <x v="1"/>
    <x v="570"/>
    <x v="245"/>
    <n v="6"/>
    <n v="1245.84"/>
    <n v="207.64"/>
    <x v="2"/>
    <x v="1"/>
    <x v="9"/>
    <x v="1"/>
    <x v="1"/>
  </r>
  <r>
    <s v="CUST01439"/>
    <n v="63"/>
    <s v="Female"/>
    <s v="Chennai"/>
    <x v="2"/>
    <x v="39"/>
    <x v="335"/>
    <n v="5"/>
    <n v="1242.1"/>
    <n v="248.42"/>
    <x v="0"/>
    <x v="0"/>
    <x v="5"/>
    <x v="0"/>
    <x v="1"/>
  </r>
  <r>
    <s v="CUST01193"/>
    <n v="38"/>
    <s v="Female"/>
    <s v="Pune"/>
    <x v="2"/>
    <x v="199"/>
    <x v="245"/>
    <n v="7"/>
    <n v="1241.17"/>
    <n v="177.31"/>
    <x v="3"/>
    <x v="2"/>
    <x v="8"/>
    <x v="0"/>
    <x v="1"/>
  </r>
  <r>
    <s v="CUST01262"/>
    <n v="57"/>
    <s v="Male"/>
    <s v="Pune"/>
    <x v="0"/>
    <x v="155"/>
    <x v="639"/>
    <n v="5"/>
    <n v="1240.1"/>
    <n v="248.02"/>
    <x v="4"/>
    <x v="1"/>
    <x v="8"/>
    <x v="0"/>
    <x v="1"/>
  </r>
  <r>
    <s v="CUST01797"/>
    <n v="22"/>
    <s v="Male"/>
    <s v="Bangalore"/>
    <x v="2"/>
    <x v="514"/>
    <x v="640"/>
    <n v="5"/>
    <n v="1239.15"/>
    <n v="247.83"/>
    <x v="0"/>
    <x v="0"/>
    <x v="6"/>
    <x v="0"/>
    <x v="1"/>
  </r>
  <r>
    <s v="CUST00403"/>
    <n v="19"/>
    <s v="Male"/>
    <s v="Delhi"/>
    <x v="1"/>
    <x v="519"/>
    <x v="351"/>
    <n v="19"/>
    <n v="1237.85"/>
    <n v="65.15000000000001"/>
    <x v="0"/>
    <x v="0"/>
    <x v="5"/>
    <x v="0"/>
    <x v="1"/>
  </r>
  <r>
    <s v="CUST01827"/>
    <n v="32"/>
    <s v="Female"/>
    <s v="Mumbai"/>
    <x v="0"/>
    <x v="459"/>
    <x v="641"/>
    <n v="14"/>
    <n v="1237.46"/>
    <n v="88.39"/>
    <x v="0"/>
    <x v="0"/>
    <x v="7"/>
    <x v="0"/>
    <x v="1"/>
  </r>
  <r>
    <s v="CUST00764"/>
    <n v="39"/>
    <s v="Female"/>
    <s v="Mumbai"/>
    <x v="3"/>
    <x v="571"/>
    <x v="110"/>
    <n v="8"/>
    <n v="1236.88"/>
    <n v="154.61"/>
    <x v="1"/>
    <x v="2"/>
    <x v="9"/>
    <x v="0"/>
    <x v="1"/>
  </r>
  <r>
    <s v="CUST01211"/>
    <n v="41"/>
    <s v="Female"/>
    <s v="Pune"/>
    <x v="2"/>
    <x v="95"/>
    <x v="642"/>
    <n v="16"/>
    <n v="1234.24"/>
    <n v="77.14"/>
    <x v="3"/>
    <x v="2"/>
    <x v="9"/>
    <x v="0"/>
    <x v="1"/>
  </r>
  <r>
    <s v="CUST01269"/>
    <n v="21"/>
    <s v="Male"/>
    <s v="Delhi"/>
    <x v="2"/>
    <x v="572"/>
    <x v="562"/>
    <n v="18"/>
    <n v="1233.72"/>
    <n v="68.54000000000001"/>
    <x v="2"/>
    <x v="2"/>
    <x v="9"/>
    <x v="0"/>
    <x v="1"/>
  </r>
  <r>
    <s v="CUST00550"/>
    <n v="55"/>
    <s v="Male"/>
    <s v="Chennai"/>
    <x v="3"/>
    <x v="573"/>
    <x v="146"/>
    <n v="24"/>
    <n v="1229.52"/>
    <n v="51.23"/>
    <x v="4"/>
    <x v="2"/>
    <x v="1"/>
    <x v="1"/>
    <x v="1"/>
  </r>
  <r>
    <s v="CUST01518"/>
    <n v="63"/>
    <s v="Female"/>
    <s v="Pune"/>
    <x v="3"/>
    <x v="396"/>
    <x v="599"/>
    <n v="5"/>
    <n v="1228.35"/>
    <n v="245.67"/>
    <x v="3"/>
    <x v="0"/>
    <x v="6"/>
    <x v="1"/>
    <x v="1"/>
  </r>
  <r>
    <s v="CUST00961"/>
    <n v="20"/>
    <s v="Male"/>
    <s v="Bangalore"/>
    <x v="2"/>
    <x v="138"/>
    <x v="643"/>
    <n v="6"/>
    <n v="1228.26"/>
    <n v="204.71"/>
    <x v="2"/>
    <x v="0"/>
    <x v="4"/>
    <x v="0"/>
    <x v="1"/>
  </r>
  <r>
    <s v="CUST01291"/>
    <n v="45"/>
    <s v="Male"/>
    <s v="Hyderabad"/>
    <x v="0"/>
    <x v="240"/>
    <x v="10"/>
    <n v="6"/>
    <n v="1228.2"/>
    <n v="204.7"/>
    <x v="1"/>
    <x v="1"/>
    <x v="4"/>
    <x v="0"/>
    <x v="1"/>
  </r>
  <r>
    <s v="CUST01440"/>
    <n v="39"/>
    <s v="Male"/>
    <s v="Delhi"/>
    <x v="1"/>
    <x v="224"/>
    <x v="644"/>
    <n v="9"/>
    <n v="1227.78"/>
    <n v="136.42"/>
    <x v="1"/>
    <x v="0"/>
    <x v="4"/>
    <x v="0"/>
    <x v="1"/>
  </r>
  <r>
    <s v="CUST01411"/>
    <n v="56"/>
    <s v="Female"/>
    <s v="Kolkata"/>
    <x v="2"/>
    <x v="306"/>
    <x v="645"/>
    <n v="5"/>
    <n v="1226.75"/>
    <n v="245.35"/>
    <x v="3"/>
    <x v="0"/>
    <x v="7"/>
    <x v="0"/>
    <x v="1"/>
  </r>
  <r>
    <s v="CUST01087"/>
    <n v="18"/>
    <s v="Male"/>
    <s v="Kolkata"/>
    <x v="0"/>
    <x v="261"/>
    <x v="481"/>
    <n v="7"/>
    <n v="1223.81"/>
    <n v="174.83"/>
    <x v="0"/>
    <x v="2"/>
    <x v="3"/>
    <x v="0"/>
    <x v="1"/>
  </r>
  <r>
    <s v="CUST01071"/>
    <n v="28"/>
    <s v="Male"/>
    <s v="Pune"/>
    <x v="0"/>
    <x v="118"/>
    <x v="253"/>
    <n v="7"/>
    <n v="1222.27"/>
    <n v="174.61"/>
    <x v="0"/>
    <x v="0"/>
    <x v="0"/>
    <x v="0"/>
    <x v="1"/>
  </r>
  <r>
    <s v="CUST01994"/>
    <n v="38"/>
    <s v="Female"/>
    <s v="Pune"/>
    <x v="2"/>
    <x v="39"/>
    <x v="334"/>
    <n v="9"/>
    <n v="1220.4"/>
    <n v="135.6"/>
    <x v="4"/>
    <x v="0"/>
    <x v="1"/>
    <x v="1"/>
    <x v="1"/>
  </r>
  <r>
    <s v="CUST00546"/>
    <n v="60"/>
    <s v="Male"/>
    <s v="Chennai"/>
    <x v="2"/>
    <x v="89"/>
    <x v="646"/>
    <n v="8"/>
    <n v="1218.32"/>
    <n v="152.29"/>
    <x v="0"/>
    <x v="2"/>
    <x v="9"/>
    <x v="0"/>
    <x v="1"/>
  </r>
  <r>
    <s v="CUST01803"/>
    <n v="62"/>
    <s v="Male"/>
    <s v="Kolkata"/>
    <x v="2"/>
    <x v="408"/>
    <x v="615"/>
    <n v="10"/>
    <n v="1218"/>
    <n v="121.8"/>
    <x v="1"/>
    <x v="2"/>
    <x v="0"/>
    <x v="0"/>
    <x v="1"/>
  </r>
  <r>
    <s v="CUST00576"/>
    <n v="62"/>
    <s v="Male"/>
    <s v="Pune"/>
    <x v="1"/>
    <x v="89"/>
    <x v="166"/>
    <n v="14"/>
    <n v="1217.86"/>
    <n v="86.98999999999999"/>
    <x v="2"/>
    <x v="0"/>
    <x v="8"/>
    <x v="1"/>
    <x v="1"/>
  </r>
  <r>
    <s v="CUST00478"/>
    <n v="45"/>
    <s v="Male"/>
    <s v="Kolkata"/>
    <x v="1"/>
    <x v="16"/>
    <x v="410"/>
    <n v="13"/>
    <n v="1215.76"/>
    <n v="93.52"/>
    <x v="2"/>
    <x v="0"/>
    <x v="0"/>
    <x v="0"/>
    <x v="1"/>
  </r>
  <r>
    <s v="CUST00876"/>
    <n v="41"/>
    <s v="Female"/>
    <s v="Mumbai"/>
    <x v="2"/>
    <x v="19"/>
    <x v="428"/>
    <n v="8"/>
    <n v="1214.4"/>
    <n v="151.8"/>
    <x v="3"/>
    <x v="1"/>
    <x v="2"/>
    <x v="0"/>
    <x v="1"/>
  </r>
  <r>
    <s v="CUST00964"/>
    <n v="63"/>
    <s v="Female"/>
    <s v="Hyderabad"/>
    <x v="3"/>
    <x v="574"/>
    <x v="155"/>
    <n v="16"/>
    <n v="1212.64"/>
    <n v="75.79000000000001"/>
    <x v="2"/>
    <x v="0"/>
    <x v="7"/>
    <x v="1"/>
    <x v="1"/>
  </r>
  <r>
    <s v="CUST01397"/>
    <n v="57"/>
    <s v="Female"/>
    <s v="Kolkata"/>
    <x v="3"/>
    <x v="374"/>
    <x v="163"/>
    <n v="11"/>
    <n v="1211.98"/>
    <n v="110.18"/>
    <x v="0"/>
    <x v="2"/>
    <x v="9"/>
    <x v="0"/>
    <x v="1"/>
  </r>
  <r>
    <s v="CUST01850"/>
    <n v="64"/>
    <s v="Male"/>
    <s v="Chennai"/>
    <x v="3"/>
    <x v="335"/>
    <x v="479"/>
    <n v="9"/>
    <n v="1208.88"/>
    <n v="134.32"/>
    <x v="2"/>
    <x v="1"/>
    <x v="6"/>
    <x v="0"/>
    <x v="1"/>
  </r>
  <r>
    <s v="CUST01634"/>
    <n v="21"/>
    <s v="Female"/>
    <s v="Delhi"/>
    <x v="1"/>
    <x v="332"/>
    <x v="341"/>
    <n v="24"/>
    <n v="1206.96"/>
    <n v="50.29"/>
    <x v="0"/>
    <x v="2"/>
    <x v="7"/>
    <x v="0"/>
    <x v="1"/>
  </r>
  <r>
    <s v="CUST01884"/>
    <n v="24"/>
    <s v="Male"/>
    <s v="Bangalore"/>
    <x v="0"/>
    <x v="340"/>
    <x v="451"/>
    <n v="7"/>
    <n v="1206.17"/>
    <n v="172.31"/>
    <x v="4"/>
    <x v="2"/>
    <x v="1"/>
    <x v="0"/>
    <x v="1"/>
  </r>
  <r>
    <s v="CUST00104"/>
    <n v="53"/>
    <s v="Male"/>
    <s v="Pune"/>
    <x v="1"/>
    <x v="316"/>
    <x v="343"/>
    <n v="5"/>
    <n v="1201.75"/>
    <n v="240.35"/>
    <x v="1"/>
    <x v="1"/>
    <x v="5"/>
    <x v="0"/>
    <x v="1"/>
  </r>
  <r>
    <s v="CUST00150"/>
    <n v="59"/>
    <s v="Female"/>
    <s v="Bangalore"/>
    <x v="0"/>
    <x v="346"/>
    <x v="269"/>
    <n v="10"/>
    <n v="1199.5"/>
    <n v="119.95"/>
    <x v="4"/>
    <x v="1"/>
    <x v="7"/>
    <x v="0"/>
    <x v="1"/>
  </r>
  <r>
    <s v="CUST01144"/>
    <n v="38"/>
    <s v="Female"/>
    <s v="Chennai"/>
    <x v="0"/>
    <x v="575"/>
    <x v="244"/>
    <n v="10"/>
    <n v="1199.3"/>
    <n v="119.93"/>
    <x v="0"/>
    <x v="2"/>
    <x v="9"/>
    <x v="1"/>
    <x v="1"/>
  </r>
  <r>
    <s v="CUST01873"/>
    <n v="20"/>
    <s v="Male"/>
    <s v="Bangalore"/>
    <x v="1"/>
    <x v="556"/>
    <x v="647"/>
    <n v="24"/>
    <n v="1198.8"/>
    <n v="49.95"/>
    <x v="1"/>
    <x v="2"/>
    <x v="8"/>
    <x v="0"/>
    <x v="1"/>
  </r>
  <r>
    <s v="CUST00837"/>
    <n v="42"/>
    <s v="Female"/>
    <s v="Delhi"/>
    <x v="2"/>
    <x v="428"/>
    <x v="648"/>
    <n v="22"/>
    <n v="1198.34"/>
    <n v="54.47"/>
    <x v="1"/>
    <x v="0"/>
    <x v="4"/>
    <x v="1"/>
    <x v="1"/>
  </r>
  <r>
    <s v="CUST00110"/>
    <n v="53"/>
    <s v="Male"/>
    <s v="Hyderabad"/>
    <x v="3"/>
    <x v="290"/>
    <x v="383"/>
    <n v="23"/>
    <n v="1196.92"/>
    <n v="52.04"/>
    <x v="1"/>
    <x v="1"/>
    <x v="9"/>
    <x v="0"/>
    <x v="1"/>
  </r>
  <r>
    <s v="CUST01171"/>
    <n v="31"/>
    <s v="Female"/>
    <s v="Mumbai"/>
    <x v="0"/>
    <x v="472"/>
    <x v="507"/>
    <n v="13"/>
    <n v="1196.65"/>
    <n v="92.05"/>
    <x v="4"/>
    <x v="1"/>
    <x v="3"/>
    <x v="0"/>
    <x v="1"/>
  </r>
  <r>
    <s v="CUST00382"/>
    <n v="65"/>
    <s v="Female"/>
    <s v="Chennai"/>
    <x v="0"/>
    <x v="565"/>
    <x v="239"/>
    <n v="7"/>
    <n v="1193.99"/>
    <n v="170.57"/>
    <x v="1"/>
    <x v="2"/>
    <x v="2"/>
    <x v="0"/>
    <x v="1"/>
  </r>
  <r>
    <s v="CUST01039"/>
    <n v="34"/>
    <s v="Male"/>
    <s v="Hyderabad"/>
    <x v="2"/>
    <x v="35"/>
    <x v="256"/>
    <n v="22"/>
    <n v="1193.94"/>
    <n v="54.27"/>
    <x v="1"/>
    <x v="1"/>
    <x v="1"/>
    <x v="1"/>
    <x v="1"/>
  </r>
  <r>
    <s v="CUST01685"/>
    <n v="27"/>
    <s v="Male"/>
    <s v="Mumbai"/>
    <x v="0"/>
    <x v="576"/>
    <x v="25"/>
    <n v="6"/>
    <n v="1192.86"/>
    <n v="198.81"/>
    <x v="1"/>
    <x v="0"/>
    <x v="1"/>
    <x v="0"/>
    <x v="1"/>
  </r>
  <r>
    <s v="CUST00015"/>
    <n v="56"/>
    <s v="Female"/>
    <s v="Mumbai"/>
    <x v="1"/>
    <x v="545"/>
    <x v="247"/>
    <n v="18"/>
    <n v="1192.32"/>
    <n v="66.23999999999999"/>
    <x v="4"/>
    <x v="1"/>
    <x v="9"/>
    <x v="0"/>
    <x v="1"/>
  </r>
  <r>
    <s v="CUST01624"/>
    <n v="19"/>
    <s v="Male"/>
    <s v="Mumbai"/>
    <x v="3"/>
    <x v="436"/>
    <x v="2"/>
    <n v="5"/>
    <n v="1190.9"/>
    <n v="238.18"/>
    <x v="3"/>
    <x v="2"/>
    <x v="1"/>
    <x v="0"/>
    <x v="1"/>
  </r>
  <r>
    <s v="CUST01486"/>
    <n v="46"/>
    <s v="Male"/>
    <s v="Delhi"/>
    <x v="2"/>
    <x v="572"/>
    <x v="585"/>
    <n v="4"/>
    <n v="1190.28"/>
    <n v="297.57"/>
    <x v="1"/>
    <x v="0"/>
    <x v="8"/>
    <x v="0"/>
    <x v="1"/>
  </r>
  <r>
    <s v="CUST00225"/>
    <n v="56"/>
    <s v="Female"/>
    <s v="Kolkata"/>
    <x v="2"/>
    <x v="394"/>
    <x v="517"/>
    <n v="14"/>
    <n v="1190"/>
    <n v="85"/>
    <x v="3"/>
    <x v="0"/>
    <x v="1"/>
    <x v="1"/>
    <x v="1"/>
  </r>
  <r>
    <s v="CUST01516"/>
    <n v="39"/>
    <s v="Male"/>
    <s v="Hyderabad"/>
    <x v="0"/>
    <x v="525"/>
    <x v="649"/>
    <n v="17"/>
    <n v="1189.49"/>
    <n v="69.97"/>
    <x v="4"/>
    <x v="2"/>
    <x v="1"/>
    <x v="0"/>
    <x v="1"/>
  </r>
  <r>
    <s v="CUST01357"/>
    <n v="51"/>
    <s v="Male"/>
    <s v="Pune"/>
    <x v="0"/>
    <x v="246"/>
    <x v="557"/>
    <n v="4"/>
    <n v="1189.36"/>
    <n v="297.34"/>
    <x v="4"/>
    <x v="0"/>
    <x v="5"/>
    <x v="0"/>
    <x v="1"/>
  </r>
  <r>
    <s v="CUST01851"/>
    <n v="40"/>
    <s v="Female"/>
    <s v="Mumbai"/>
    <x v="0"/>
    <x v="577"/>
    <x v="498"/>
    <n v="5"/>
    <n v="1186.25"/>
    <n v="237.25"/>
    <x v="1"/>
    <x v="1"/>
    <x v="9"/>
    <x v="0"/>
    <x v="1"/>
  </r>
  <r>
    <s v="CUST00522"/>
    <n v="51"/>
    <s v="Male"/>
    <s v="Mumbai"/>
    <x v="0"/>
    <x v="14"/>
    <x v="473"/>
    <n v="5"/>
    <n v="1177.25"/>
    <n v="235.45"/>
    <x v="2"/>
    <x v="1"/>
    <x v="3"/>
    <x v="1"/>
    <x v="1"/>
  </r>
  <r>
    <s v="CUST01366"/>
    <n v="46"/>
    <s v="Male"/>
    <s v="Pune"/>
    <x v="3"/>
    <x v="578"/>
    <x v="132"/>
    <n v="11"/>
    <n v="1174.25"/>
    <n v="106.75"/>
    <x v="3"/>
    <x v="2"/>
    <x v="5"/>
    <x v="0"/>
    <x v="1"/>
  </r>
  <r>
    <s v="CUST01472"/>
    <n v="44"/>
    <s v="Male"/>
    <s v="Bangalore"/>
    <x v="1"/>
    <x v="440"/>
    <x v="370"/>
    <n v="23"/>
    <n v="1173.46"/>
    <n v="51.02"/>
    <x v="2"/>
    <x v="2"/>
    <x v="5"/>
    <x v="0"/>
    <x v="1"/>
  </r>
  <r>
    <s v="CUST00930"/>
    <n v="23"/>
    <s v="Female"/>
    <s v="Delhi"/>
    <x v="3"/>
    <x v="485"/>
    <x v="407"/>
    <n v="5"/>
    <n v="1172.85"/>
    <n v="234.57"/>
    <x v="4"/>
    <x v="2"/>
    <x v="1"/>
    <x v="0"/>
    <x v="1"/>
  </r>
  <r>
    <s v="CUST01558"/>
    <n v="24"/>
    <s v="Female"/>
    <s v="Hyderabad"/>
    <x v="0"/>
    <x v="452"/>
    <x v="138"/>
    <n v="8"/>
    <n v="1171.92"/>
    <n v="146.49"/>
    <x v="1"/>
    <x v="1"/>
    <x v="2"/>
    <x v="0"/>
    <x v="1"/>
  </r>
  <r>
    <s v="CUST01621"/>
    <n v="24"/>
    <s v="Male"/>
    <s v="Bangalore"/>
    <x v="0"/>
    <x v="105"/>
    <x v="110"/>
    <n v="5"/>
    <n v="1170.1"/>
    <n v="234.02"/>
    <x v="0"/>
    <x v="0"/>
    <x v="7"/>
    <x v="0"/>
    <x v="1"/>
  </r>
  <r>
    <s v="CUST00932"/>
    <n v="41"/>
    <s v="Female"/>
    <s v="Hyderabad"/>
    <x v="3"/>
    <x v="293"/>
    <x v="176"/>
    <n v="4"/>
    <n v="1168.28"/>
    <n v="292.07"/>
    <x v="0"/>
    <x v="0"/>
    <x v="5"/>
    <x v="0"/>
    <x v="1"/>
  </r>
  <r>
    <s v="CUST00077"/>
    <n v="50"/>
    <s v="Male"/>
    <s v="Chennai"/>
    <x v="3"/>
    <x v="579"/>
    <x v="291"/>
    <n v="4"/>
    <n v="1166.6"/>
    <n v="291.65"/>
    <x v="2"/>
    <x v="2"/>
    <x v="0"/>
    <x v="0"/>
    <x v="1"/>
  </r>
  <r>
    <s v="CUST01000"/>
    <n v="61"/>
    <s v="Male"/>
    <s v="Hyderabad"/>
    <x v="1"/>
    <x v="231"/>
    <x v="72"/>
    <n v="4"/>
    <n v="1165.8"/>
    <n v="291.45"/>
    <x v="0"/>
    <x v="1"/>
    <x v="4"/>
    <x v="0"/>
    <x v="1"/>
  </r>
  <r>
    <s v="CUST01122"/>
    <n v="30"/>
    <s v="Male"/>
    <s v="Bangalore"/>
    <x v="2"/>
    <x v="447"/>
    <x v="406"/>
    <n v="14"/>
    <n v="1165.78"/>
    <n v="83.27"/>
    <x v="2"/>
    <x v="1"/>
    <x v="8"/>
    <x v="0"/>
    <x v="1"/>
  </r>
  <r>
    <s v="CUST00168"/>
    <n v="24"/>
    <s v="Female"/>
    <s v="Mumbai"/>
    <x v="3"/>
    <x v="178"/>
    <x v="64"/>
    <n v="5"/>
    <n v="1164.95"/>
    <n v="232.99"/>
    <x v="3"/>
    <x v="1"/>
    <x v="2"/>
    <x v="0"/>
    <x v="1"/>
  </r>
  <r>
    <s v="CUST00525"/>
    <n v="35"/>
    <s v="Male"/>
    <s v="Delhi"/>
    <x v="0"/>
    <x v="139"/>
    <x v="75"/>
    <n v="22"/>
    <n v="1164.68"/>
    <n v="52.94"/>
    <x v="1"/>
    <x v="0"/>
    <x v="9"/>
    <x v="1"/>
    <x v="1"/>
  </r>
  <r>
    <s v="CUST00828"/>
    <n v="56"/>
    <s v="Female"/>
    <s v="Hyderabad"/>
    <x v="3"/>
    <x v="435"/>
    <x v="644"/>
    <n v="7"/>
    <n v="1163.75"/>
    <n v="166.25"/>
    <x v="4"/>
    <x v="0"/>
    <x v="7"/>
    <x v="1"/>
    <x v="1"/>
  </r>
  <r>
    <s v="CUST00241"/>
    <n v="24"/>
    <s v="Female"/>
    <s v="Chennai"/>
    <x v="3"/>
    <x v="580"/>
    <x v="650"/>
    <n v="7"/>
    <n v="1161.37"/>
    <n v="165.91"/>
    <x v="4"/>
    <x v="2"/>
    <x v="1"/>
    <x v="0"/>
    <x v="1"/>
  </r>
  <r>
    <s v="CUST00887"/>
    <n v="18"/>
    <s v="Male"/>
    <s v="Bangalore"/>
    <x v="2"/>
    <x v="245"/>
    <x v="170"/>
    <n v="11"/>
    <n v="1157.42"/>
    <n v="105.22"/>
    <x v="4"/>
    <x v="0"/>
    <x v="4"/>
    <x v="1"/>
    <x v="1"/>
  </r>
  <r>
    <s v="CUST00034"/>
    <n v="48"/>
    <s v="Male"/>
    <s v="Mumbai"/>
    <x v="3"/>
    <x v="575"/>
    <x v="527"/>
    <n v="23"/>
    <n v="1156.21"/>
    <n v="50.27"/>
    <x v="4"/>
    <x v="1"/>
    <x v="0"/>
    <x v="0"/>
    <x v="1"/>
  </r>
  <r>
    <s v="CUST00254"/>
    <n v="31"/>
    <s v="Male"/>
    <s v="Pune"/>
    <x v="2"/>
    <x v="244"/>
    <x v="471"/>
    <n v="6"/>
    <n v="1155.12"/>
    <n v="192.52"/>
    <x v="0"/>
    <x v="1"/>
    <x v="4"/>
    <x v="0"/>
    <x v="1"/>
  </r>
  <r>
    <s v="CUST01322"/>
    <n v="62"/>
    <s v="Male"/>
    <s v="Bangalore"/>
    <x v="3"/>
    <x v="526"/>
    <x v="201"/>
    <n v="10"/>
    <n v="1155.1"/>
    <n v="115.51"/>
    <x v="3"/>
    <x v="2"/>
    <x v="2"/>
    <x v="0"/>
    <x v="1"/>
  </r>
  <r>
    <s v="CUST00419"/>
    <n v="22"/>
    <s v="Male"/>
    <s v="Pune"/>
    <x v="2"/>
    <x v="418"/>
    <x v="163"/>
    <n v="7"/>
    <n v="1154.79"/>
    <n v="164.97"/>
    <x v="0"/>
    <x v="0"/>
    <x v="9"/>
    <x v="0"/>
    <x v="1"/>
  </r>
  <r>
    <s v="CUST01672"/>
    <n v="29"/>
    <s v="Male"/>
    <s v="Kolkata"/>
    <x v="3"/>
    <x v="309"/>
    <x v="651"/>
    <n v="20"/>
    <n v="1154.6"/>
    <n v="57.73"/>
    <x v="4"/>
    <x v="2"/>
    <x v="7"/>
    <x v="0"/>
    <x v="1"/>
  </r>
  <r>
    <s v="CUST00710"/>
    <n v="32"/>
    <s v="Male"/>
    <s v="Kolkata"/>
    <x v="3"/>
    <x v="581"/>
    <x v="95"/>
    <n v="5"/>
    <n v="1154.5"/>
    <n v="230.9"/>
    <x v="2"/>
    <x v="1"/>
    <x v="2"/>
    <x v="0"/>
    <x v="1"/>
  </r>
  <r>
    <s v="CUST01963"/>
    <n v="47"/>
    <s v="Male"/>
    <s v="Pune"/>
    <x v="3"/>
    <x v="176"/>
    <x v="603"/>
    <n v="5"/>
    <n v="1150.9"/>
    <n v="230.18"/>
    <x v="1"/>
    <x v="0"/>
    <x v="7"/>
    <x v="0"/>
    <x v="1"/>
  </r>
  <r>
    <s v="CUST01413"/>
    <n v="32"/>
    <s v="Female"/>
    <s v="Bangalore"/>
    <x v="3"/>
    <x v="379"/>
    <x v="557"/>
    <n v="13"/>
    <n v="1149.98"/>
    <n v="88.45999999999999"/>
    <x v="2"/>
    <x v="1"/>
    <x v="2"/>
    <x v="1"/>
    <x v="1"/>
  </r>
  <r>
    <s v="CUST00302"/>
    <n v="28"/>
    <s v="Female"/>
    <s v="Kolkata"/>
    <x v="3"/>
    <x v="387"/>
    <x v="588"/>
    <n v="11"/>
    <n v="1149.39"/>
    <n v="104.49"/>
    <x v="4"/>
    <x v="2"/>
    <x v="3"/>
    <x v="1"/>
    <x v="1"/>
  </r>
  <r>
    <s v="CUST01142"/>
    <n v="47"/>
    <s v="Female"/>
    <s v="Delhi"/>
    <x v="3"/>
    <x v="272"/>
    <x v="308"/>
    <n v="7"/>
    <n v="1149.19"/>
    <n v="164.17"/>
    <x v="4"/>
    <x v="2"/>
    <x v="8"/>
    <x v="0"/>
    <x v="1"/>
  </r>
  <r>
    <s v="CUST01084"/>
    <n v="52"/>
    <s v="Male"/>
    <s v="Kolkata"/>
    <x v="0"/>
    <x v="78"/>
    <x v="411"/>
    <n v="14"/>
    <n v="1147.58"/>
    <n v="81.97"/>
    <x v="0"/>
    <x v="0"/>
    <x v="9"/>
    <x v="0"/>
    <x v="1"/>
  </r>
  <r>
    <s v="CUST01477"/>
    <n v="48"/>
    <s v="Female"/>
    <s v="Bangalore"/>
    <x v="1"/>
    <x v="388"/>
    <x v="346"/>
    <n v="15"/>
    <n v="1143.9"/>
    <n v="76.26000000000001"/>
    <x v="2"/>
    <x v="2"/>
    <x v="2"/>
    <x v="0"/>
    <x v="1"/>
  </r>
  <r>
    <s v="CUST01874"/>
    <n v="22"/>
    <s v="Female"/>
    <s v="Chennai"/>
    <x v="2"/>
    <x v="155"/>
    <x v="425"/>
    <n v="4"/>
    <n v="1143.72"/>
    <n v="285.93"/>
    <x v="0"/>
    <x v="0"/>
    <x v="8"/>
    <x v="1"/>
    <x v="1"/>
  </r>
  <r>
    <s v="CUST01048"/>
    <n v="59"/>
    <s v="Male"/>
    <s v="Delhi"/>
    <x v="2"/>
    <x v="287"/>
    <x v="288"/>
    <n v="12"/>
    <n v="1143"/>
    <n v="95.25"/>
    <x v="0"/>
    <x v="0"/>
    <x v="9"/>
    <x v="0"/>
    <x v="1"/>
  </r>
  <r>
    <s v="CUST01465"/>
    <n v="24"/>
    <s v="Female"/>
    <s v="Delhi"/>
    <x v="3"/>
    <x v="582"/>
    <x v="652"/>
    <n v="4"/>
    <n v="1142.84"/>
    <n v="285.71"/>
    <x v="4"/>
    <x v="1"/>
    <x v="3"/>
    <x v="0"/>
    <x v="1"/>
  </r>
  <r>
    <s v="CUST01280"/>
    <n v="43"/>
    <s v="Female"/>
    <s v="Mumbai"/>
    <x v="2"/>
    <x v="344"/>
    <x v="131"/>
    <n v="15"/>
    <n v="1142.7"/>
    <n v="76.18000000000001"/>
    <x v="0"/>
    <x v="2"/>
    <x v="0"/>
    <x v="0"/>
    <x v="1"/>
  </r>
  <r>
    <s v="CUST01246"/>
    <n v="19"/>
    <s v="Female"/>
    <s v="Mumbai"/>
    <x v="1"/>
    <x v="378"/>
    <x v="341"/>
    <n v="18"/>
    <n v="1141.2"/>
    <n v="63.4"/>
    <x v="1"/>
    <x v="2"/>
    <x v="2"/>
    <x v="0"/>
    <x v="1"/>
  </r>
  <r>
    <s v="CUST01426"/>
    <n v="57"/>
    <s v="Female"/>
    <s v="Chennai"/>
    <x v="0"/>
    <x v="403"/>
    <x v="63"/>
    <n v="11"/>
    <n v="1141.14"/>
    <n v="103.74"/>
    <x v="4"/>
    <x v="2"/>
    <x v="7"/>
    <x v="0"/>
    <x v="1"/>
  </r>
  <r>
    <s v="CUST01571"/>
    <n v="57"/>
    <s v="Male"/>
    <s v="Chennai"/>
    <x v="3"/>
    <x v="294"/>
    <x v="653"/>
    <n v="9"/>
    <n v="1138.77"/>
    <n v="126.53"/>
    <x v="2"/>
    <x v="0"/>
    <x v="3"/>
    <x v="1"/>
    <x v="1"/>
  </r>
  <r>
    <s v="CUST01922"/>
    <n v="56"/>
    <s v="Male"/>
    <s v="Delhi"/>
    <x v="2"/>
    <x v="441"/>
    <x v="245"/>
    <n v="15"/>
    <n v="1137.6"/>
    <n v="75.84"/>
    <x v="1"/>
    <x v="1"/>
    <x v="3"/>
    <x v="0"/>
    <x v="1"/>
  </r>
  <r>
    <s v="CUST00994"/>
    <n v="24"/>
    <s v="Male"/>
    <s v="Bangalore"/>
    <x v="2"/>
    <x v="508"/>
    <x v="654"/>
    <n v="17"/>
    <n v="1136.45"/>
    <n v="66.84999999999999"/>
    <x v="2"/>
    <x v="1"/>
    <x v="9"/>
    <x v="1"/>
    <x v="1"/>
  </r>
  <r>
    <s v="CUST00900"/>
    <n v="29"/>
    <s v="Male"/>
    <s v="Pune"/>
    <x v="3"/>
    <x v="519"/>
    <x v="655"/>
    <n v="16"/>
    <n v="1133.12"/>
    <n v="70.81999999999999"/>
    <x v="1"/>
    <x v="0"/>
    <x v="1"/>
    <x v="0"/>
    <x v="1"/>
  </r>
  <r>
    <s v="CUST01331"/>
    <n v="30"/>
    <s v="Female"/>
    <s v="Bangalore"/>
    <x v="1"/>
    <x v="315"/>
    <x v="537"/>
    <n v="4"/>
    <n v="1129.32"/>
    <n v="282.33"/>
    <x v="0"/>
    <x v="2"/>
    <x v="9"/>
    <x v="0"/>
    <x v="1"/>
  </r>
  <r>
    <s v="CUST01655"/>
    <n v="50"/>
    <s v="Male"/>
    <s v="Hyderabad"/>
    <x v="3"/>
    <x v="544"/>
    <x v="459"/>
    <n v="6"/>
    <n v="1127.82"/>
    <n v="187.97"/>
    <x v="0"/>
    <x v="0"/>
    <x v="2"/>
    <x v="0"/>
    <x v="1"/>
  </r>
  <r>
    <s v="CUST00558"/>
    <n v="59"/>
    <s v="Male"/>
    <s v="Delhi"/>
    <x v="1"/>
    <x v="376"/>
    <x v="341"/>
    <n v="20"/>
    <n v="1127.4"/>
    <n v="56.37"/>
    <x v="4"/>
    <x v="1"/>
    <x v="2"/>
    <x v="0"/>
    <x v="1"/>
  </r>
  <r>
    <s v="CUST01754"/>
    <n v="18"/>
    <s v="Male"/>
    <s v="Pune"/>
    <x v="0"/>
    <x v="335"/>
    <x v="656"/>
    <n v="10"/>
    <n v="1126.9"/>
    <n v="112.69"/>
    <x v="2"/>
    <x v="0"/>
    <x v="6"/>
    <x v="1"/>
    <x v="1"/>
  </r>
  <r>
    <s v="CUST01790"/>
    <n v="60"/>
    <s v="Female"/>
    <s v="Chennai"/>
    <x v="1"/>
    <x v="449"/>
    <x v="657"/>
    <n v="4"/>
    <n v="1125.08"/>
    <n v="281.27"/>
    <x v="1"/>
    <x v="2"/>
    <x v="7"/>
    <x v="0"/>
    <x v="1"/>
  </r>
  <r>
    <s v="CUST01862"/>
    <n v="25"/>
    <s v="Female"/>
    <s v="Delhi"/>
    <x v="1"/>
    <x v="389"/>
    <x v="38"/>
    <n v="6"/>
    <n v="1124.94"/>
    <n v="187.49"/>
    <x v="1"/>
    <x v="2"/>
    <x v="2"/>
    <x v="0"/>
    <x v="1"/>
  </r>
  <r>
    <s v="CUST00372"/>
    <n v="62"/>
    <s v="Female"/>
    <s v="Chennai"/>
    <x v="0"/>
    <x v="353"/>
    <x v="264"/>
    <n v="13"/>
    <n v="1124.89"/>
    <n v="86.53"/>
    <x v="2"/>
    <x v="1"/>
    <x v="7"/>
    <x v="0"/>
    <x v="1"/>
  </r>
  <r>
    <s v="CUST00235"/>
    <n v="52"/>
    <s v="Male"/>
    <s v="Chennai"/>
    <x v="0"/>
    <x v="325"/>
    <x v="566"/>
    <n v="4"/>
    <n v="1123.92"/>
    <n v="280.98"/>
    <x v="2"/>
    <x v="0"/>
    <x v="0"/>
    <x v="0"/>
    <x v="1"/>
  </r>
  <r>
    <s v="CUST01978"/>
    <n v="52"/>
    <s v="Male"/>
    <s v="Mumbai"/>
    <x v="3"/>
    <x v="363"/>
    <x v="538"/>
    <n v="22"/>
    <n v="1120.24"/>
    <n v="50.92"/>
    <x v="0"/>
    <x v="1"/>
    <x v="1"/>
    <x v="0"/>
    <x v="1"/>
  </r>
  <r>
    <s v="CUST01908"/>
    <n v="44"/>
    <s v="Male"/>
    <s v="Delhi"/>
    <x v="0"/>
    <x v="503"/>
    <x v="635"/>
    <n v="21"/>
    <n v="1115.73"/>
    <n v="53.13"/>
    <x v="1"/>
    <x v="1"/>
    <x v="9"/>
    <x v="0"/>
    <x v="1"/>
  </r>
  <r>
    <s v="CUST01572"/>
    <n v="45"/>
    <s v="Female"/>
    <s v="Chennai"/>
    <x v="1"/>
    <x v="521"/>
    <x v="92"/>
    <n v="18"/>
    <n v="1115.64"/>
    <n v="61.98"/>
    <x v="1"/>
    <x v="1"/>
    <x v="3"/>
    <x v="0"/>
    <x v="1"/>
  </r>
  <r>
    <s v="CUST01430"/>
    <n v="41"/>
    <s v="Female"/>
    <s v="Chennai"/>
    <x v="0"/>
    <x v="583"/>
    <x v="626"/>
    <n v="16"/>
    <n v="1115.52"/>
    <n v="69.72"/>
    <x v="3"/>
    <x v="2"/>
    <x v="1"/>
    <x v="1"/>
    <x v="1"/>
  </r>
  <r>
    <s v="CUST00018"/>
    <n v="54"/>
    <s v="Female"/>
    <s v="Mumbai"/>
    <x v="3"/>
    <x v="98"/>
    <x v="416"/>
    <n v="5"/>
    <n v="1112.7"/>
    <n v="222.54"/>
    <x v="2"/>
    <x v="2"/>
    <x v="8"/>
    <x v="0"/>
    <x v="1"/>
  </r>
  <r>
    <s v="CUST01466"/>
    <n v="33"/>
    <s v="Male"/>
    <s v="Bangalore"/>
    <x v="1"/>
    <x v="319"/>
    <x v="17"/>
    <n v="6"/>
    <n v="1112.64"/>
    <n v="185.44"/>
    <x v="1"/>
    <x v="0"/>
    <x v="4"/>
    <x v="0"/>
    <x v="1"/>
  </r>
  <r>
    <s v="CUST00950"/>
    <n v="53"/>
    <s v="Female"/>
    <s v="Delhi"/>
    <x v="1"/>
    <x v="405"/>
    <x v="533"/>
    <n v="14"/>
    <n v="1110.48"/>
    <n v="79.31999999999999"/>
    <x v="2"/>
    <x v="2"/>
    <x v="9"/>
    <x v="0"/>
    <x v="1"/>
  </r>
  <r>
    <s v="CUST00542"/>
    <n v="42"/>
    <s v="Male"/>
    <s v="Delhi"/>
    <x v="1"/>
    <x v="260"/>
    <x v="280"/>
    <n v="5"/>
    <n v="1109.85"/>
    <n v="221.97"/>
    <x v="2"/>
    <x v="1"/>
    <x v="4"/>
    <x v="0"/>
    <x v="1"/>
  </r>
  <r>
    <s v="CUST00259"/>
    <n v="36"/>
    <s v="Female"/>
    <s v="Pune"/>
    <x v="1"/>
    <x v="247"/>
    <x v="433"/>
    <n v="7"/>
    <n v="1109.64"/>
    <n v="158.52"/>
    <x v="0"/>
    <x v="1"/>
    <x v="9"/>
    <x v="0"/>
    <x v="1"/>
  </r>
  <r>
    <s v="CUST01871"/>
    <n v="60"/>
    <s v="Male"/>
    <s v="Chennai"/>
    <x v="3"/>
    <x v="286"/>
    <x v="658"/>
    <n v="13"/>
    <n v="1106.69"/>
    <n v="85.13"/>
    <x v="1"/>
    <x v="0"/>
    <x v="1"/>
    <x v="0"/>
    <x v="1"/>
  </r>
  <r>
    <s v="CUST00352"/>
    <n v="29"/>
    <s v="Male"/>
    <s v="Hyderabad"/>
    <x v="3"/>
    <x v="584"/>
    <x v="659"/>
    <n v="24"/>
    <n v="1104.72"/>
    <n v="46.03"/>
    <x v="2"/>
    <x v="1"/>
    <x v="7"/>
    <x v="0"/>
    <x v="1"/>
  </r>
  <r>
    <s v="CUST00919"/>
    <n v="45"/>
    <s v="Female"/>
    <s v="Pune"/>
    <x v="2"/>
    <x v="585"/>
    <x v="90"/>
    <n v="17"/>
    <n v="1103.3"/>
    <n v="64.90000000000001"/>
    <x v="0"/>
    <x v="0"/>
    <x v="1"/>
    <x v="0"/>
    <x v="1"/>
  </r>
  <r>
    <s v="CUST01758"/>
    <n v="29"/>
    <s v="Male"/>
    <s v="Chennai"/>
    <x v="1"/>
    <x v="15"/>
    <x v="387"/>
    <n v="8"/>
    <n v="1098.72"/>
    <n v="137.34"/>
    <x v="2"/>
    <x v="1"/>
    <x v="9"/>
    <x v="0"/>
    <x v="1"/>
  </r>
  <r>
    <s v="CUST01114"/>
    <n v="59"/>
    <s v="Male"/>
    <s v="Delhi"/>
    <x v="2"/>
    <x v="265"/>
    <x v="660"/>
    <n v="16"/>
    <n v="1098.56"/>
    <n v="68.66"/>
    <x v="3"/>
    <x v="0"/>
    <x v="5"/>
    <x v="0"/>
    <x v="1"/>
  </r>
  <r>
    <s v="CUST00036"/>
    <n v="20"/>
    <s v="Male"/>
    <s v="Pune"/>
    <x v="3"/>
    <x v="194"/>
    <x v="301"/>
    <n v="6"/>
    <n v="1095.42"/>
    <n v="182.57"/>
    <x v="4"/>
    <x v="0"/>
    <x v="9"/>
    <x v="0"/>
    <x v="1"/>
  </r>
  <r>
    <s v="CUST00693"/>
    <n v="18"/>
    <s v="Female"/>
    <s v="Delhi"/>
    <x v="0"/>
    <x v="585"/>
    <x v="661"/>
    <n v="22"/>
    <n v="1094.94"/>
    <n v="49.77"/>
    <x v="1"/>
    <x v="0"/>
    <x v="2"/>
    <x v="0"/>
    <x v="1"/>
  </r>
  <r>
    <s v="CUST01811"/>
    <n v="43"/>
    <s v="Female"/>
    <s v="Bangalore"/>
    <x v="0"/>
    <x v="215"/>
    <x v="49"/>
    <n v="21"/>
    <n v="1094.73"/>
    <n v="52.13"/>
    <x v="1"/>
    <x v="2"/>
    <x v="2"/>
    <x v="1"/>
    <x v="1"/>
  </r>
  <r>
    <s v="CUST00230"/>
    <n v="33"/>
    <s v="Male"/>
    <s v="Chennai"/>
    <x v="3"/>
    <x v="62"/>
    <x v="450"/>
    <n v="25"/>
    <n v="1093"/>
    <n v="43.72"/>
    <x v="1"/>
    <x v="2"/>
    <x v="1"/>
    <x v="0"/>
    <x v="1"/>
  </r>
  <r>
    <s v="CUST01688"/>
    <n v="35"/>
    <s v="Male"/>
    <s v="Delhi"/>
    <x v="3"/>
    <x v="306"/>
    <x v="294"/>
    <n v="9"/>
    <n v="1092.33"/>
    <n v="121.37"/>
    <x v="4"/>
    <x v="1"/>
    <x v="9"/>
    <x v="0"/>
    <x v="1"/>
  </r>
  <r>
    <s v="CUST01587"/>
    <n v="50"/>
    <s v="Female"/>
    <s v="Hyderabad"/>
    <x v="1"/>
    <x v="75"/>
    <x v="206"/>
    <n v="9"/>
    <n v="1089.72"/>
    <n v="121.08"/>
    <x v="1"/>
    <x v="1"/>
    <x v="3"/>
    <x v="0"/>
    <x v="1"/>
  </r>
  <r>
    <s v="CUST00024"/>
    <n v="23"/>
    <s v="Male"/>
    <s v="Delhi"/>
    <x v="0"/>
    <x v="3"/>
    <x v="111"/>
    <n v="17"/>
    <n v="1089.36"/>
    <n v="64.08"/>
    <x v="1"/>
    <x v="1"/>
    <x v="8"/>
    <x v="0"/>
    <x v="1"/>
  </r>
  <r>
    <s v="CUST00650"/>
    <n v="65"/>
    <s v="Female"/>
    <s v="Bangalore"/>
    <x v="3"/>
    <x v="136"/>
    <x v="662"/>
    <n v="6"/>
    <n v="1089.12"/>
    <n v="181.52"/>
    <x v="0"/>
    <x v="0"/>
    <x v="6"/>
    <x v="0"/>
    <x v="1"/>
  </r>
  <r>
    <s v="CUST00985"/>
    <n v="60"/>
    <s v="Female"/>
    <s v="Bangalore"/>
    <x v="2"/>
    <x v="181"/>
    <x v="663"/>
    <n v="15"/>
    <n v="1085.55"/>
    <n v="72.37"/>
    <x v="3"/>
    <x v="0"/>
    <x v="8"/>
    <x v="1"/>
    <x v="1"/>
  </r>
  <r>
    <s v="CUST00747"/>
    <n v="65"/>
    <s v="Male"/>
    <s v="Delhi"/>
    <x v="1"/>
    <x v="421"/>
    <x v="625"/>
    <n v="16"/>
    <n v="1083.68"/>
    <n v="67.73"/>
    <x v="3"/>
    <x v="2"/>
    <x v="1"/>
    <x v="0"/>
    <x v="1"/>
  </r>
  <r>
    <s v="CUST01903"/>
    <n v="32"/>
    <s v="Male"/>
    <s v="Pune"/>
    <x v="1"/>
    <x v="21"/>
    <x v="481"/>
    <n v="9"/>
    <n v="1083.6"/>
    <n v="120.4"/>
    <x v="3"/>
    <x v="1"/>
    <x v="2"/>
    <x v="1"/>
    <x v="1"/>
  </r>
  <r>
    <s v="CUST01964"/>
    <n v="23"/>
    <s v="Female"/>
    <s v="Kolkata"/>
    <x v="2"/>
    <x v="586"/>
    <x v="62"/>
    <n v="14"/>
    <n v="1082.34"/>
    <n v="77.31"/>
    <x v="1"/>
    <x v="2"/>
    <x v="1"/>
    <x v="1"/>
    <x v="1"/>
  </r>
  <r>
    <s v="CUST00519"/>
    <n v="56"/>
    <s v="Male"/>
    <s v="Kolkata"/>
    <x v="2"/>
    <x v="505"/>
    <x v="608"/>
    <n v="6"/>
    <n v="1079.28"/>
    <n v="179.88"/>
    <x v="4"/>
    <x v="0"/>
    <x v="6"/>
    <x v="0"/>
    <x v="1"/>
  </r>
  <r>
    <s v="CUST00263"/>
    <n v="32"/>
    <s v="Female"/>
    <s v="Delhi"/>
    <x v="0"/>
    <x v="134"/>
    <x v="664"/>
    <n v="7"/>
    <n v="1074.57"/>
    <n v="153.51"/>
    <x v="4"/>
    <x v="2"/>
    <x v="7"/>
    <x v="1"/>
    <x v="1"/>
  </r>
  <r>
    <s v="CUST00387"/>
    <n v="54"/>
    <s v="Female"/>
    <s v="Pune"/>
    <x v="0"/>
    <x v="587"/>
    <x v="447"/>
    <n v="18"/>
    <n v="1072.44"/>
    <n v="59.58"/>
    <x v="4"/>
    <x v="2"/>
    <x v="9"/>
    <x v="1"/>
    <x v="1"/>
  </r>
  <r>
    <s v="CUST01523"/>
    <n v="44"/>
    <s v="Male"/>
    <s v="Pune"/>
    <x v="1"/>
    <x v="323"/>
    <x v="115"/>
    <n v="20"/>
    <n v="1070.4"/>
    <n v="53.52"/>
    <x v="2"/>
    <x v="1"/>
    <x v="4"/>
    <x v="0"/>
    <x v="1"/>
  </r>
  <r>
    <s v="CUST01712"/>
    <n v="54"/>
    <s v="Female"/>
    <s v="Mumbai"/>
    <x v="3"/>
    <x v="61"/>
    <x v="311"/>
    <n v="18"/>
    <n v="1069.74"/>
    <n v="59.43"/>
    <x v="0"/>
    <x v="1"/>
    <x v="6"/>
    <x v="0"/>
    <x v="1"/>
  </r>
  <r>
    <s v="CUST01418"/>
    <n v="45"/>
    <s v="Male"/>
    <s v="Chennai"/>
    <x v="0"/>
    <x v="350"/>
    <x v="459"/>
    <n v="4"/>
    <n v="1069.56"/>
    <n v="267.39"/>
    <x v="1"/>
    <x v="1"/>
    <x v="9"/>
    <x v="0"/>
    <x v="1"/>
  </r>
  <r>
    <s v="CUST00882"/>
    <n v="24"/>
    <s v="Male"/>
    <s v="Mumbai"/>
    <x v="1"/>
    <x v="540"/>
    <x v="99"/>
    <n v="7"/>
    <n v="1068.83"/>
    <n v="152.69"/>
    <x v="1"/>
    <x v="2"/>
    <x v="5"/>
    <x v="0"/>
    <x v="1"/>
  </r>
  <r>
    <s v="CUST00338"/>
    <n v="29"/>
    <s v="Female"/>
    <s v="Chennai"/>
    <x v="0"/>
    <x v="286"/>
    <x v="115"/>
    <n v="25"/>
    <n v="1065.75"/>
    <n v="42.63"/>
    <x v="3"/>
    <x v="1"/>
    <x v="1"/>
    <x v="0"/>
    <x v="1"/>
  </r>
  <r>
    <s v="CUST00969"/>
    <n v="41"/>
    <s v="Female"/>
    <s v="Mumbai"/>
    <x v="2"/>
    <x v="588"/>
    <x v="66"/>
    <n v="12"/>
    <n v="1064.28"/>
    <n v="88.69"/>
    <x v="3"/>
    <x v="2"/>
    <x v="9"/>
    <x v="0"/>
    <x v="1"/>
  </r>
  <r>
    <s v="CUST00294"/>
    <n v="42"/>
    <s v="Male"/>
    <s v="Chennai"/>
    <x v="0"/>
    <x v="569"/>
    <x v="665"/>
    <n v="14"/>
    <n v="1061.9"/>
    <n v="75.84999999999999"/>
    <x v="2"/>
    <x v="0"/>
    <x v="9"/>
    <x v="0"/>
    <x v="1"/>
  </r>
  <r>
    <s v="CUST01132"/>
    <n v="31"/>
    <s v="Female"/>
    <s v="Delhi"/>
    <x v="1"/>
    <x v="185"/>
    <x v="518"/>
    <n v="10"/>
    <n v="1061.1"/>
    <n v="106.11"/>
    <x v="1"/>
    <x v="0"/>
    <x v="3"/>
    <x v="0"/>
    <x v="1"/>
  </r>
  <r>
    <s v="CUST00085"/>
    <n v="51"/>
    <s v="Female"/>
    <s v="Delhi"/>
    <x v="1"/>
    <x v="285"/>
    <x v="4"/>
    <n v="4"/>
    <n v="1059.08"/>
    <n v="264.77"/>
    <x v="2"/>
    <x v="0"/>
    <x v="5"/>
    <x v="0"/>
    <x v="1"/>
  </r>
  <r>
    <s v="CUST00129"/>
    <n v="24"/>
    <s v="Female"/>
    <s v="Chennai"/>
    <x v="0"/>
    <x v="495"/>
    <x v="666"/>
    <n v="17"/>
    <n v="1058.08"/>
    <n v="62.24"/>
    <x v="0"/>
    <x v="0"/>
    <x v="5"/>
    <x v="1"/>
    <x v="1"/>
  </r>
  <r>
    <s v="CUST01746"/>
    <n v="31"/>
    <s v="Female"/>
    <s v="Delhi"/>
    <x v="2"/>
    <x v="483"/>
    <x v="218"/>
    <n v="9"/>
    <n v="1057.5"/>
    <n v="117.5"/>
    <x v="3"/>
    <x v="2"/>
    <x v="3"/>
    <x v="0"/>
    <x v="1"/>
  </r>
  <r>
    <s v="CUST00927"/>
    <n v="58"/>
    <s v="Male"/>
    <s v="Chennai"/>
    <x v="1"/>
    <x v="278"/>
    <x v="293"/>
    <n v="5"/>
    <n v="1055.3"/>
    <n v="211.06"/>
    <x v="1"/>
    <x v="0"/>
    <x v="5"/>
    <x v="1"/>
    <x v="1"/>
  </r>
  <r>
    <s v="CUST01006"/>
    <n v="58"/>
    <s v="Female"/>
    <s v="Pune"/>
    <x v="1"/>
    <x v="464"/>
    <x v="390"/>
    <n v="10"/>
    <n v="1054"/>
    <n v="105.4"/>
    <x v="2"/>
    <x v="1"/>
    <x v="8"/>
    <x v="0"/>
    <x v="1"/>
  </r>
  <r>
    <s v="CUST01844"/>
    <n v="60"/>
    <s v="Female"/>
    <s v="Chennai"/>
    <x v="3"/>
    <x v="303"/>
    <x v="667"/>
    <n v="21"/>
    <n v="1053.78"/>
    <n v="50.18"/>
    <x v="0"/>
    <x v="0"/>
    <x v="7"/>
    <x v="0"/>
    <x v="1"/>
  </r>
  <r>
    <s v="CUST00602"/>
    <n v="29"/>
    <s v="Male"/>
    <s v="Pune"/>
    <x v="0"/>
    <x v="435"/>
    <x v="587"/>
    <n v="19"/>
    <n v="1052.79"/>
    <n v="55.41"/>
    <x v="4"/>
    <x v="1"/>
    <x v="5"/>
    <x v="0"/>
    <x v="1"/>
  </r>
  <r>
    <s v="CUST00555"/>
    <n v="34"/>
    <s v="Female"/>
    <s v="Hyderabad"/>
    <x v="1"/>
    <x v="507"/>
    <x v="84"/>
    <n v="11"/>
    <n v="1052.59"/>
    <n v="95.69"/>
    <x v="0"/>
    <x v="2"/>
    <x v="3"/>
    <x v="0"/>
    <x v="1"/>
  </r>
  <r>
    <s v="CUST00970"/>
    <n v="32"/>
    <s v="Male"/>
    <s v="Hyderabad"/>
    <x v="2"/>
    <x v="587"/>
    <x v="288"/>
    <n v="7"/>
    <n v="1052.17"/>
    <n v="150.31"/>
    <x v="0"/>
    <x v="2"/>
    <x v="3"/>
    <x v="0"/>
    <x v="1"/>
  </r>
  <r>
    <s v="CUST01183"/>
    <n v="45"/>
    <s v="Female"/>
    <s v="Delhi"/>
    <x v="3"/>
    <x v="72"/>
    <x v="668"/>
    <n v="16"/>
    <n v="1050.88"/>
    <n v="65.68000000000001"/>
    <x v="4"/>
    <x v="0"/>
    <x v="3"/>
    <x v="1"/>
    <x v="1"/>
  </r>
  <r>
    <s v="CUST00284"/>
    <n v="26"/>
    <s v="Female"/>
    <s v="Delhi"/>
    <x v="0"/>
    <x v="101"/>
    <x v="669"/>
    <n v="24"/>
    <n v="1050.48"/>
    <n v="43.77"/>
    <x v="2"/>
    <x v="0"/>
    <x v="5"/>
    <x v="1"/>
    <x v="1"/>
  </r>
  <r>
    <s v="CUST01633"/>
    <n v="52"/>
    <s v="Male"/>
    <s v="Pune"/>
    <x v="0"/>
    <x v="361"/>
    <x v="524"/>
    <n v="16"/>
    <n v="1045.28"/>
    <n v="65.33"/>
    <x v="4"/>
    <x v="1"/>
    <x v="8"/>
    <x v="0"/>
    <x v="1"/>
  </r>
  <r>
    <s v="CUST01499"/>
    <n v="45"/>
    <s v="Male"/>
    <s v="Chennai"/>
    <x v="2"/>
    <x v="589"/>
    <x v="670"/>
    <n v="17"/>
    <n v="1043.63"/>
    <n v="61.39"/>
    <x v="2"/>
    <x v="2"/>
    <x v="1"/>
    <x v="0"/>
    <x v="1"/>
  </r>
  <r>
    <s v="CUST01230"/>
    <n v="18"/>
    <s v="Male"/>
    <s v="Pune"/>
    <x v="2"/>
    <x v="551"/>
    <x v="118"/>
    <n v="5"/>
    <n v="1041.15"/>
    <n v="208.23"/>
    <x v="0"/>
    <x v="2"/>
    <x v="4"/>
    <x v="0"/>
    <x v="1"/>
  </r>
  <r>
    <s v="CUST00133"/>
    <n v="65"/>
    <s v="Male"/>
    <s v="Chennai"/>
    <x v="3"/>
    <x v="372"/>
    <x v="640"/>
    <n v="5"/>
    <n v="1038.15"/>
    <n v="207.63"/>
    <x v="0"/>
    <x v="1"/>
    <x v="6"/>
    <x v="0"/>
    <x v="1"/>
  </r>
  <r>
    <s v="CUST01948"/>
    <n v="59"/>
    <s v="Female"/>
    <s v="Hyderabad"/>
    <x v="0"/>
    <x v="554"/>
    <x v="33"/>
    <n v="6"/>
    <n v="1035.12"/>
    <n v="172.52"/>
    <x v="4"/>
    <x v="2"/>
    <x v="1"/>
    <x v="0"/>
    <x v="1"/>
  </r>
  <r>
    <s v="CUST01133"/>
    <n v="53"/>
    <s v="Female"/>
    <s v="Chennai"/>
    <x v="1"/>
    <x v="590"/>
    <x v="339"/>
    <n v="16"/>
    <n v="1033.76"/>
    <n v="64.61"/>
    <x v="2"/>
    <x v="0"/>
    <x v="7"/>
    <x v="1"/>
    <x v="1"/>
  </r>
  <r>
    <s v="CUST00351"/>
    <n v="18"/>
    <s v="Male"/>
    <s v="Chennai"/>
    <x v="1"/>
    <x v="422"/>
    <x v="416"/>
    <n v="4"/>
    <n v="1033.4"/>
    <n v="258.35"/>
    <x v="4"/>
    <x v="1"/>
    <x v="2"/>
    <x v="0"/>
    <x v="1"/>
  </r>
  <r>
    <s v="CUST00086"/>
    <n v="59"/>
    <s v="Male"/>
    <s v="Kolkata"/>
    <x v="2"/>
    <x v="448"/>
    <x v="221"/>
    <n v="9"/>
    <n v="1033.2"/>
    <n v="114.8"/>
    <x v="0"/>
    <x v="1"/>
    <x v="9"/>
    <x v="0"/>
    <x v="1"/>
  </r>
  <r>
    <s v="CUST00052"/>
    <n v="42"/>
    <s v="Female"/>
    <s v="Kolkata"/>
    <x v="3"/>
    <x v="342"/>
    <x v="62"/>
    <n v="7"/>
    <n v="1031.24"/>
    <n v="147.32"/>
    <x v="4"/>
    <x v="2"/>
    <x v="2"/>
    <x v="0"/>
    <x v="1"/>
  </r>
  <r>
    <s v="CUST01561"/>
    <n v="61"/>
    <s v="Female"/>
    <s v="Hyderabad"/>
    <x v="0"/>
    <x v="340"/>
    <x v="529"/>
    <n v="4"/>
    <n v="1029.84"/>
    <n v="257.46"/>
    <x v="4"/>
    <x v="2"/>
    <x v="4"/>
    <x v="1"/>
    <x v="1"/>
  </r>
  <r>
    <s v="CUST01220"/>
    <n v="46"/>
    <s v="Male"/>
    <s v="Chennai"/>
    <x v="2"/>
    <x v="418"/>
    <x v="551"/>
    <n v="7"/>
    <n v="1028.23"/>
    <n v="146.89"/>
    <x v="0"/>
    <x v="1"/>
    <x v="9"/>
    <x v="0"/>
    <x v="1"/>
  </r>
  <r>
    <s v="CUST01876"/>
    <n v="42"/>
    <s v="Female"/>
    <s v="Bangalore"/>
    <x v="1"/>
    <x v="591"/>
    <x v="97"/>
    <n v="11"/>
    <n v="1027.4"/>
    <n v="93.40000000000001"/>
    <x v="3"/>
    <x v="2"/>
    <x v="7"/>
    <x v="0"/>
    <x v="1"/>
  </r>
  <r>
    <s v="CUST00047"/>
    <n v="23"/>
    <s v="Male"/>
    <s v="Mumbai"/>
    <x v="1"/>
    <x v="157"/>
    <x v="77"/>
    <n v="9"/>
    <n v="1026.36"/>
    <n v="114.04"/>
    <x v="2"/>
    <x v="0"/>
    <x v="5"/>
    <x v="0"/>
    <x v="1"/>
  </r>
  <r>
    <s v="CUST01498"/>
    <n v="29"/>
    <s v="Male"/>
    <s v="Hyderabad"/>
    <x v="3"/>
    <x v="318"/>
    <x v="104"/>
    <n v="9"/>
    <n v="1016.82"/>
    <n v="112.98"/>
    <x v="1"/>
    <x v="2"/>
    <x v="0"/>
    <x v="1"/>
    <x v="1"/>
  </r>
  <r>
    <s v="CUST01984"/>
    <n v="18"/>
    <s v="Male"/>
    <s v="Delhi"/>
    <x v="1"/>
    <x v="139"/>
    <x v="671"/>
    <n v="14"/>
    <n v="1015"/>
    <n v="72.5"/>
    <x v="1"/>
    <x v="0"/>
    <x v="2"/>
    <x v="0"/>
    <x v="1"/>
  </r>
  <r>
    <s v="CUST00201"/>
    <n v="29"/>
    <s v="Female"/>
    <s v="Pune"/>
    <x v="1"/>
    <x v="592"/>
    <x v="672"/>
    <n v="5"/>
    <n v="1014.95"/>
    <n v="202.99"/>
    <x v="1"/>
    <x v="2"/>
    <x v="6"/>
    <x v="0"/>
    <x v="1"/>
  </r>
  <r>
    <s v="CUST01198"/>
    <n v="35"/>
    <s v="Female"/>
    <s v="Hyderabad"/>
    <x v="1"/>
    <x v="553"/>
    <x v="65"/>
    <n v="25"/>
    <n v="1011.5"/>
    <n v="40.46"/>
    <x v="4"/>
    <x v="2"/>
    <x v="5"/>
    <x v="0"/>
    <x v="1"/>
  </r>
  <r>
    <s v="CUST01248"/>
    <n v="43"/>
    <s v="Female"/>
    <s v="Chennai"/>
    <x v="2"/>
    <x v="484"/>
    <x v="39"/>
    <n v="14"/>
    <n v="1009.4"/>
    <n v="72.09999999999999"/>
    <x v="4"/>
    <x v="1"/>
    <x v="7"/>
    <x v="0"/>
    <x v="1"/>
  </r>
  <r>
    <s v="CUST01505"/>
    <n v="23"/>
    <s v="Female"/>
    <s v="Chennai"/>
    <x v="2"/>
    <x v="197"/>
    <x v="585"/>
    <n v="8"/>
    <n v="1006.48"/>
    <n v="125.81"/>
    <x v="0"/>
    <x v="2"/>
    <x v="7"/>
    <x v="0"/>
    <x v="1"/>
  </r>
  <r>
    <s v="CUST01684"/>
    <n v="29"/>
    <s v="Female"/>
    <s v="Hyderabad"/>
    <x v="0"/>
    <x v="298"/>
    <x v="111"/>
    <n v="18"/>
    <n v="1004.4"/>
    <n v="55.8"/>
    <x v="4"/>
    <x v="1"/>
    <x v="5"/>
    <x v="0"/>
    <x v="1"/>
  </r>
  <r>
    <s v="CUST00663"/>
    <n v="50"/>
    <s v="Male"/>
    <s v="Bangalore"/>
    <x v="3"/>
    <x v="40"/>
    <x v="673"/>
    <n v="4"/>
    <n v="1003.32"/>
    <n v="250.83"/>
    <x v="0"/>
    <x v="0"/>
    <x v="3"/>
    <x v="0"/>
    <x v="1"/>
  </r>
  <r>
    <s v="CUST00305"/>
    <n v="38"/>
    <s v="Male"/>
    <s v="Chennai"/>
    <x v="0"/>
    <x v="118"/>
    <x v="161"/>
    <n v="24"/>
    <n v="1002.96"/>
    <n v="41.79"/>
    <x v="4"/>
    <x v="1"/>
    <x v="6"/>
    <x v="0"/>
    <x v="1"/>
  </r>
  <r>
    <s v="CUST01766"/>
    <n v="32"/>
    <s v="Male"/>
    <s v="Chennai"/>
    <x v="1"/>
    <x v="593"/>
    <x v="196"/>
    <n v="18"/>
    <n v="1002.42"/>
    <n v="55.69"/>
    <x v="3"/>
    <x v="1"/>
    <x v="8"/>
    <x v="0"/>
    <x v="1"/>
  </r>
  <r>
    <s v="CUST01765"/>
    <n v="48"/>
    <s v="Male"/>
    <s v="Delhi"/>
    <x v="0"/>
    <x v="594"/>
    <x v="603"/>
    <n v="17"/>
    <n v="997.39"/>
    <n v="58.67"/>
    <x v="1"/>
    <x v="0"/>
    <x v="0"/>
    <x v="0"/>
    <x v="2"/>
  </r>
  <r>
    <s v="CUST00962"/>
    <n v="25"/>
    <s v="Male"/>
    <s v="Pune"/>
    <x v="0"/>
    <x v="106"/>
    <x v="335"/>
    <n v="6"/>
    <n v="996.54"/>
    <n v="166.09"/>
    <x v="0"/>
    <x v="2"/>
    <x v="3"/>
    <x v="0"/>
    <x v="2"/>
  </r>
  <r>
    <s v="CUST01781"/>
    <n v="63"/>
    <s v="Male"/>
    <s v="Chennai"/>
    <x v="3"/>
    <x v="207"/>
    <x v="9"/>
    <n v="5"/>
    <n v="995.25"/>
    <n v="199.05"/>
    <x v="4"/>
    <x v="2"/>
    <x v="0"/>
    <x v="0"/>
    <x v="2"/>
  </r>
  <r>
    <s v="CUST00377"/>
    <n v="28"/>
    <s v="Female"/>
    <s v="Pune"/>
    <x v="3"/>
    <x v="595"/>
    <x v="565"/>
    <n v="6"/>
    <n v="994.6200000000001"/>
    <n v="165.77"/>
    <x v="3"/>
    <x v="1"/>
    <x v="0"/>
    <x v="0"/>
    <x v="2"/>
  </r>
  <r>
    <s v="CUST01335"/>
    <n v="21"/>
    <s v="Female"/>
    <s v="Chennai"/>
    <x v="3"/>
    <x v="596"/>
    <x v="351"/>
    <n v="25"/>
    <n v="986.9999999999999"/>
    <n v="39.48"/>
    <x v="1"/>
    <x v="0"/>
    <x v="8"/>
    <x v="0"/>
    <x v="2"/>
  </r>
  <r>
    <s v="CUST00322"/>
    <n v="62"/>
    <s v="Male"/>
    <s v="Kolkata"/>
    <x v="1"/>
    <x v="240"/>
    <x v="635"/>
    <n v="10"/>
    <n v="985"/>
    <n v="98.5"/>
    <x v="1"/>
    <x v="1"/>
    <x v="2"/>
    <x v="0"/>
    <x v="2"/>
  </r>
  <r>
    <s v="CUST00309"/>
    <n v="23"/>
    <s v="Female"/>
    <s v="Pune"/>
    <x v="3"/>
    <x v="392"/>
    <x v="671"/>
    <n v="24"/>
    <n v="984"/>
    <n v="41"/>
    <x v="3"/>
    <x v="1"/>
    <x v="5"/>
    <x v="0"/>
    <x v="2"/>
  </r>
  <r>
    <s v="CUST01138"/>
    <n v="51"/>
    <s v="Male"/>
    <s v="Hyderabad"/>
    <x v="0"/>
    <x v="30"/>
    <x v="432"/>
    <n v="14"/>
    <n v="983.78"/>
    <n v="70.27"/>
    <x v="4"/>
    <x v="0"/>
    <x v="8"/>
    <x v="0"/>
    <x v="2"/>
  </r>
  <r>
    <s v="CUST01476"/>
    <n v="18"/>
    <s v="Female"/>
    <s v="Kolkata"/>
    <x v="0"/>
    <x v="110"/>
    <x v="548"/>
    <n v="10"/>
    <n v="982.0999999999999"/>
    <n v="98.20999999999999"/>
    <x v="0"/>
    <x v="1"/>
    <x v="9"/>
    <x v="0"/>
    <x v="2"/>
  </r>
  <r>
    <s v="CUST01130"/>
    <n v="56"/>
    <s v="Male"/>
    <s v="Pune"/>
    <x v="1"/>
    <x v="47"/>
    <x v="450"/>
    <n v="6"/>
    <n v="980.52"/>
    <n v="163.42"/>
    <x v="1"/>
    <x v="0"/>
    <x v="9"/>
    <x v="0"/>
    <x v="2"/>
  </r>
  <r>
    <s v="CUST01838"/>
    <n v="37"/>
    <s v="Female"/>
    <s v="Delhi"/>
    <x v="1"/>
    <x v="597"/>
    <x v="674"/>
    <n v="10"/>
    <n v="978.8"/>
    <n v="97.88"/>
    <x v="0"/>
    <x v="2"/>
    <x v="4"/>
    <x v="0"/>
    <x v="2"/>
  </r>
  <r>
    <s v="CUST01378"/>
    <n v="22"/>
    <s v="Male"/>
    <s v="Mumbai"/>
    <x v="3"/>
    <x v="598"/>
    <x v="272"/>
    <n v="25"/>
    <n v="976"/>
    <n v="39.04"/>
    <x v="4"/>
    <x v="2"/>
    <x v="1"/>
    <x v="0"/>
    <x v="2"/>
  </r>
  <r>
    <s v="CUST00425"/>
    <n v="29"/>
    <s v="Male"/>
    <s v="Hyderabad"/>
    <x v="1"/>
    <x v="314"/>
    <x v="202"/>
    <n v="12"/>
    <n v="974.4000000000001"/>
    <n v="81.2"/>
    <x v="1"/>
    <x v="0"/>
    <x v="0"/>
    <x v="0"/>
    <x v="2"/>
  </r>
  <r>
    <s v="CUST00231"/>
    <n v="35"/>
    <s v="Female"/>
    <s v="Bangalore"/>
    <x v="3"/>
    <x v="44"/>
    <x v="675"/>
    <n v="16"/>
    <n v="973.76"/>
    <n v="60.86"/>
    <x v="3"/>
    <x v="1"/>
    <x v="1"/>
    <x v="1"/>
    <x v="2"/>
  </r>
  <r>
    <s v="CUST01299"/>
    <n v="27"/>
    <s v="Male"/>
    <s v="Kolkata"/>
    <x v="1"/>
    <x v="542"/>
    <x v="676"/>
    <n v="5"/>
    <n v="973.65"/>
    <n v="194.73"/>
    <x v="4"/>
    <x v="1"/>
    <x v="8"/>
    <x v="0"/>
    <x v="2"/>
  </r>
  <r>
    <s v="CUST01436"/>
    <n v="62"/>
    <s v="Female"/>
    <s v="Pune"/>
    <x v="1"/>
    <x v="599"/>
    <x v="331"/>
    <n v="24"/>
    <n v="973.4400000000001"/>
    <n v="40.56"/>
    <x v="2"/>
    <x v="1"/>
    <x v="7"/>
    <x v="0"/>
    <x v="2"/>
  </r>
  <r>
    <s v="CUST01310"/>
    <n v="30"/>
    <s v="Female"/>
    <s v="Mumbai"/>
    <x v="1"/>
    <x v="600"/>
    <x v="212"/>
    <n v="6"/>
    <n v="972.72"/>
    <n v="162.12"/>
    <x v="3"/>
    <x v="0"/>
    <x v="8"/>
    <x v="1"/>
    <x v="2"/>
  </r>
  <r>
    <s v="CUST00397"/>
    <n v="54"/>
    <s v="Male"/>
    <s v="Chennai"/>
    <x v="3"/>
    <x v="601"/>
    <x v="351"/>
    <n v="15"/>
    <n v="968.6999999999999"/>
    <n v="64.58"/>
    <x v="4"/>
    <x v="2"/>
    <x v="0"/>
    <x v="0"/>
    <x v="2"/>
  </r>
  <r>
    <s v="CUST01070"/>
    <n v="42"/>
    <s v="Female"/>
    <s v="Bangalore"/>
    <x v="0"/>
    <x v="275"/>
    <x v="677"/>
    <n v="10"/>
    <n v="966.8000000000001"/>
    <n v="96.68000000000001"/>
    <x v="1"/>
    <x v="0"/>
    <x v="1"/>
    <x v="0"/>
    <x v="2"/>
  </r>
  <r>
    <s v="CUST00574"/>
    <n v="42"/>
    <s v="Male"/>
    <s v="Delhi"/>
    <x v="3"/>
    <x v="378"/>
    <x v="678"/>
    <n v="4"/>
    <n v="966"/>
    <n v="241.5"/>
    <x v="3"/>
    <x v="2"/>
    <x v="6"/>
    <x v="0"/>
    <x v="2"/>
  </r>
  <r>
    <s v="CUST01723"/>
    <n v="57"/>
    <s v="Female"/>
    <s v="Chennai"/>
    <x v="2"/>
    <x v="390"/>
    <x v="679"/>
    <n v="6"/>
    <n v="965.22"/>
    <n v="160.87"/>
    <x v="3"/>
    <x v="2"/>
    <x v="8"/>
    <x v="0"/>
    <x v="2"/>
  </r>
  <r>
    <s v="CUST01935"/>
    <n v="31"/>
    <s v="Female"/>
    <s v="Hyderabad"/>
    <x v="1"/>
    <x v="469"/>
    <x v="541"/>
    <n v="4"/>
    <n v="964.72"/>
    <n v="241.18"/>
    <x v="0"/>
    <x v="1"/>
    <x v="3"/>
    <x v="0"/>
    <x v="2"/>
  </r>
  <r>
    <s v="CUST00825"/>
    <n v="54"/>
    <s v="Male"/>
    <s v="Mumbai"/>
    <x v="1"/>
    <x v="404"/>
    <x v="0"/>
    <n v="6"/>
    <n v="964.3799999999999"/>
    <n v="160.73"/>
    <x v="3"/>
    <x v="0"/>
    <x v="5"/>
    <x v="1"/>
    <x v="2"/>
  </r>
  <r>
    <s v="CUST01956"/>
    <n v="35"/>
    <s v="Male"/>
    <s v="Mumbai"/>
    <x v="2"/>
    <x v="366"/>
    <x v="602"/>
    <n v="4"/>
    <n v="963.52"/>
    <n v="240.88"/>
    <x v="1"/>
    <x v="0"/>
    <x v="3"/>
    <x v="0"/>
    <x v="2"/>
  </r>
  <r>
    <s v="CUST01590"/>
    <n v="57"/>
    <s v="Male"/>
    <s v="Delhi"/>
    <x v="3"/>
    <x v="602"/>
    <x v="278"/>
    <n v="6"/>
    <n v="963.42"/>
    <n v="160.57"/>
    <x v="4"/>
    <x v="2"/>
    <x v="5"/>
    <x v="0"/>
    <x v="2"/>
  </r>
  <r>
    <s v="CUST01305"/>
    <n v="38"/>
    <s v="Male"/>
    <s v="Delhi"/>
    <x v="1"/>
    <x v="6"/>
    <x v="680"/>
    <n v="22"/>
    <n v="962.2800000000001"/>
    <n v="43.74"/>
    <x v="3"/>
    <x v="2"/>
    <x v="8"/>
    <x v="0"/>
    <x v="2"/>
  </r>
  <r>
    <s v="CUST01141"/>
    <n v="52"/>
    <s v="Female"/>
    <s v="Kolkata"/>
    <x v="0"/>
    <x v="406"/>
    <x v="681"/>
    <n v="4"/>
    <n v="959.76"/>
    <n v="239.94"/>
    <x v="1"/>
    <x v="2"/>
    <x v="9"/>
    <x v="0"/>
    <x v="2"/>
  </r>
  <r>
    <s v="CUST00890"/>
    <n v="53"/>
    <s v="Female"/>
    <s v="Bangalore"/>
    <x v="3"/>
    <x v="477"/>
    <x v="678"/>
    <n v="7"/>
    <n v="959.6999999999999"/>
    <n v="137.1"/>
    <x v="3"/>
    <x v="1"/>
    <x v="8"/>
    <x v="0"/>
    <x v="2"/>
  </r>
  <r>
    <s v="CUST00226"/>
    <n v="45"/>
    <s v="Male"/>
    <s v="Chennai"/>
    <x v="3"/>
    <x v="455"/>
    <x v="235"/>
    <n v="8"/>
    <n v="957.04"/>
    <n v="119.63"/>
    <x v="3"/>
    <x v="0"/>
    <x v="1"/>
    <x v="0"/>
    <x v="2"/>
  </r>
  <r>
    <s v="CUST01560"/>
    <n v="65"/>
    <s v="Female"/>
    <s v="Kolkata"/>
    <x v="3"/>
    <x v="365"/>
    <x v="113"/>
    <n v="14"/>
    <n v="952.6999999999999"/>
    <n v="68.05"/>
    <x v="1"/>
    <x v="1"/>
    <x v="0"/>
    <x v="0"/>
    <x v="2"/>
  </r>
  <r>
    <s v="CUST01973"/>
    <n v="27"/>
    <s v="Male"/>
    <s v="Kolkata"/>
    <x v="2"/>
    <x v="603"/>
    <x v="423"/>
    <n v="9"/>
    <n v="952.11"/>
    <n v="105.79"/>
    <x v="4"/>
    <x v="2"/>
    <x v="5"/>
    <x v="0"/>
    <x v="2"/>
  </r>
  <r>
    <s v="CUST00462"/>
    <n v="53"/>
    <s v="Male"/>
    <s v="Pune"/>
    <x v="2"/>
    <x v="384"/>
    <x v="374"/>
    <n v="13"/>
    <n v="951.0799999999999"/>
    <n v="73.16"/>
    <x v="4"/>
    <x v="1"/>
    <x v="9"/>
    <x v="0"/>
    <x v="2"/>
  </r>
  <r>
    <s v="CUST00467"/>
    <n v="33"/>
    <s v="Male"/>
    <s v="Pune"/>
    <x v="3"/>
    <x v="59"/>
    <x v="682"/>
    <n v="13"/>
    <n v="949.65"/>
    <n v="73.05"/>
    <x v="3"/>
    <x v="0"/>
    <x v="4"/>
    <x v="0"/>
    <x v="2"/>
  </r>
  <r>
    <s v="CUST01255"/>
    <n v="22"/>
    <s v="Female"/>
    <s v="Chennai"/>
    <x v="1"/>
    <x v="153"/>
    <x v="498"/>
    <n v="4"/>
    <n v="947.6"/>
    <n v="236.9"/>
    <x v="1"/>
    <x v="2"/>
    <x v="4"/>
    <x v="1"/>
    <x v="2"/>
  </r>
  <r>
    <s v="CUST01835"/>
    <n v="31"/>
    <s v="Female"/>
    <s v="Delhi"/>
    <x v="1"/>
    <x v="60"/>
    <x v="547"/>
    <n v="5"/>
    <n v="947.6"/>
    <n v="189.52"/>
    <x v="1"/>
    <x v="2"/>
    <x v="6"/>
    <x v="0"/>
    <x v="2"/>
  </r>
  <r>
    <s v="CUST01912"/>
    <n v="59"/>
    <s v="Female"/>
    <s v="Hyderabad"/>
    <x v="0"/>
    <x v="604"/>
    <x v="261"/>
    <n v="11"/>
    <n v="946.6600000000001"/>
    <n v="86.06"/>
    <x v="4"/>
    <x v="1"/>
    <x v="1"/>
    <x v="0"/>
    <x v="2"/>
  </r>
  <r>
    <s v="CUST00118"/>
    <n v="45"/>
    <s v="Female"/>
    <s v="Pune"/>
    <x v="3"/>
    <x v="88"/>
    <x v="424"/>
    <n v="22"/>
    <n v="942.48"/>
    <n v="42.84"/>
    <x v="2"/>
    <x v="1"/>
    <x v="0"/>
    <x v="0"/>
    <x v="2"/>
  </r>
  <r>
    <s v="CUST00647"/>
    <n v="54"/>
    <s v="Female"/>
    <s v="Kolkata"/>
    <x v="1"/>
    <x v="65"/>
    <x v="424"/>
    <n v="10"/>
    <n v="942.4"/>
    <n v="94.23999999999999"/>
    <x v="0"/>
    <x v="0"/>
    <x v="8"/>
    <x v="0"/>
    <x v="2"/>
  </r>
  <r>
    <s v="CUST00787"/>
    <n v="31"/>
    <s v="Male"/>
    <s v="Kolkata"/>
    <x v="1"/>
    <x v="550"/>
    <x v="609"/>
    <n v="24"/>
    <n v="942"/>
    <n v="39.25"/>
    <x v="4"/>
    <x v="1"/>
    <x v="2"/>
    <x v="0"/>
    <x v="2"/>
  </r>
  <r>
    <s v="CUST00873"/>
    <n v="58"/>
    <s v="Female"/>
    <s v="Mumbai"/>
    <x v="2"/>
    <x v="199"/>
    <x v="188"/>
    <n v="10"/>
    <n v="941.3"/>
    <n v="94.13"/>
    <x v="0"/>
    <x v="2"/>
    <x v="2"/>
    <x v="1"/>
    <x v="2"/>
  </r>
  <r>
    <s v="CUST00238"/>
    <n v="40"/>
    <s v="Male"/>
    <s v="Chennai"/>
    <x v="0"/>
    <x v="560"/>
    <x v="120"/>
    <n v="4"/>
    <n v="941.24"/>
    <n v="235.31"/>
    <x v="0"/>
    <x v="0"/>
    <x v="7"/>
    <x v="0"/>
    <x v="2"/>
  </r>
  <r>
    <s v="CUST00474"/>
    <n v="62"/>
    <s v="Male"/>
    <s v="Pune"/>
    <x v="2"/>
    <x v="605"/>
    <x v="257"/>
    <n v="6"/>
    <n v="940.3199999999999"/>
    <n v="156.72"/>
    <x v="3"/>
    <x v="0"/>
    <x v="4"/>
    <x v="0"/>
    <x v="2"/>
  </r>
  <r>
    <s v="CUST01396"/>
    <n v="57"/>
    <s v="Female"/>
    <s v="Delhi"/>
    <x v="2"/>
    <x v="576"/>
    <x v="683"/>
    <n v="15"/>
    <n v="931.65"/>
    <n v="62.11"/>
    <x v="1"/>
    <x v="0"/>
    <x v="2"/>
    <x v="0"/>
    <x v="2"/>
  </r>
  <r>
    <s v="CUST01044"/>
    <n v="21"/>
    <s v="Female"/>
    <s v="Delhi"/>
    <x v="2"/>
    <x v="353"/>
    <x v="96"/>
    <n v="13"/>
    <n v="931.3200000000001"/>
    <n v="71.64"/>
    <x v="3"/>
    <x v="0"/>
    <x v="9"/>
    <x v="0"/>
    <x v="2"/>
  </r>
  <r>
    <s v="CUST01870"/>
    <n v="38"/>
    <s v="Female"/>
    <s v="Mumbai"/>
    <x v="0"/>
    <x v="2"/>
    <x v="498"/>
    <n v="5"/>
    <n v="929.55"/>
    <n v="185.91"/>
    <x v="1"/>
    <x v="0"/>
    <x v="9"/>
    <x v="1"/>
    <x v="2"/>
  </r>
  <r>
    <s v="CUST00333"/>
    <n v="42"/>
    <s v="Male"/>
    <s v="Pune"/>
    <x v="1"/>
    <x v="606"/>
    <x v="91"/>
    <n v="10"/>
    <n v="926.4"/>
    <n v="92.64"/>
    <x v="4"/>
    <x v="0"/>
    <x v="0"/>
    <x v="0"/>
    <x v="2"/>
  </r>
  <r>
    <s v="CUST01810"/>
    <n v="39"/>
    <s v="Male"/>
    <s v="Bangalore"/>
    <x v="0"/>
    <x v="479"/>
    <x v="684"/>
    <n v="13"/>
    <n v="926.25"/>
    <n v="71.25"/>
    <x v="2"/>
    <x v="2"/>
    <x v="2"/>
    <x v="0"/>
    <x v="2"/>
  </r>
  <r>
    <s v="CUST00175"/>
    <n v="42"/>
    <s v="Female"/>
    <s v="Pune"/>
    <x v="2"/>
    <x v="538"/>
    <x v="661"/>
    <n v="15"/>
    <n v="925.5"/>
    <n v="61.7"/>
    <x v="1"/>
    <x v="1"/>
    <x v="4"/>
    <x v="0"/>
    <x v="2"/>
  </r>
  <r>
    <s v="CUST01435"/>
    <n v="23"/>
    <s v="Male"/>
    <s v="Pune"/>
    <x v="0"/>
    <x v="607"/>
    <x v="250"/>
    <n v="15"/>
    <n v="924.6"/>
    <n v="61.64"/>
    <x v="1"/>
    <x v="2"/>
    <x v="2"/>
    <x v="1"/>
    <x v="2"/>
  </r>
  <r>
    <s v="CUST01995"/>
    <n v="21"/>
    <s v="Male"/>
    <s v="Bangalore"/>
    <x v="0"/>
    <x v="479"/>
    <x v="685"/>
    <n v="15"/>
    <n v="922.8000000000001"/>
    <n v="61.52"/>
    <x v="1"/>
    <x v="0"/>
    <x v="3"/>
    <x v="1"/>
    <x v="2"/>
  </r>
  <r>
    <s v="CUST01686"/>
    <n v="55"/>
    <s v="Female"/>
    <s v="Kolkata"/>
    <x v="0"/>
    <x v="328"/>
    <x v="352"/>
    <n v="11"/>
    <n v="922.13"/>
    <n v="83.83"/>
    <x v="2"/>
    <x v="0"/>
    <x v="9"/>
    <x v="0"/>
    <x v="2"/>
  </r>
  <r>
    <s v="CUST01920"/>
    <n v="37"/>
    <s v="Female"/>
    <s v="Hyderabad"/>
    <x v="1"/>
    <x v="107"/>
    <x v="686"/>
    <n v="20"/>
    <n v="919.4"/>
    <n v="45.97"/>
    <x v="4"/>
    <x v="0"/>
    <x v="0"/>
    <x v="0"/>
    <x v="2"/>
  </r>
  <r>
    <s v="CUST01450"/>
    <n v="64"/>
    <s v="Male"/>
    <s v="Bangalore"/>
    <x v="0"/>
    <x v="608"/>
    <x v="687"/>
    <n v="14"/>
    <n v="914.4799999999999"/>
    <n v="65.31999999999999"/>
    <x v="4"/>
    <x v="1"/>
    <x v="3"/>
    <x v="0"/>
    <x v="2"/>
  </r>
  <r>
    <s v="CUST00862"/>
    <n v="22"/>
    <s v="Female"/>
    <s v="Chennai"/>
    <x v="0"/>
    <x v="609"/>
    <x v="374"/>
    <n v="18"/>
    <n v="914.4"/>
    <n v="50.8"/>
    <x v="4"/>
    <x v="1"/>
    <x v="1"/>
    <x v="0"/>
    <x v="2"/>
  </r>
  <r>
    <s v="CUST01822"/>
    <n v="39"/>
    <s v="Female"/>
    <s v="Mumbai"/>
    <x v="0"/>
    <x v="61"/>
    <x v="555"/>
    <n v="20"/>
    <n v="913.4000000000001"/>
    <n v="45.67"/>
    <x v="0"/>
    <x v="0"/>
    <x v="4"/>
    <x v="0"/>
    <x v="2"/>
  </r>
  <r>
    <s v="CUST01290"/>
    <n v="52"/>
    <s v="Female"/>
    <s v="Bangalore"/>
    <x v="3"/>
    <x v="590"/>
    <x v="14"/>
    <n v="7"/>
    <n v="909.9300000000001"/>
    <n v="129.99"/>
    <x v="3"/>
    <x v="2"/>
    <x v="0"/>
    <x v="0"/>
    <x v="2"/>
  </r>
  <r>
    <s v="CUST01011"/>
    <n v="65"/>
    <s v="Male"/>
    <s v="Chennai"/>
    <x v="1"/>
    <x v="261"/>
    <x v="420"/>
    <n v="4"/>
    <n v="909.3200000000001"/>
    <n v="227.33"/>
    <x v="0"/>
    <x v="2"/>
    <x v="3"/>
    <x v="0"/>
    <x v="2"/>
  </r>
  <r>
    <s v="CUST00482"/>
    <n v="57"/>
    <s v="Male"/>
    <s v="Kolkata"/>
    <x v="2"/>
    <x v="43"/>
    <x v="688"/>
    <n v="4"/>
    <n v="908.3200000000001"/>
    <n v="227.08"/>
    <x v="3"/>
    <x v="1"/>
    <x v="8"/>
    <x v="0"/>
    <x v="2"/>
  </r>
  <r>
    <s v="CUST01333"/>
    <n v="20"/>
    <s v="Female"/>
    <s v="Bangalore"/>
    <x v="0"/>
    <x v="610"/>
    <x v="640"/>
    <n v="13"/>
    <n v="907.9200000000001"/>
    <n v="69.84"/>
    <x v="0"/>
    <x v="2"/>
    <x v="5"/>
    <x v="0"/>
    <x v="2"/>
  </r>
  <r>
    <s v="CUST00107"/>
    <n v="41"/>
    <s v="Male"/>
    <s v="Hyderabad"/>
    <x v="1"/>
    <x v="595"/>
    <x v="272"/>
    <n v="24"/>
    <n v="907.1999999999999"/>
    <n v="37.8"/>
    <x v="0"/>
    <x v="2"/>
    <x v="3"/>
    <x v="0"/>
    <x v="2"/>
  </r>
  <r>
    <s v="CUST00124"/>
    <n v="50"/>
    <s v="Male"/>
    <s v="Pune"/>
    <x v="1"/>
    <x v="14"/>
    <x v="383"/>
    <n v="8"/>
    <n v="906.08"/>
    <n v="113.26"/>
    <x v="4"/>
    <x v="1"/>
    <x v="5"/>
    <x v="1"/>
    <x v="2"/>
  </r>
  <r>
    <s v="CUST00236"/>
    <n v="44"/>
    <s v="Female"/>
    <s v="Mumbai"/>
    <x v="2"/>
    <x v="577"/>
    <x v="351"/>
    <n v="23"/>
    <n v="905.28"/>
    <n v="39.36"/>
    <x v="1"/>
    <x v="1"/>
    <x v="5"/>
    <x v="0"/>
    <x v="2"/>
  </r>
  <r>
    <s v="CUST01772"/>
    <n v="61"/>
    <s v="Male"/>
    <s v="Hyderabad"/>
    <x v="2"/>
    <x v="440"/>
    <x v="689"/>
    <n v="20"/>
    <n v="902"/>
    <n v="45.1"/>
    <x v="2"/>
    <x v="0"/>
    <x v="6"/>
    <x v="0"/>
    <x v="2"/>
  </r>
  <r>
    <s v="CUST00007"/>
    <n v="58"/>
    <s v="Male"/>
    <s v="Chennai"/>
    <x v="2"/>
    <x v="333"/>
    <x v="280"/>
    <n v="6"/>
    <n v="896.58"/>
    <n v="149.43"/>
    <x v="3"/>
    <x v="2"/>
    <x v="6"/>
    <x v="0"/>
    <x v="2"/>
  </r>
  <r>
    <s v="CUST01774"/>
    <n v="30"/>
    <s v="Male"/>
    <s v="Hyderabad"/>
    <x v="3"/>
    <x v="196"/>
    <x v="473"/>
    <n v="5"/>
    <n v="894.5"/>
    <n v="178.9"/>
    <x v="3"/>
    <x v="0"/>
    <x v="6"/>
    <x v="0"/>
    <x v="2"/>
  </r>
  <r>
    <s v="CUST00475"/>
    <n v="40"/>
    <s v="Female"/>
    <s v="Hyderabad"/>
    <x v="0"/>
    <x v="533"/>
    <x v="255"/>
    <n v="25"/>
    <n v="891.4999999999999"/>
    <n v="35.66"/>
    <x v="1"/>
    <x v="0"/>
    <x v="4"/>
    <x v="0"/>
    <x v="2"/>
  </r>
  <r>
    <s v="CUST00902"/>
    <n v="18"/>
    <s v="Male"/>
    <s v="Hyderabad"/>
    <x v="3"/>
    <x v="611"/>
    <x v="280"/>
    <n v="4"/>
    <n v="891.24"/>
    <n v="222.81"/>
    <x v="3"/>
    <x v="2"/>
    <x v="6"/>
    <x v="1"/>
    <x v="2"/>
  </r>
  <r>
    <s v="CUST00947"/>
    <n v="53"/>
    <s v="Male"/>
    <s v="Pune"/>
    <x v="3"/>
    <x v="364"/>
    <x v="237"/>
    <n v="6"/>
    <n v="890.8199999999999"/>
    <n v="148.47"/>
    <x v="2"/>
    <x v="1"/>
    <x v="7"/>
    <x v="0"/>
    <x v="2"/>
  </r>
  <r>
    <s v="CUST00898"/>
    <n v="59"/>
    <s v="Female"/>
    <s v="Kolkata"/>
    <x v="1"/>
    <x v="64"/>
    <x v="520"/>
    <n v="4"/>
    <n v="889.3200000000001"/>
    <n v="222.33"/>
    <x v="2"/>
    <x v="2"/>
    <x v="9"/>
    <x v="0"/>
    <x v="2"/>
  </r>
  <r>
    <s v="CUST01586"/>
    <n v="25"/>
    <s v="Female"/>
    <s v="Pune"/>
    <x v="0"/>
    <x v="67"/>
    <x v="690"/>
    <n v="6"/>
    <n v="887.1600000000001"/>
    <n v="147.86"/>
    <x v="0"/>
    <x v="0"/>
    <x v="5"/>
    <x v="0"/>
    <x v="2"/>
  </r>
  <r>
    <s v="CUST01180"/>
    <n v="59"/>
    <s v="Male"/>
    <s v="Pune"/>
    <x v="3"/>
    <x v="465"/>
    <x v="157"/>
    <n v="4"/>
    <n v="886.36"/>
    <n v="221.59"/>
    <x v="3"/>
    <x v="1"/>
    <x v="7"/>
    <x v="0"/>
    <x v="2"/>
  </r>
  <r>
    <s v="CUST01451"/>
    <n v="18"/>
    <s v="Male"/>
    <s v="Delhi"/>
    <x v="2"/>
    <x v="192"/>
    <x v="272"/>
    <n v="3"/>
    <n v="885.5699999999999"/>
    <n v="295.19"/>
    <x v="1"/>
    <x v="2"/>
    <x v="2"/>
    <x v="0"/>
    <x v="2"/>
  </r>
  <r>
    <s v="CUST00209"/>
    <n v="41"/>
    <s v="Male"/>
    <s v="Pune"/>
    <x v="1"/>
    <x v="117"/>
    <x v="691"/>
    <n v="21"/>
    <n v="884.9400000000001"/>
    <n v="42.14"/>
    <x v="3"/>
    <x v="1"/>
    <x v="7"/>
    <x v="0"/>
    <x v="2"/>
  </r>
  <r>
    <s v="CUST00856"/>
    <n v="41"/>
    <s v="Male"/>
    <s v="Hyderabad"/>
    <x v="0"/>
    <x v="612"/>
    <x v="500"/>
    <n v="3"/>
    <n v="883.14"/>
    <n v="294.38"/>
    <x v="1"/>
    <x v="1"/>
    <x v="6"/>
    <x v="0"/>
    <x v="2"/>
  </r>
  <r>
    <s v="CUST00717"/>
    <n v="58"/>
    <s v="Female"/>
    <s v="Delhi"/>
    <x v="0"/>
    <x v="161"/>
    <x v="361"/>
    <n v="24"/>
    <n v="882.96"/>
    <n v="36.79"/>
    <x v="3"/>
    <x v="1"/>
    <x v="1"/>
    <x v="0"/>
    <x v="2"/>
  </r>
  <r>
    <s v="CUST00754"/>
    <n v="42"/>
    <s v="Female"/>
    <s v="Kolkata"/>
    <x v="0"/>
    <x v="467"/>
    <x v="692"/>
    <n v="3"/>
    <n v="878.61"/>
    <n v="292.87"/>
    <x v="1"/>
    <x v="2"/>
    <x v="2"/>
    <x v="0"/>
    <x v="2"/>
  </r>
  <r>
    <s v="CUST00159"/>
    <n v="37"/>
    <s v="Male"/>
    <s v="Chennai"/>
    <x v="1"/>
    <x v="405"/>
    <x v="493"/>
    <n v="23"/>
    <n v="878.14"/>
    <n v="38.18"/>
    <x v="4"/>
    <x v="0"/>
    <x v="0"/>
    <x v="0"/>
    <x v="2"/>
  </r>
  <r>
    <s v="CUST01394"/>
    <n v="44"/>
    <s v="Male"/>
    <s v="Mumbai"/>
    <x v="3"/>
    <x v="23"/>
    <x v="34"/>
    <n v="16"/>
    <n v="878.08"/>
    <n v="54.88"/>
    <x v="0"/>
    <x v="2"/>
    <x v="5"/>
    <x v="0"/>
    <x v="2"/>
  </r>
  <r>
    <s v="CUST00804"/>
    <n v="54"/>
    <s v="Male"/>
    <s v="Bangalore"/>
    <x v="0"/>
    <x v="613"/>
    <x v="464"/>
    <n v="4"/>
    <n v="878.04"/>
    <n v="219.51"/>
    <x v="0"/>
    <x v="1"/>
    <x v="7"/>
    <x v="0"/>
    <x v="2"/>
  </r>
  <r>
    <s v="CUST00529"/>
    <n v="47"/>
    <s v="Male"/>
    <s v="Delhi"/>
    <x v="3"/>
    <x v="214"/>
    <x v="693"/>
    <n v="3"/>
    <n v="877.89"/>
    <n v="292.63"/>
    <x v="3"/>
    <x v="1"/>
    <x v="1"/>
    <x v="0"/>
    <x v="2"/>
  </r>
  <r>
    <s v="CUST01249"/>
    <n v="62"/>
    <s v="Male"/>
    <s v="Bangalore"/>
    <x v="1"/>
    <x v="257"/>
    <x v="380"/>
    <n v="8"/>
    <n v="877.12"/>
    <n v="109.64"/>
    <x v="0"/>
    <x v="0"/>
    <x v="5"/>
    <x v="0"/>
    <x v="2"/>
  </r>
  <r>
    <s v="CUST00470"/>
    <n v="65"/>
    <s v="Female"/>
    <s v="Bangalore"/>
    <x v="3"/>
    <x v="614"/>
    <x v="396"/>
    <n v="7"/>
    <n v="875.14"/>
    <n v="125.02"/>
    <x v="2"/>
    <x v="1"/>
    <x v="6"/>
    <x v="0"/>
    <x v="2"/>
  </r>
  <r>
    <s v="CUST00795"/>
    <n v="60"/>
    <s v="Female"/>
    <s v="Hyderabad"/>
    <x v="3"/>
    <x v="597"/>
    <x v="259"/>
    <n v="4"/>
    <n v="874.2"/>
    <n v="218.55"/>
    <x v="3"/>
    <x v="2"/>
    <x v="3"/>
    <x v="1"/>
    <x v="2"/>
  </r>
  <r>
    <s v="CUST00815"/>
    <n v="42"/>
    <s v="Female"/>
    <s v="Bangalore"/>
    <x v="3"/>
    <x v="320"/>
    <x v="694"/>
    <n v="5"/>
    <n v="874"/>
    <n v="174.8"/>
    <x v="4"/>
    <x v="1"/>
    <x v="3"/>
    <x v="1"/>
    <x v="2"/>
  </r>
  <r>
    <s v="CUST01705"/>
    <n v="36"/>
    <s v="Male"/>
    <s v="Chennai"/>
    <x v="1"/>
    <x v="6"/>
    <x v="404"/>
    <n v="7"/>
    <n v="870.4499999999999"/>
    <n v="124.35"/>
    <x v="0"/>
    <x v="1"/>
    <x v="9"/>
    <x v="0"/>
    <x v="2"/>
  </r>
  <r>
    <s v="CUST00989"/>
    <n v="57"/>
    <s v="Female"/>
    <s v="Hyderabad"/>
    <x v="3"/>
    <x v="615"/>
    <x v="552"/>
    <n v="18"/>
    <n v="869.22"/>
    <n v="48.29"/>
    <x v="3"/>
    <x v="2"/>
    <x v="1"/>
    <x v="0"/>
    <x v="2"/>
  </r>
  <r>
    <s v="CUST01517"/>
    <n v="31"/>
    <s v="Female"/>
    <s v="Mumbai"/>
    <x v="2"/>
    <x v="470"/>
    <x v="4"/>
    <n v="10"/>
    <n v="868.7"/>
    <n v="86.87"/>
    <x v="0"/>
    <x v="1"/>
    <x v="8"/>
    <x v="0"/>
    <x v="2"/>
  </r>
  <r>
    <s v="CUST00742"/>
    <n v="39"/>
    <s v="Male"/>
    <s v="Chennai"/>
    <x v="1"/>
    <x v="1"/>
    <x v="695"/>
    <n v="11"/>
    <n v="868.67"/>
    <n v="78.97"/>
    <x v="3"/>
    <x v="0"/>
    <x v="2"/>
    <x v="0"/>
    <x v="2"/>
  </r>
  <r>
    <s v="CUST00319"/>
    <n v="55"/>
    <s v="Male"/>
    <s v="Delhi"/>
    <x v="0"/>
    <x v="403"/>
    <x v="543"/>
    <n v="14"/>
    <n v="866.6"/>
    <n v="61.9"/>
    <x v="4"/>
    <x v="0"/>
    <x v="9"/>
    <x v="0"/>
    <x v="2"/>
  </r>
  <r>
    <s v="CUST01282"/>
    <n v="25"/>
    <s v="Male"/>
    <s v="Hyderabad"/>
    <x v="0"/>
    <x v="561"/>
    <x v="256"/>
    <n v="5"/>
    <n v="865.95"/>
    <n v="173.19"/>
    <x v="0"/>
    <x v="0"/>
    <x v="5"/>
    <x v="0"/>
    <x v="2"/>
  </r>
  <r>
    <s v="CUST01057"/>
    <n v="54"/>
    <s v="Female"/>
    <s v="Pune"/>
    <x v="0"/>
    <x v="533"/>
    <x v="255"/>
    <n v="3"/>
    <n v="865.26"/>
    <n v="288.42"/>
    <x v="0"/>
    <x v="2"/>
    <x v="4"/>
    <x v="0"/>
    <x v="2"/>
  </r>
  <r>
    <s v="CUST01368"/>
    <n v="46"/>
    <s v="Female"/>
    <s v="Kolkata"/>
    <x v="1"/>
    <x v="85"/>
    <x v="181"/>
    <n v="4"/>
    <n v="862"/>
    <n v="215.5"/>
    <x v="3"/>
    <x v="1"/>
    <x v="4"/>
    <x v="0"/>
    <x v="2"/>
  </r>
  <r>
    <s v="CUST01899"/>
    <n v="56"/>
    <s v="Female"/>
    <s v="Delhi"/>
    <x v="3"/>
    <x v="418"/>
    <x v="673"/>
    <n v="3"/>
    <n v="861.03"/>
    <n v="287.01"/>
    <x v="2"/>
    <x v="2"/>
    <x v="1"/>
    <x v="0"/>
    <x v="2"/>
  </r>
  <r>
    <s v="CUST00056"/>
    <n v="61"/>
    <s v="Male"/>
    <s v="Kolkata"/>
    <x v="0"/>
    <x v="549"/>
    <x v="503"/>
    <n v="4"/>
    <n v="860.88"/>
    <n v="215.22"/>
    <x v="4"/>
    <x v="0"/>
    <x v="7"/>
    <x v="0"/>
    <x v="2"/>
  </r>
  <r>
    <s v="CUST01017"/>
    <n v="25"/>
    <s v="Female"/>
    <s v="Delhi"/>
    <x v="2"/>
    <x v="32"/>
    <x v="696"/>
    <n v="14"/>
    <n v="860.86"/>
    <n v="61.49"/>
    <x v="3"/>
    <x v="0"/>
    <x v="4"/>
    <x v="0"/>
    <x v="2"/>
  </r>
  <r>
    <s v="CUST01320"/>
    <n v="56"/>
    <s v="Female"/>
    <s v="Mumbai"/>
    <x v="1"/>
    <x v="70"/>
    <x v="115"/>
    <n v="3"/>
    <n v="860.49"/>
    <n v="286.83"/>
    <x v="0"/>
    <x v="1"/>
    <x v="0"/>
    <x v="0"/>
    <x v="2"/>
  </r>
  <r>
    <s v="CUST01459"/>
    <n v="36"/>
    <s v="Male"/>
    <s v="Kolkata"/>
    <x v="0"/>
    <x v="165"/>
    <x v="157"/>
    <n v="8"/>
    <n v="859.04"/>
    <n v="107.38"/>
    <x v="3"/>
    <x v="1"/>
    <x v="5"/>
    <x v="0"/>
    <x v="2"/>
  </r>
  <r>
    <s v="CUST00167"/>
    <n v="31"/>
    <s v="Female"/>
    <s v="Pune"/>
    <x v="1"/>
    <x v="174"/>
    <x v="517"/>
    <n v="6"/>
    <n v="858.54"/>
    <n v="143.09"/>
    <x v="4"/>
    <x v="0"/>
    <x v="9"/>
    <x v="0"/>
    <x v="2"/>
  </r>
  <r>
    <s v="CUST01578"/>
    <n v="61"/>
    <s v="Female"/>
    <s v="Mumbai"/>
    <x v="2"/>
    <x v="187"/>
    <x v="500"/>
    <n v="13"/>
    <n v="858.5200000000001"/>
    <n v="66.04000000000001"/>
    <x v="2"/>
    <x v="2"/>
    <x v="9"/>
    <x v="1"/>
    <x v="2"/>
  </r>
  <r>
    <s v="CUST00431"/>
    <n v="44"/>
    <s v="Female"/>
    <s v="Bangalore"/>
    <x v="3"/>
    <x v="616"/>
    <x v="697"/>
    <n v="12"/>
    <n v="858"/>
    <n v="71.5"/>
    <x v="4"/>
    <x v="1"/>
    <x v="5"/>
    <x v="0"/>
    <x v="2"/>
  </r>
  <r>
    <s v="CUST00704"/>
    <n v="19"/>
    <s v="Female"/>
    <s v="Bangalore"/>
    <x v="2"/>
    <x v="486"/>
    <x v="318"/>
    <n v="10"/>
    <n v="857.2"/>
    <n v="85.72"/>
    <x v="1"/>
    <x v="2"/>
    <x v="3"/>
    <x v="0"/>
    <x v="2"/>
  </r>
  <r>
    <s v="CUST00381"/>
    <n v="52"/>
    <s v="Male"/>
    <s v="Chennai"/>
    <x v="0"/>
    <x v="330"/>
    <x v="698"/>
    <n v="3"/>
    <n v="856.5"/>
    <n v="285.5"/>
    <x v="1"/>
    <x v="0"/>
    <x v="0"/>
    <x v="1"/>
    <x v="2"/>
  </r>
  <r>
    <s v="CUST00675"/>
    <n v="51"/>
    <s v="Female"/>
    <s v="Mumbai"/>
    <x v="2"/>
    <x v="521"/>
    <x v="318"/>
    <n v="15"/>
    <n v="854.0999999999999"/>
    <n v="56.94"/>
    <x v="3"/>
    <x v="1"/>
    <x v="6"/>
    <x v="0"/>
    <x v="2"/>
  </r>
  <r>
    <s v="CUST00801"/>
    <n v="53"/>
    <s v="Male"/>
    <s v="Pune"/>
    <x v="1"/>
    <x v="417"/>
    <x v="653"/>
    <n v="17"/>
    <n v="852.55"/>
    <n v="50.15"/>
    <x v="0"/>
    <x v="1"/>
    <x v="7"/>
    <x v="0"/>
    <x v="2"/>
  </r>
  <r>
    <s v="CUST01990"/>
    <n v="53"/>
    <s v="Female"/>
    <s v="Hyderabad"/>
    <x v="2"/>
    <x v="441"/>
    <x v="504"/>
    <n v="3"/>
    <n v="851.9400000000001"/>
    <n v="283.98"/>
    <x v="2"/>
    <x v="2"/>
    <x v="6"/>
    <x v="0"/>
    <x v="2"/>
  </r>
  <r>
    <s v="CUST01852"/>
    <n v="42"/>
    <s v="Female"/>
    <s v="Kolkata"/>
    <x v="3"/>
    <x v="607"/>
    <x v="699"/>
    <n v="3"/>
    <n v="850.92"/>
    <n v="283.64"/>
    <x v="1"/>
    <x v="2"/>
    <x v="6"/>
    <x v="1"/>
    <x v="2"/>
  </r>
  <r>
    <s v="CUST01818"/>
    <n v="63"/>
    <s v="Female"/>
    <s v="Pune"/>
    <x v="3"/>
    <x v="617"/>
    <x v="643"/>
    <n v="3"/>
    <n v="850.26"/>
    <n v="283.42"/>
    <x v="2"/>
    <x v="0"/>
    <x v="4"/>
    <x v="0"/>
    <x v="2"/>
  </r>
  <r>
    <s v="CUST01386"/>
    <n v="51"/>
    <s v="Male"/>
    <s v="Delhi"/>
    <x v="2"/>
    <x v="618"/>
    <x v="625"/>
    <n v="11"/>
    <n v="849.75"/>
    <n v="77.25"/>
    <x v="1"/>
    <x v="2"/>
    <x v="4"/>
    <x v="0"/>
    <x v="2"/>
  </r>
  <r>
    <s v="CUST01369"/>
    <n v="22"/>
    <s v="Male"/>
    <s v="Hyderabad"/>
    <x v="3"/>
    <x v="261"/>
    <x v="64"/>
    <n v="4"/>
    <n v="849.24"/>
    <n v="212.31"/>
    <x v="1"/>
    <x v="2"/>
    <x v="7"/>
    <x v="0"/>
    <x v="2"/>
  </r>
  <r>
    <s v="CUST01565"/>
    <n v="27"/>
    <s v="Male"/>
    <s v="Pune"/>
    <x v="1"/>
    <x v="340"/>
    <x v="495"/>
    <n v="4"/>
    <n v="849.16"/>
    <n v="212.29"/>
    <x v="3"/>
    <x v="0"/>
    <x v="5"/>
    <x v="0"/>
    <x v="2"/>
  </r>
  <r>
    <s v="CUST01414"/>
    <n v="33"/>
    <s v="Male"/>
    <s v="Chennai"/>
    <x v="0"/>
    <x v="619"/>
    <x v="473"/>
    <n v="15"/>
    <n v="847.8000000000001"/>
    <n v="56.52"/>
    <x v="4"/>
    <x v="1"/>
    <x v="6"/>
    <x v="0"/>
    <x v="2"/>
  </r>
  <r>
    <s v="CUST01358"/>
    <n v="41"/>
    <s v="Female"/>
    <s v="Pune"/>
    <x v="3"/>
    <x v="620"/>
    <x v="201"/>
    <n v="16"/>
    <n v="843.84"/>
    <n v="52.74"/>
    <x v="1"/>
    <x v="0"/>
    <x v="9"/>
    <x v="0"/>
    <x v="2"/>
  </r>
  <r>
    <s v="CUST00988"/>
    <n v="25"/>
    <s v="Male"/>
    <s v="Delhi"/>
    <x v="0"/>
    <x v="281"/>
    <x v="700"/>
    <n v="4"/>
    <n v="842.88"/>
    <n v="210.72"/>
    <x v="3"/>
    <x v="0"/>
    <x v="1"/>
    <x v="0"/>
    <x v="2"/>
  </r>
  <r>
    <s v="CUST00983"/>
    <n v="41"/>
    <s v="Female"/>
    <s v="Hyderabad"/>
    <x v="1"/>
    <x v="606"/>
    <x v="689"/>
    <n v="17"/>
    <n v="842.86"/>
    <n v="49.58"/>
    <x v="2"/>
    <x v="2"/>
    <x v="8"/>
    <x v="1"/>
    <x v="2"/>
  </r>
  <r>
    <s v="CUST01111"/>
    <n v="18"/>
    <s v="Male"/>
    <s v="Hyderabad"/>
    <x v="2"/>
    <x v="94"/>
    <x v="501"/>
    <n v="12"/>
    <n v="841.4400000000001"/>
    <n v="70.12"/>
    <x v="0"/>
    <x v="2"/>
    <x v="6"/>
    <x v="0"/>
    <x v="2"/>
  </r>
  <r>
    <s v="CUST01532"/>
    <n v="51"/>
    <s v="Female"/>
    <s v="Kolkata"/>
    <x v="1"/>
    <x v="378"/>
    <x v="701"/>
    <n v="8"/>
    <n v="840.96"/>
    <n v="105.12"/>
    <x v="4"/>
    <x v="1"/>
    <x v="0"/>
    <x v="0"/>
    <x v="2"/>
  </r>
  <r>
    <s v="CUST01780"/>
    <n v="58"/>
    <s v="Male"/>
    <s v="Pune"/>
    <x v="3"/>
    <x v="414"/>
    <x v="430"/>
    <n v="4"/>
    <n v="840.6799999999999"/>
    <n v="210.17"/>
    <x v="0"/>
    <x v="0"/>
    <x v="4"/>
    <x v="0"/>
    <x v="2"/>
  </r>
  <r>
    <s v="CUST00908"/>
    <n v="29"/>
    <s v="Female"/>
    <s v="Mumbai"/>
    <x v="2"/>
    <x v="477"/>
    <x v="422"/>
    <n v="6"/>
    <n v="840.1200000000001"/>
    <n v="140.02"/>
    <x v="0"/>
    <x v="1"/>
    <x v="9"/>
    <x v="0"/>
    <x v="2"/>
  </r>
  <r>
    <s v="CUST00480"/>
    <n v="40"/>
    <s v="Male"/>
    <s v="Bangalore"/>
    <x v="2"/>
    <x v="419"/>
    <x v="350"/>
    <n v="4"/>
    <n v="832.36"/>
    <n v="208.09"/>
    <x v="0"/>
    <x v="0"/>
    <x v="6"/>
    <x v="0"/>
    <x v="2"/>
  </r>
  <r>
    <s v="CUST00819"/>
    <n v="45"/>
    <s v="Male"/>
    <s v="Mumbai"/>
    <x v="3"/>
    <x v="299"/>
    <x v="625"/>
    <n v="23"/>
    <n v="831.6799999999999"/>
    <n v="36.16"/>
    <x v="3"/>
    <x v="1"/>
    <x v="6"/>
    <x v="0"/>
    <x v="2"/>
  </r>
  <r>
    <s v="CUST00532"/>
    <n v="24"/>
    <s v="Female"/>
    <s v="Pune"/>
    <x v="0"/>
    <x v="462"/>
    <x v="605"/>
    <n v="17"/>
    <n v="829.9400000000001"/>
    <n v="48.82"/>
    <x v="4"/>
    <x v="0"/>
    <x v="2"/>
    <x v="0"/>
    <x v="2"/>
  </r>
  <r>
    <s v="CUST00245"/>
    <n v="60"/>
    <s v="Female"/>
    <s v="Pune"/>
    <x v="2"/>
    <x v="129"/>
    <x v="569"/>
    <n v="11"/>
    <n v="826.98"/>
    <n v="75.18000000000001"/>
    <x v="0"/>
    <x v="1"/>
    <x v="4"/>
    <x v="1"/>
    <x v="2"/>
  </r>
  <r>
    <s v="CUST00113"/>
    <n v="37"/>
    <s v="Female"/>
    <s v="Delhi"/>
    <x v="1"/>
    <x v="428"/>
    <x v="702"/>
    <n v="24"/>
    <n v="825.8399999999999"/>
    <n v="34.41"/>
    <x v="1"/>
    <x v="0"/>
    <x v="2"/>
    <x v="0"/>
    <x v="2"/>
  </r>
  <r>
    <s v="CUST00178"/>
    <n v="42"/>
    <s v="Female"/>
    <s v="Mumbai"/>
    <x v="1"/>
    <x v="58"/>
    <x v="484"/>
    <n v="24"/>
    <n v="825.1200000000001"/>
    <n v="34.38"/>
    <x v="3"/>
    <x v="0"/>
    <x v="8"/>
    <x v="0"/>
    <x v="2"/>
  </r>
  <r>
    <s v="CUST00941"/>
    <n v="48"/>
    <s v="Male"/>
    <s v="Chennai"/>
    <x v="3"/>
    <x v="209"/>
    <x v="703"/>
    <n v="7"/>
    <n v="824.6"/>
    <n v="117.8"/>
    <x v="4"/>
    <x v="0"/>
    <x v="4"/>
    <x v="0"/>
    <x v="2"/>
  </r>
  <r>
    <s v="CUST00679"/>
    <n v="27"/>
    <s v="Male"/>
    <s v="Bangalore"/>
    <x v="0"/>
    <x v="411"/>
    <x v="197"/>
    <n v="16"/>
    <n v="824"/>
    <n v="51.5"/>
    <x v="1"/>
    <x v="1"/>
    <x v="5"/>
    <x v="0"/>
    <x v="2"/>
  </r>
  <r>
    <s v="CUST01365"/>
    <n v="63"/>
    <s v="Male"/>
    <s v="Hyderabad"/>
    <x v="3"/>
    <x v="621"/>
    <x v="669"/>
    <n v="18"/>
    <n v="823.86"/>
    <n v="45.77"/>
    <x v="4"/>
    <x v="2"/>
    <x v="4"/>
    <x v="0"/>
    <x v="2"/>
  </r>
  <r>
    <s v="CUST01600"/>
    <n v="20"/>
    <s v="Female"/>
    <s v="Mumbai"/>
    <x v="0"/>
    <x v="33"/>
    <x v="200"/>
    <n v="13"/>
    <n v="823.29"/>
    <n v="63.33"/>
    <x v="0"/>
    <x v="0"/>
    <x v="2"/>
    <x v="0"/>
    <x v="2"/>
  </r>
  <r>
    <s v="CUST01341"/>
    <n v="43"/>
    <s v="Male"/>
    <s v="Chennai"/>
    <x v="2"/>
    <x v="622"/>
    <x v="656"/>
    <n v="11"/>
    <n v="823.02"/>
    <n v="74.81999999999999"/>
    <x v="2"/>
    <x v="2"/>
    <x v="2"/>
    <x v="0"/>
    <x v="2"/>
  </r>
  <r>
    <s v="CUST01107"/>
    <n v="60"/>
    <s v="Female"/>
    <s v="Bangalore"/>
    <x v="2"/>
    <x v="254"/>
    <x v="704"/>
    <n v="5"/>
    <n v="816.4"/>
    <n v="163.28"/>
    <x v="0"/>
    <x v="2"/>
    <x v="0"/>
    <x v="0"/>
    <x v="2"/>
  </r>
  <r>
    <s v="CUST01197"/>
    <n v="23"/>
    <s v="Male"/>
    <s v="Pune"/>
    <x v="1"/>
    <x v="462"/>
    <x v="600"/>
    <n v="21"/>
    <n v="814.59"/>
    <n v="38.79"/>
    <x v="0"/>
    <x v="2"/>
    <x v="4"/>
    <x v="1"/>
    <x v="2"/>
  </r>
  <r>
    <s v="CUST00016"/>
    <n v="39"/>
    <s v="Male"/>
    <s v="Pune"/>
    <x v="1"/>
    <x v="577"/>
    <x v="235"/>
    <n v="15"/>
    <n v="808.2"/>
    <n v="53.88"/>
    <x v="0"/>
    <x v="2"/>
    <x v="6"/>
    <x v="0"/>
    <x v="2"/>
  </r>
  <r>
    <s v="CUST00722"/>
    <n v="47"/>
    <s v="Male"/>
    <s v="Chennai"/>
    <x v="0"/>
    <x v="434"/>
    <x v="193"/>
    <n v="5"/>
    <n v="808.1"/>
    <n v="161.62"/>
    <x v="1"/>
    <x v="1"/>
    <x v="2"/>
    <x v="0"/>
    <x v="2"/>
  </r>
  <r>
    <s v="CUST01644"/>
    <n v="46"/>
    <s v="Male"/>
    <s v="Kolkata"/>
    <x v="3"/>
    <x v="521"/>
    <x v="445"/>
    <n v="21"/>
    <n v="802.8299999999999"/>
    <n v="38.23"/>
    <x v="2"/>
    <x v="0"/>
    <x v="3"/>
    <x v="0"/>
    <x v="2"/>
  </r>
  <r>
    <s v="CUST00194"/>
    <n v="63"/>
    <s v="Female"/>
    <s v="Chennai"/>
    <x v="0"/>
    <x v="453"/>
    <x v="236"/>
    <n v="6"/>
    <n v="801.1200000000001"/>
    <n v="133.52"/>
    <x v="4"/>
    <x v="1"/>
    <x v="4"/>
    <x v="0"/>
    <x v="2"/>
  </r>
  <r>
    <s v="CUST01943"/>
    <n v="43"/>
    <s v="Male"/>
    <s v="Bangalore"/>
    <x v="3"/>
    <x v="600"/>
    <x v="261"/>
    <n v="10"/>
    <n v="794.0999999999999"/>
    <n v="79.41"/>
    <x v="1"/>
    <x v="1"/>
    <x v="7"/>
    <x v="0"/>
    <x v="2"/>
  </r>
  <r>
    <s v="CUST01813"/>
    <n v="60"/>
    <s v="Female"/>
    <s v="Mumbai"/>
    <x v="3"/>
    <x v="408"/>
    <x v="97"/>
    <n v="22"/>
    <n v="793.0999999999999"/>
    <n v="36.05"/>
    <x v="4"/>
    <x v="1"/>
    <x v="8"/>
    <x v="0"/>
    <x v="2"/>
  </r>
  <r>
    <s v="CUST01471"/>
    <n v="43"/>
    <s v="Male"/>
    <s v="Mumbai"/>
    <x v="2"/>
    <x v="59"/>
    <x v="604"/>
    <n v="24"/>
    <n v="792.96"/>
    <n v="33.04"/>
    <x v="3"/>
    <x v="0"/>
    <x v="6"/>
    <x v="1"/>
    <x v="2"/>
  </r>
  <r>
    <s v="CUST00923"/>
    <n v="22"/>
    <s v="Male"/>
    <s v="Pune"/>
    <x v="0"/>
    <x v="364"/>
    <x v="311"/>
    <n v="8"/>
    <n v="792.16"/>
    <n v="99.02"/>
    <x v="4"/>
    <x v="2"/>
    <x v="3"/>
    <x v="0"/>
    <x v="2"/>
  </r>
  <r>
    <s v="CUST01528"/>
    <n v="42"/>
    <s v="Male"/>
    <s v="Hyderabad"/>
    <x v="0"/>
    <x v="34"/>
    <x v="70"/>
    <n v="24"/>
    <n v="791.52"/>
    <n v="32.98"/>
    <x v="3"/>
    <x v="2"/>
    <x v="6"/>
    <x v="0"/>
    <x v="2"/>
  </r>
  <r>
    <s v="CUST01589"/>
    <n v="39"/>
    <s v="Female"/>
    <s v="Pune"/>
    <x v="2"/>
    <x v="138"/>
    <x v="501"/>
    <n v="5"/>
    <n v="789.8000000000001"/>
    <n v="157.96"/>
    <x v="0"/>
    <x v="1"/>
    <x v="9"/>
    <x v="0"/>
    <x v="2"/>
  </r>
  <r>
    <s v="CUST00370"/>
    <n v="30"/>
    <s v="Female"/>
    <s v="Kolkata"/>
    <x v="1"/>
    <x v="319"/>
    <x v="422"/>
    <n v="13"/>
    <n v="788.97"/>
    <n v="60.69"/>
    <x v="4"/>
    <x v="0"/>
    <x v="1"/>
    <x v="0"/>
    <x v="2"/>
  </r>
  <r>
    <s v="CUST01770"/>
    <n v="21"/>
    <s v="Female"/>
    <s v="Bangalore"/>
    <x v="3"/>
    <x v="435"/>
    <x v="705"/>
    <n v="17"/>
    <n v="785.23"/>
    <n v="46.19"/>
    <x v="1"/>
    <x v="2"/>
    <x v="6"/>
    <x v="0"/>
    <x v="2"/>
  </r>
  <r>
    <s v="CUST01700"/>
    <n v="52"/>
    <s v="Female"/>
    <s v="Chennai"/>
    <x v="2"/>
    <x v="623"/>
    <x v="563"/>
    <n v="3"/>
    <n v="783.96"/>
    <n v="261.32"/>
    <x v="1"/>
    <x v="1"/>
    <x v="5"/>
    <x v="0"/>
    <x v="2"/>
  </r>
  <r>
    <s v="CUST01232"/>
    <n v="28"/>
    <s v="Female"/>
    <s v="Kolkata"/>
    <x v="2"/>
    <x v="533"/>
    <x v="229"/>
    <n v="4"/>
    <n v="782.12"/>
    <n v="195.53"/>
    <x v="1"/>
    <x v="0"/>
    <x v="8"/>
    <x v="0"/>
    <x v="2"/>
  </r>
  <r>
    <s v="CUST01847"/>
    <n v="27"/>
    <s v="Male"/>
    <s v="Pune"/>
    <x v="2"/>
    <x v="241"/>
    <x v="187"/>
    <n v="10"/>
    <n v="782"/>
    <n v="78.2"/>
    <x v="3"/>
    <x v="2"/>
    <x v="5"/>
    <x v="0"/>
    <x v="2"/>
  </r>
  <r>
    <s v="CUST01798"/>
    <n v="64"/>
    <s v="Male"/>
    <s v="Delhi"/>
    <x v="2"/>
    <x v="346"/>
    <x v="706"/>
    <n v="5"/>
    <n v="777.4"/>
    <n v="155.48"/>
    <x v="1"/>
    <x v="1"/>
    <x v="2"/>
    <x v="0"/>
    <x v="2"/>
  </r>
  <r>
    <s v="CUST01582"/>
    <n v="48"/>
    <s v="Female"/>
    <s v="Mumbai"/>
    <x v="0"/>
    <x v="376"/>
    <x v="707"/>
    <n v="19"/>
    <n v="776.34"/>
    <n v="40.86"/>
    <x v="1"/>
    <x v="0"/>
    <x v="9"/>
    <x v="0"/>
    <x v="2"/>
  </r>
  <r>
    <s v="CUST00904"/>
    <n v="46"/>
    <s v="Male"/>
    <s v="Bangalore"/>
    <x v="2"/>
    <x v="624"/>
    <x v="67"/>
    <n v="5"/>
    <n v="772.6"/>
    <n v="154.52"/>
    <x v="2"/>
    <x v="2"/>
    <x v="0"/>
    <x v="0"/>
    <x v="2"/>
  </r>
  <r>
    <s v="CUST00185"/>
    <n v="33"/>
    <s v="Male"/>
    <s v="Chennai"/>
    <x v="1"/>
    <x v="399"/>
    <x v="219"/>
    <n v="4"/>
    <n v="769.5599999999999"/>
    <n v="192.39"/>
    <x v="1"/>
    <x v="2"/>
    <x v="8"/>
    <x v="0"/>
    <x v="2"/>
  </r>
  <r>
    <s v="CUST00195"/>
    <n v="56"/>
    <s v="Female"/>
    <s v="Hyderabad"/>
    <x v="3"/>
    <x v="159"/>
    <x v="250"/>
    <n v="5"/>
    <n v="769.4499999999999"/>
    <n v="153.89"/>
    <x v="0"/>
    <x v="0"/>
    <x v="0"/>
    <x v="0"/>
    <x v="2"/>
  </r>
  <r>
    <s v="CUST00477"/>
    <n v="43"/>
    <s v="Male"/>
    <s v="Mumbai"/>
    <x v="2"/>
    <x v="237"/>
    <x v="661"/>
    <n v="17"/>
    <n v="768.74"/>
    <n v="45.22"/>
    <x v="3"/>
    <x v="1"/>
    <x v="4"/>
    <x v="0"/>
    <x v="2"/>
  </r>
  <r>
    <s v="CUST01909"/>
    <n v="34"/>
    <s v="Male"/>
    <s v="Pune"/>
    <x v="0"/>
    <x v="180"/>
    <x v="167"/>
    <n v="8"/>
    <n v="767.92"/>
    <n v="95.98999999999999"/>
    <x v="2"/>
    <x v="1"/>
    <x v="1"/>
    <x v="0"/>
    <x v="2"/>
  </r>
  <r>
    <s v="CUST00149"/>
    <n v="20"/>
    <s v="Female"/>
    <s v="Bangalore"/>
    <x v="3"/>
    <x v="516"/>
    <x v="543"/>
    <n v="10"/>
    <n v="764.5"/>
    <n v="76.45"/>
    <x v="0"/>
    <x v="1"/>
    <x v="1"/>
    <x v="0"/>
    <x v="2"/>
  </r>
  <r>
    <s v="CUST01879"/>
    <n v="45"/>
    <s v="Male"/>
    <s v="Mumbai"/>
    <x v="0"/>
    <x v="348"/>
    <x v="34"/>
    <n v="4"/>
    <n v="763.76"/>
    <n v="190.94"/>
    <x v="1"/>
    <x v="2"/>
    <x v="6"/>
    <x v="0"/>
    <x v="2"/>
  </r>
  <r>
    <s v="CUST00924"/>
    <n v="54"/>
    <s v="Male"/>
    <s v="Pune"/>
    <x v="3"/>
    <x v="622"/>
    <x v="708"/>
    <n v="8"/>
    <n v="762.96"/>
    <n v="95.37"/>
    <x v="3"/>
    <x v="2"/>
    <x v="9"/>
    <x v="0"/>
    <x v="2"/>
  </r>
  <r>
    <s v="CUST00636"/>
    <n v="27"/>
    <s v="Female"/>
    <s v="Pune"/>
    <x v="0"/>
    <x v="539"/>
    <x v="484"/>
    <n v="6"/>
    <n v="762.84"/>
    <n v="127.14"/>
    <x v="3"/>
    <x v="0"/>
    <x v="3"/>
    <x v="0"/>
    <x v="2"/>
  </r>
  <r>
    <s v="CUST00063"/>
    <n v="38"/>
    <s v="Male"/>
    <s v="Chennai"/>
    <x v="1"/>
    <x v="21"/>
    <x v="545"/>
    <n v="9"/>
    <n v="760.9499999999999"/>
    <n v="84.55"/>
    <x v="1"/>
    <x v="2"/>
    <x v="2"/>
    <x v="0"/>
    <x v="2"/>
  </r>
  <r>
    <s v="CUST01868"/>
    <n v="49"/>
    <s v="Female"/>
    <s v="Bangalore"/>
    <x v="1"/>
    <x v="602"/>
    <x v="326"/>
    <n v="8"/>
    <n v="760.3200000000001"/>
    <n v="95.04000000000001"/>
    <x v="1"/>
    <x v="1"/>
    <x v="4"/>
    <x v="0"/>
    <x v="2"/>
  </r>
  <r>
    <s v="CUST00805"/>
    <n v="62"/>
    <s v="Female"/>
    <s v="Kolkata"/>
    <x v="3"/>
    <x v="539"/>
    <x v="251"/>
    <n v="11"/>
    <n v="759.99"/>
    <n v="69.09"/>
    <x v="3"/>
    <x v="1"/>
    <x v="6"/>
    <x v="0"/>
    <x v="2"/>
  </r>
  <r>
    <s v="CUST01383"/>
    <n v="49"/>
    <s v="Female"/>
    <s v="Pune"/>
    <x v="0"/>
    <x v="156"/>
    <x v="709"/>
    <n v="5"/>
    <n v="757.05"/>
    <n v="151.41"/>
    <x v="4"/>
    <x v="0"/>
    <x v="1"/>
    <x v="1"/>
    <x v="2"/>
  </r>
  <r>
    <s v="CUST01409"/>
    <n v="51"/>
    <s v="Female"/>
    <s v="Chennai"/>
    <x v="3"/>
    <x v="141"/>
    <x v="512"/>
    <n v="13"/>
    <n v="754.65"/>
    <n v="58.05"/>
    <x v="0"/>
    <x v="0"/>
    <x v="7"/>
    <x v="0"/>
    <x v="2"/>
  </r>
  <r>
    <s v="CUST00396"/>
    <n v="43"/>
    <s v="Female"/>
    <s v="Pune"/>
    <x v="0"/>
    <x v="152"/>
    <x v="207"/>
    <n v="5"/>
    <n v="750.6"/>
    <n v="150.12"/>
    <x v="1"/>
    <x v="0"/>
    <x v="5"/>
    <x v="0"/>
    <x v="2"/>
  </r>
  <r>
    <s v="CUST01416"/>
    <n v="18"/>
    <s v="Male"/>
    <s v="Mumbai"/>
    <x v="2"/>
    <x v="312"/>
    <x v="128"/>
    <n v="7"/>
    <n v="748.3000000000001"/>
    <n v="106.9"/>
    <x v="3"/>
    <x v="2"/>
    <x v="3"/>
    <x v="0"/>
    <x v="2"/>
  </r>
  <r>
    <s v="CUST00251"/>
    <n v="47"/>
    <s v="Female"/>
    <s v="Pune"/>
    <x v="0"/>
    <x v="74"/>
    <x v="680"/>
    <n v="9"/>
    <n v="746.64"/>
    <n v="82.95999999999999"/>
    <x v="0"/>
    <x v="2"/>
    <x v="1"/>
    <x v="0"/>
    <x v="2"/>
  </r>
  <r>
    <s v="CUST01245"/>
    <n v="65"/>
    <s v="Female"/>
    <s v="Pune"/>
    <x v="0"/>
    <x v="191"/>
    <x v="108"/>
    <n v="13"/>
    <n v="744.25"/>
    <n v="57.25"/>
    <x v="4"/>
    <x v="2"/>
    <x v="2"/>
    <x v="0"/>
    <x v="2"/>
  </r>
  <r>
    <s v="CUST01296"/>
    <n v="44"/>
    <s v="Male"/>
    <s v="Pune"/>
    <x v="3"/>
    <x v="327"/>
    <x v="423"/>
    <n v="14"/>
    <n v="744.24"/>
    <n v="53.16"/>
    <x v="4"/>
    <x v="0"/>
    <x v="0"/>
    <x v="0"/>
    <x v="2"/>
  </r>
  <r>
    <s v="CUST01783"/>
    <n v="20"/>
    <s v="Male"/>
    <s v="Delhi"/>
    <x v="0"/>
    <x v="198"/>
    <x v="105"/>
    <n v="8"/>
    <n v="744.08"/>
    <n v="93.01000000000001"/>
    <x v="4"/>
    <x v="0"/>
    <x v="3"/>
    <x v="0"/>
    <x v="2"/>
  </r>
  <r>
    <s v="CUST00626"/>
    <n v="18"/>
    <s v="Male"/>
    <s v="Chennai"/>
    <x v="1"/>
    <x v="382"/>
    <x v="276"/>
    <n v="19"/>
    <n v="743.47"/>
    <n v="39.13"/>
    <x v="4"/>
    <x v="2"/>
    <x v="3"/>
    <x v="0"/>
    <x v="2"/>
  </r>
  <r>
    <s v="CUST01906"/>
    <n v="56"/>
    <s v="Female"/>
    <s v="Chennai"/>
    <x v="1"/>
    <x v="499"/>
    <x v="710"/>
    <n v="4"/>
    <n v="743.24"/>
    <n v="185.81"/>
    <x v="3"/>
    <x v="1"/>
    <x v="7"/>
    <x v="0"/>
    <x v="2"/>
  </r>
  <r>
    <s v="CUST00277"/>
    <n v="24"/>
    <s v="Male"/>
    <s v="Mumbai"/>
    <x v="0"/>
    <x v="190"/>
    <x v="579"/>
    <n v="6"/>
    <n v="737.7"/>
    <n v="122.95"/>
    <x v="3"/>
    <x v="2"/>
    <x v="0"/>
    <x v="0"/>
    <x v="2"/>
  </r>
  <r>
    <s v="CUST01203"/>
    <n v="35"/>
    <s v="Male"/>
    <s v="Mumbai"/>
    <x v="2"/>
    <x v="20"/>
    <x v="568"/>
    <n v="7"/>
    <n v="733.74"/>
    <n v="104.82"/>
    <x v="3"/>
    <x v="2"/>
    <x v="2"/>
    <x v="0"/>
    <x v="2"/>
  </r>
  <r>
    <s v="CUST00999"/>
    <n v="62"/>
    <s v="Female"/>
    <s v="Kolkata"/>
    <x v="0"/>
    <x v="625"/>
    <x v="240"/>
    <n v="10"/>
    <n v="733.6"/>
    <n v="73.36"/>
    <x v="2"/>
    <x v="1"/>
    <x v="4"/>
    <x v="0"/>
    <x v="2"/>
  </r>
  <r>
    <s v="CUST00308"/>
    <n v="19"/>
    <s v="Female"/>
    <s v="Bangalore"/>
    <x v="0"/>
    <x v="95"/>
    <x v="590"/>
    <n v="3"/>
    <n v="731.3100000000001"/>
    <n v="243.77"/>
    <x v="3"/>
    <x v="1"/>
    <x v="5"/>
    <x v="1"/>
    <x v="2"/>
  </r>
  <r>
    <s v="CUST00545"/>
    <n v="23"/>
    <s v="Male"/>
    <s v="Chennai"/>
    <x v="2"/>
    <x v="149"/>
    <x v="474"/>
    <n v="4"/>
    <n v="729.88"/>
    <n v="182.47"/>
    <x v="2"/>
    <x v="0"/>
    <x v="8"/>
    <x v="0"/>
    <x v="2"/>
  </r>
  <r>
    <s v="CUST00329"/>
    <n v="37"/>
    <s v="Female"/>
    <s v="Hyderabad"/>
    <x v="3"/>
    <x v="248"/>
    <x v="391"/>
    <n v="8"/>
    <n v="725.36"/>
    <n v="90.67"/>
    <x v="4"/>
    <x v="1"/>
    <x v="1"/>
    <x v="0"/>
    <x v="2"/>
  </r>
  <r>
    <s v="CUST01135"/>
    <n v="65"/>
    <s v="Male"/>
    <s v="Mumbai"/>
    <x v="1"/>
    <x v="567"/>
    <x v="711"/>
    <n v="18"/>
    <n v="721.08"/>
    <n v="40.06"/>
    <x v="1"/>
    <x v="1"/>
    <x v="9"/>
    <x v="0"/>
    <x v="2"/>
  </r>
  <r>
    <s v="CUST00571"/>
    <n v="25"/>
    <s v="Female"/>
    <s v="Pune"/>
    <x v="1"/>
    <x v="554"/>
    <x v="122"/>
    <n v="19"/>
    <n v="720.29"/>
    <n v="37.91"/>
    <x v="3"/>
    <x v="2"/>
    <x v="7"/>
    <x v="0"/>
    <x v="2"/>
  </r>
  <r>
    <s v="CUST01031"/>
    <n v="25"/>
    <s v="Female"/>
    <s v="Bangalore"/>
    <x v="0"/>
    <x v="415"/>
    <x v="176"/>
    <n v="20"/>
    <n v="717.2"/>
    <n v="35.86"/>
    <x v="3"/>
    <x v="1"/>
    <x v="7"/>
    <x v="0"/>
    <x v="2"/>
  </r>
  <r>
    <s v="CUST00637"/>
    <n v="50"/>
    <s v="Female"/>
    <s v="Pune"/>
    <x v="2"/>
    <x v="521"/>
    <x v="485"/>
    <n v="7"/>
    <n v="715.4"/>
    <n v="102.2"/>
    <x v="0"/>
    <x v="0"/>
    <x v="6"/>
    <x v="0"/>
    <x v="2"/>
  </r>
  <r>
    <s v="CUST01297"/>
    <n v="42"/>
    <s v="Female"/>
    <s v="Hyderabad"/>
    <x v="3"/>
    <x v="626"/>
    <x v="6"/>
    <n v="15"/>
    <n v="707.7"/>
    <n v="47.18"/>
    <x v="1"/>
    <x v="2"/>
    <x v="4"/>
    <x v="1"/>
    <x v="2"/>
  </r>
  <r>
    <s v="CUST01375"/>
    <n v="27"/>
    <s v="Female"/>
    <s v="Mumbai"/>
    <x v="3"/>
    <x v="227"/>
    <x v="147"/>
    <n v="4"/>
    <n v="706.84"/>
    <n v="176.71"/>
    <x v="3"/>
    <x v="1"/>
    <x v="6"/>
    <x v="0"/>
    <x v="2"/>
  </r>
  <r>
    <s v="CUST01178"/>
    <n v="48"/>
    <s v="Female"/>
    <s v="Delhi"/>
    <x v="0"/>
    <x v="600"/>
    <x v="432"/>
    <n v="8"/>
    <n v="706.4"/>
    <n v="88.3"/>
    <x v="4"/>
    <x v="0"/>
    <x v="8"/>
    <x v="0"/>
    <x v="2"/>
  </r>
  <r>
    <s v="CUST01715"/>
    <n v="40"/>
    <s v="Female"/>
    <s v="Kolkata"/>
    <x v="1"/>
    <x v="317"/>
    <x v="712"/>
    <n v="5"/>
    <n v="704.25"/>
    <n v="140.85"/>
    <x v="2"/>
    <x v="2"/>
    <x v="1"/>
    <x v="0"/>
    <x v="2"/>
  </r>
  <r>
    <s v="CUST00881"/>
    <n v="27"/>
    <s v="Male"/>
    <s v="Mumbai"/>
    <x v="2"/>
    <x v="627"/>
    <x v="326"/>
    <n v="3"/>
    <n v="699.1500000000001"/>
    <n v="233.05"/>
    <x v="3"/>
    <x v="1"/>
    <x v="0"/>
    <x v="0"/>
    <x v="2"/>
  </r>
  <r>
    <s v="CUST00687"/>
    <n v="57"/>
    <s v="Male"/>
    <s v="Hyderabad"/>
    <x v="3"/>
    <x v="614"/>
    <x v="713"/>
    <n v="3"/>
    <n v="695.46"/>
    <n v="231.82"/>
    <x v="3"/>
    <x v="2"/>
    <x v="3"/>
    <x v="0"/>
    <x v="2"/>
  </r>
  <r>
    <s v="CUST00010"/>
    <n v="27"/>
    <s v="Male"/>
    <s v="Kolkata"/>
    <x v="3"/>
    <x v="72"/>
    <x v="659"/>
    <n v="3"/>
    <n v="694.86"/>
    <n v="231.62"/>
    <x v="0"/>
    <x v="2"/>
    <x v="7"/>
    <x v="0"/>
    <x v="2"/>
  </r>
  <r>
    <s v="CUST01861"/>
    <n v="32"/>
    <s v="Male"/>
    <s v="Bangalore"/>
    <x v="0"/>
    <x v="411"/>
    <x v="683"/>
    <n v="23"/>
    <n v="692.3000000000001"/>
    <n v="30.1"/>
    <x v="0"/>
    <x v="0"/>
    <x v="4"/>
    <x v="0"/>
    <x v="2"/>
  </r>
  <r>
    <s v="CUST01404"/>
    <n v="65"/>
    <s v="Male"/>
    <s v="Bangalore"/>
    <x v="3"/>
    <x v="628"/>
    <x v="49"/>
    <n v="20"/>
    <n v="692"/>
    <n v="34.6"/>
    <x v="2"/>
    <x v="2"/>
    <x v="0"/>
    <x v="0"/>
    <x v="2"/>
  </r>
  <r>
    <s v="CUST01045"/>
    <n v="57"/>
    <s v="Female"/>
    <s v="Kolkata"/>
    <x v="3"/>
    <x v="469"/>
    <x v="569"/>
    <n v="25"/>
    <n v="691.5"/>
    <n v="27.66"/>
    <x v="3"/>
    <x v="2"/>
    <x v="3"/>
    <x v="0"/>
    <x v="2"/>
  </r>
  <r>
    <s v="CUST00229"/>
    <n v="53"/>
    <s v="Male"/>
    <s v="Pune"/>
    <x v="2"/>
    <x v="471"/>
    <x v="230"/>
    <n v="14"/>
    <n v="684.88"/>
    <n v="48.92"/>
    <x v="2"/>
    <x v="2"/>
    <x v="1"/>
    <x v="1"/>
    <x v="2"/>
  </r>
  <r>
    <s v="CUST01646"/>
    <n v="38"/>
    <s v="Female"/>
    <s v="Mumbai"/>
    <x v="1"/>
    <x v="629"/>
    <x v="194"/>
    <n v="8"/>
    <n v="682.5599999999999"/>
    <n v="85.31999999999999"/>
    <x v="0"/>
    <x v="0"/>
    <x v="4"/>
    <x v="1"/>
    <x v="2"/>
  </r>
  <r>
    <s v="CUST00798"/>
    <n v="31"/>
    <s v="Female"/>
    <s v="Chennai"/>
    <x v="0"/>
    <x v="68"/>
    <x v="483"/>
    <n v="23"/>
    <n v="681.72"/>
    <n v="29.64"/>
    <x v="0"/>
    <x v="0"/>
    <x v="8"/>
    <x v="0"/>
    <x v="2"/>
  </r>
  <r>
    <s v="CUST01493"/>
    <n v="62"/>
    <s v="Male"/>
    <s v="Bangalore"/>
    <x v="2"/>
    <x v="86"/>
    <x v="100"/>
    <n v="5"/>
    <n v="681.0500000000001"/>
    <n v="136.21"/>
    <x v="2"/>
    <x v="2"/>
    <x v="4"/>
    <x v="0"/>
    <x v="2"/>
  </r>
  <r>
    <s v="CUST00700"/>
    <n v="44"/>
    <s v="Female"/>
    <s v="Delhi"/>
    <x v="3"/>
    <x v="148"/>
    <x v="207"/>
    <n v="18"/>
    <n v="680.04"/>
    <n v="37.78"/>
    <x v="0"/>
    <x v="0"/>
    <x v="9"/>
    <x v="0"/>
    <x v="2"/>
  </r>
  <r>
    <s v="CUST01427"/>
    <n v="39"/>
    <s v="Female"/>
    <s v="Delhi"/>
    <x v="2"/>
    <x v="418"/>
    <x v="389"/>
    <n v="5"/>
    <n v="679.9"/>
    <n v="135.98"/>
    <x v="1"/>
    <x v="1"/>
    <x v="2"/>
    <x v="0"/>
    <x v="2"/>
  </r>
  <r>
    <s v="CUST01037"/>
    <n v="32"/>
    <s v="Female"/>
    <s v="Chennai"/>
    <x v="0"/>
    <x v="374"/>
    <x v="320"/>
    <n v="8"/>
    <n v="679.76"/>
    <n v="84.97"/>
    <x v="3"/>
    <x v="0"/>
    <x v="0"/>
    <x v="0"/>
    <x v="2"/>
  </r>
  <r>
    <s v="CUST00288"/>
    <n v="40"/>
    <s v="Female"/>
    <s v="Pune"/>
    <x v="0"/>
    <x v="378"/>
    <x v="336"/>
    <n v="11"/>
    <n v="676.83"/>
    <n v="61.53"/>
    <x v="4"/>
    <x v="1"/>
    <x v="5"/>
    <x v="0"/>
    <x v="2"/>
  </r>
  <r>
    <s v="CUST00076"/>
    <n v="36"/>
    <s v="Female"/>
    <s v="Kolkata"/>
    <x v="0"/>
    <x v="330"/>
    <x v="213"/>
    <n v="6"/>
    <n v="674.0999999999999"/>
    <n v="112.35"/>
    <x v="2"/>
    <x v="2"/>
    <x v="9"/>
    <x v="0"/>
    <x v="2"/>
  </r>
  <r>
    <s v="CUST00864"/>
    <n v="36"/>
    <s v="Female"/>
    <s v="Pune"/>
    <x v="0"/>
    <x v="324"/>
    <x v="602"/>
    <n v="4"/>
    <n v="672.4400000000001"/>
    <n v="168.11"/>
    <x v="3"/>
    <x v="2"/>
    <x v="9"/>
    <x v="0"/>
    <x v="2"/>
  </r>
  <r>
    <s v="CUST00162"/>
    <n v="53"/>
    <s v="Male"/>
    <s v="Kolkata"/>
    <x v="1"/>
    <x v="630"/>
    <x v="714"/>
    <n v="12"/>
    <n v="671.16"/>
    <n v="55.93"/>
    <x v="2"/>
    <x v="0"/>
    <x v="6"/>
    <x v="0"/>
    <x v="2"/>
  </r>
  <r>
    <s v="CUST01966"/>
    <n v="21"/>
    <s v="Female"/>
    <s v="Delhi"/>
    <x v="1"/>
    <x v="289"/>
    <x v="70"/>
    <n v="14"/>
    <n v="668.9200000000001"/>
    <n v="47.78"/>
    <x v="0"/>
    <x v="1"/>
    <x v="2"/>
    <x v="0"/>
    <x v="2"/>
  </r>
  <r>
    <s v="CUST00779"/>
    <n v="48"/>
    <s v="Male"/>
    <s v="Pune"/>
    <x v="3"/>
    <x v="259"/>
    <x v="461"/>
    <n v="8"/>
    <n v="668.3200000000001"/>
    <n v="83.54000000000001"/>
    <x v="2"/>
    <x v="1"/>
    <x v="8"/>
    <x v="0"/>
    <x v="2"/>
  </r>
  <r>
    <s v="CUST01009"/>
    <n v="54"/>
    <s v="Female"/>
    <s v="Delhi"/>
    <x v="3"/>
    <x v="631"/>
    <x v="446"/>
    <n v="12"/>
    <n v="667.6800000000001"/>
    <n v="55.64"/>
    <x v="1"/>
    <x v="1"/>
    <x v="6"/>
    <x v="0"/>
    <x v="2"/>
  </r>
  <r>
    <s v="CUST01376"/>
    <n v="51"/>
    <s v="Male"/>
    <s v="Bangalore"/>
    <x v="1"/>
    <x v="598"/>
    <x v="686"/>
    <n v="4"/>
    <n v="667.52"/>
    <n v="166.88"/>
    <x v="4"/>
    <x v="2"/>
    <x v="2"/>
    <x v="0"/>
    <x v="2"/>
  </r>
  <r>
    <s v="CUST00501"/>
    <n v="55"/>
    <s v="Male"/>
    <s v="Hyderabad"/>
    <x v="3"/>
    <x v="610"/>
    <x v="715"/>
    <n v="3"/>
    <n v="667.02"/>
    <n v="222.34"/>
    <x v="4"/>
    <x v="1"/>
    <x v="6"/>
    <x v="1"/>
    <x v="2"/>
  </r>
  <r>
    <s v="CUST01243"/>
    <n v="55"/>
    <s v="Female"/>
    <s v="Pune"/>
    <x v="2"/>
    <x v="632"/>
    <x v="0"/>
    <n v="6"/>
    <n v="662.22"/>
    <n v="110.37"/>
    <x v="0"/>
    <x v="0"/>
    <x v="5"/>
    <x v="1"/>
    <x v="2"/>
  </r>
  <r>
    <s v="CUST00418"/>
    <n v="18"/>
    <s v="Male"/>
    <s v="Delhi"/>
    <x v="2"/>
    <x v="628"/>
    <x v="559"/>
    <n v="22"/>
    <n v="662.2"/>
    <n v="30.1"/>
    <x v="2"/>
    <x v="1"/>
    <x v="7"/>
    <x v="0"/>
    <x v="2"/>
  </r>
  <r>
    <s v="CUST00112"/>
    <n v="26"/>
    <s v="Male"/>
    <s v="Pune"/>
    <x v="2"/>
    <x v="624"/>
    <x v="269"/>
    <n v="14"/>
    <n v="658.5599999999999"/>
    <n v="47.04"/>
    <x v="3"/>
    <x v="1"/>
    <x v="9"/>
    <x v="0"/>
    <x v="2"/>
  </r>
  <r>
    <s v="CUST01710"/>
    <n v="32"/>
    <s v="Female"/>
    <s v="Delhi"/>
    <x v="3"/>
    <x v="257"/>
    <x v="113"/>
    <n v="3"/>
    <n v="655.53"/>
    <n v="218.51"/>
    <x v="0"/>
    <x v="1"/>
    <x v="8"/>
    <x v="0"/>
    <x v="2"/>
  </r>
  <r>
    <s v="CUST01402"/>
    <n v="57"/>
    <s v="Male"/>
    <s v="Bangalore"/>
    <x v="0"/>
    <x v="523"/>
    <x v="341"/>
    <n v="3"/>
    <n v="653.97"/>
    <n v="217.99"/>
    <x v="0"/>
    <x v="1"/>
    <x v="2"/>
    <x v="1"/>
    <x v="2"/>
  </r>
  <r>
    <s v="CUST01863"/>
    <n v="28"/>
    <s v="Male"/>
    <s v="Bangalore"/>
    <x v="2"/>
    <x v="400"/>
    <x v="427"/>
    <n v="8"/>
    <n v="653.52"/>
    <n v="81.69"/>
    <x v="1"/>
    <x v="2"/>
    <x v="8"/>
    <x v="0"/>
    <x v="2"/>
  </r>
  <r>
    <s v="CUST00836"/>
    <n v="38"/>
    <s v="Female"/>
    <s v="Kolkata"/>
    <x v="2"/>
    <x v="363"/>
    <x v="410"/>
    <n v="23"/>
    <n v="648.14"/>
    <n v="28.18"/>
    <x v="1"/>
    <x v="0"/>
    <x v="1"/>
    <x v="0"/>
    <x v="2"/>
  </r>
  <r>
    <s v="CUST01992"/>
    <n v="23"/>
    <s v="Female"/>
    <s v="Delhi"/>
    <x v="2"/>
    <x v="485"/>
    <x v="716"/>
    <n v="15"/>
    <n v="646.35"/>
    <n v="43.09"/>
    <x v="4"/>
    <x v="1"/>
    <x v="3"/>
    <x v="1"/>
    <x v="2"/>
  </r>
  <r>
    <s v="CUST00276"/>
    <n v="54"/>
    <s v="Male"/>
    <s v="Hyderabad"/>
    <x v="3"/>
    <x v="588"/>
    <x v="471"/>
    <n v="17"/>
    <n v="643.96"/>
    <n v="37.88"/>
    <x v="0"/>
    <x v="1"/>
    <x v="6"/>
    <x v="0"/>
    <x v="2"/>
  </r>
  <r>
    <s v="CUST00223"/>
    <n v="38"/>
    <s v="Male"/>
    <s v="Mumbai"/>
    <x v="1"/>
    <x v="172"/>
    <x v="717"/>
    <n v="22"/>
    <n v="642.62"/>
    <n v="29.21"/>
    <x v="2"/>
    <x v="2"/>
    <x v="1"/>
    <x v="0"/>
    <x v="2"/>
  </r>
  <r>
    <s v="CUST00140"/>
    <n v="46"/>
    <s v="Female"/>
    <s v="Delhi"/>
    <x v="3"/>
    <x v="391"/>
    <x v="153"/>
    <n v="14"/>
    <n v="639.52"/>
    <n v="45.68"/>
    <x v="3"/>
    <x v="1"/>
    <x v="3"/>
    <x v="0"/>
    <x v="2"/>
  </r>
  <r>
    <s v="CUST00075"/>
    <n v="58"/>
    <s v="Female"/>
    <s v="Delhi"/>
    <x v="3"/>
    <x v="440"/>
    <x v="562"/>
    <n v="9"/>
    <n v="637.3799999999999"/>
    <n v="70.81999999999999"/>
    <x v="4"/>
    <x v="1"/>
    <x v="9"/>
    <x v="0"/>
    <x v="2"/>
  </r>
  <r>
    <s v="CUST00457"/>
    <n v="58"/>
    <s v="Male"/>
    <s v="Delhi"/>
    <x v="2"/>
    <x v="42"/>
    <x v="342"/>
    <n v="3"/>
    <n v="636.1800000000001"/>
    <n v="212.06"/>
    <x v="1"/>
    <x v="0"/>
    <x v="3"/>
    <x v="0"/>
    <x v="2"/>
  </r>
  <r>
    <s v="CUST00664"/>
    <n v="59"/>
    <s v="Male"/>
    <s v="Chennai"/>
    <x v="3"/>
    <x v="541"/>
    <x v="359"/>
    <n v="23"/>
    <n v="636.1799999999999"/>
    <n v="27.66"/>
    <x v="1"/>
    <x v="2"/>
    <x v="7"/>
    <x v="1"/>
    <x v="2"/>
  </r>
  <r>
    <s v="CUST01433"/>
    <n v="36"/>
    <s v="Male"/>
    <s v="Hyderabad"/>
    <x v="2"/>
    <x v="42"/>
    <x v="346"/>
    <n v="4"/>
    <n v="636"/>
    <n v="159"/>
    <x v="1"/>
    <x v="0"/>
    <x v="2"/>
    <x v="0"/>
    <x v="2"/>
  </r>
  <r>
    <s v="CUST00949"/>
    <n v="52"/>
    <s v="Male"/>
    <s v="Chennai"/>
    <x v="3"/>
    <x v="633"/>
    <x v="718"/>
    <n v="4"/>
    <n v="635.96"/>
    <n v="158.99"/>
    <x v="0"/>
    <x v="0"/>
    <x v="6"/>
    <x v="0"/>
    <x v="2"/>
  </r>
  <r>
    <s v="CUST00222"/>
    <n v="54"/>
    <s v="Female"/>
    <s v="Bangalore"/>
    <x v="0"/>
    <x v="420"/>
    <x v="335"/>
    <n v="8"/>
    <n v="633.6"/>
    <n v="79.2"/>
    <x v="3"/>
    <x v="0"/>
    <x v="1"/>
    <x v="0"/>
    <x v="2"/>
  </r>
  <r>
    <s v="CUST00507"/>
    <n v="33"/>
    <s v="Female"/>
    <s v="Pune"/>
    <x v="1"/>
    <x v="103"/>
    <x v="719"/>
    <n v="15"/>
    <n v="633.4499999999999"/>
    <n v="42.23"/>
    <x v="3"/>
    <x v="2"/>
    <x v="5"/>
    <x v="0"/>
    <x v="2"/>
  </r>
  <r>
    <s v="CUST00121"/>
    <n v="50"/>
    <s v="Female"/>
    <s v="Delhi"/>
    <x v="3"/>
    <x v="290"/>
    <x v="128"/>
    <n v="5"/>
    <n v="632.3"/>
    <n v="126.46"/>
    <x v="3"/>
    <x v="1"/>
    <x v="6"/>
    <x v="0"/>
    <x v="2"/>
  </r>
  <r>
    <s v="CUST00915"/>
    <n v="65"/>
    <s v="Male"/>
    <s v="Delhi"/>
    <x v="1"/>
    <x v="634"/>
    <x v="196"/>
    <n v="8"/>
    <n v="632.08"/>
    <n v="79.01000000000001"/>
    <x v="2"/>
    <x v="0"/>
    <x v="6"/>
    <x v="0"/>
    <x v="2"/>
  </r>
  <r>
    <s v="CUST00866"/>
    <n v="21"/>
    <s v="Female"/>
    <s v="Chennai"/>
    <x v="1"/>
    <x v="43"/>
    <x v="328"/>
    <n v="5"/>
    <n v="630.3"/>
    <n v="126.06"/>
    <x v="0"/>
    <x v="1"/>
    <x v="2"/>
    <x v="0"/>
    <x v="2"/>
  </r>
  <r>
    <s v="CUST01105"/>
    <n v="26"/>
    <s v="Female"/>
    <s v="Bangalore"/>
    <x v="2"/>
    <x v="187"/>
    <x v="373"/>
    <n v="9"/>
    <n v="629.3700000000001"/>
    <n v="69.93000000000001"/>
    <x v="0"/>
    <x v="0"/>
    <x v="2"/>
    <x v="0"/>
    <x v="2"/>
  </r>
  <r>
    <s v="CUST01323"/>
    <n v="32"/>
    <s v="Female"/>
    <s v="Chennai"/>
    <x v="3"/>
    <x v="313"/>
    <x v="698"/>
    <n v="8"/>
    <n v="629.2"/>
    <n v="78.65000000000001"/>
    <x v="4"/>
    <x v="0"/>
    <x v="9"/>
    <x v="0"/>
    <x v="2"/>
  </r>
  <r>
    <s v="CUST00326"/>
    <n v="56"/>
    <s v="Female"/>
    <s v="Mumbai"/>
    <x v="3"/>
    <x v="299"/>
    <x v="372"/>
    <n v="22"/>
    <n v="628.3199999999999"/>
    <n v="28.56"/>
    <x v="0"/>
    <x v="0"/>
    <x v="9"/>
    <x v="0"/>
    <x v="2"/>
  </r>
  <r>
    <s v="CUST00154"/>
    <n v="50"/>
    <s v="Male"/>
    <s v="Delhi"/>
    <x v="1"/>
    <x v="128"/>
    <x v="643"/>
    <n v="3"/>
    <n v="623.79"/>
    <n v="207.93"/>
    <x v="0"/>
    <x v="0"/>
    <x v="2"/>
    <x v="0"/>
    <x v="2"/>
  </r>
  <r>
    <s v="CUST01531"/>
    <n v="45"/>
    <s v="Male"/>
    <s v="Pune"/>
    <x v="1"/>
    <x v="263"/>
    <x v="281"/>
    <n v="4"/>
    <n v="623.64"/>
    <n v="155.91"/>
    <x v="0"/>
    <x v="1"/>
    <x v="1"/>
    <x v="0"/>
    <x v="2"/>
  </r>
  <r>
    <s v="CUST01289"/>
    <n v="54"/>
    <s v="Male"/>
    <s v="Kolkata"/>
    <x v="2"/>
    <x v="410"/>
    <x v="185"/>
    <n v="7"/>
    <n v="622.16"/>
    <n v="88.88"/>
    <x v="2"/>
    <x v="0"/>
    <x v="7"/>
    <x v="0"/>
    <x v="2"/>
  </r>
  <r>
    <s v="CUST01102"/>
    <n v="37"/>
    <s v="Male"/>
    <s v="Mumbai"/>
    <x v="0"/>
    <x v="109"/>
    <x v="353"/>
    <n v="16"/>
    <n v="620.3200000000001"/>
    <n v="38.77"/>
    <x v="0"/>
    <x v="1"/>
    <x v="9"/>
    <x v="0"/>
    <x v="2"/>
  </r>
  <r>
    <s v="CUST01993"/>
    <n v="58"/>
    <s v="Female"/>
    <s v="Kolkata"/>
    <x v="0"/>
    <x v="118"/>
    <x v="118"/>
    <n v="10"/>
    <n v="620.2"/>
    <n v="62.02"/>
    <x v="3"/>
    <x v="1"/>
    <x v="0"/>
    <x v="1"/>
    <x v="2"/>
  </r>
  <r>
    <s v="CUST00689"/>
    <n v="37"/>
    <s v="Male"/>
    <s v="Pune"/>
    <x v="3"/>
    <x v="217"/>
    <x v="479"/>
    <n v="10"/>
    <n v="616.1"/>
    <n v="61.61"/>
    <x v="4"/>
    <x v="0"/>
    <x v="6"/>
    <x v="1"/>
    <x v="2"/>
  </r>
  <r>
    <s v="CUST00426"/>
    <n v="57"/>
    <s v="Female"/>
    <s v="Mumbai"/>
    <x v="0"/>
    <x v="520"/>
    <x v="720"/>
    <n v="8"/>
    <n v="614.24"/>
    <n v="76.78"/>
    <x v="3"/>
    <x v="2"/>
    <x v="2"/>
    <x v="0"/>
    <x v="2"/>
  </r>
  <r>
    <s v="CUST01595"/>
    <n v="65"/>
    <s v="Male"/>
    <s v="Bangalore"/>
    <x v="2"/>
    <x v="617"/>
    <x v="198"/>
    <n v="5"/>
    <n v="612.8"/>
    <n v="122.56"/>
    <x v="1"/>
    <x v="2"/>
    <x v="3"/>
    <x v="0"/>
    <x v="2"/>
  </r>
  <r>
    <s v="CUST00803"/>
    <n v="57"/>
    <s v="Female"/>
    <s v="Delhi"/>
    <x v="0"/>
    <x v="432"/>
    <x v="84"/>
    <n v="3"/>
    <n v="612.6899999999999"/>
    <n v="204.23"/>
    <x v="1"/>
    <x v="1"/>
    <x v="1"/>
    <x v="0"/>
    <x v="2"/>
  </r>
  <r>
    <s v="CUST00584"/>
    <n v="21"/>
    <s v="Female"/>
    <s v="Mumbai"/>
    <x v="0"/>
    <x v="609"/>
    <x v="293"/>
    <n v="11"/>
    <n v="611.8199999999999"/>
    <n v="55.62"/>
    <x v="2"/>
    <x v="1"/>
    <x v="7"/>
    <x v="0"/>
    <x v="2"/>
  </r>
  <r>
    <s v="CUST01960"/>
    <n v="32"/>
    <s v="Male"/>
    <s v="Pune"/>
    <x v="0"/>
    <x v="331"/>
    <x v="721"/>
    <n v="3"/>
    <n v="610.38"/>
    <n v="203.46"/>
    <x v="4"/>
    <x v="1"/>
    <x v="2"/>
    <x v="1"/>
    <x v="2"/>
  </r>
  <r>
    <s v="CUST01192"/>
    <n v="22"/>
    <s v="Female"/>
    <s v="Kolkata"/>
    <x v="3"/>
    <x v="577"/>
    <x v="531"/>
    <n v="4"/>
    <n v="608.48"/>
    <n v="152.12"/>
    <x v="1"/>
    <x v="2"/>
    <x v="4"/>
    <x v="0"/>
    <x v="2"/>
  </r>
  <r>
    <s v="CUST01053"/>
    <n v="25"/>
    <s v="Male"/>
    <s v="Mumbai"/>
    <x v="1"/>
    <x v="635"/>
    <x v="444"/>
    <n v="12"/>
    <n v="606.84"/>
    <n v="50.57"/>
    <x v="4"/>
    <x v="0"/>
    <x v="9"/>
    <x v="0"/>
    <x v="2"/>
  </r>
  <r>
    <s v="CUST01974"/>
    <n v="39"/>
    <s v="Male"/>
    <s v="Mumbai"/>
    <x v="2"/>
    <x v="581"/>
    <x v="433"/>
    <n v="3"/>
    <n v="604.26"/>
    <n v="201.42"/>
    <x v="3"/>
    <x v="2"/>
    <x v="6"/>
    <x v="1"/>
    <x v="2"/>
  </r>
  <r>
    <s v="CUST00720"/>
    <n v="26"/>
    <s v="Female"/>
    <s v="Mumbai"/>
    <x v="3"/>
    <x v="472"/>
    <x v="455"/>
    <n v="14"/>
    <n v="601.3000000000001"/>
    <n v="42.95"/>
    <x v="3"/>
    <x v="1"/>
    <x v="3"/>
    <x v="1"/>
    <x v="2"/>
  </r>
  <r>
    <s v="CUST00053"/>
    <n v="59"/>
    <s v="Male"/>
    <s v="Kolkata"/>
    <x v="0"/>
    <x v="636"/>
    <x v="371"/>
    <n v="2"/>
    <n v="599.96"/>
    <n v="299.98"/>
    <x v="3"/>
    <x v="2"/>
    <x v="0"/>
    <x v="0"/>
    <x v="2"/>
  </r>
  <r>
    <s v="CUST01658"/>
    <n v="55"/>
    <s v="Female"/>
    <s v="Mumbai"/>
    <x v="2"/>
    <x v="316"/>
    <x v="66"/>
    <n v="12"/>
    <n v="599.52"/>
    <n v="49.96"/>
    <x v="3"/>
    <x v="0"/>
    <x v="7"/>
    <x v="0"/>
    <x v="2"/>
  </r>
  <r>
    <s v="CUST01054"/>
    <n v="27"/>
    <s v="Male"/>
    <s v="Bangalore"/>
    <x v="2"/>
    <x v="206"/>
    <x v="722"/>
    <n v="3"/>
    <n v="599.1899999999999"/>
    <n v="199.73"/>
    <x v="4"/>
    <x v="1"/>
    <x v="9"/>
    <x v="0"/>
    <x v="2"/>
  </r>
  <r>
    <s v="CUST00165"/>
    <n v="23"/>
    <s v="Male"/>
    <s v="Chennai"/>
    <x v="2"/>
    <x v="28"/>
    <x v="46"/>
    <n v="19"/>
    <n v="599.0700000000001"/>
    <n v="31.53"/>
    <x v="1"/>
    <x v="0"/>
    <x v="7"/>
    <x v="0"/>
    <x v="2"/>
  </r>
  <r>
    <s v="CUST01431"/>
    <n v="20"/>
    <s v="Male"/>
    <s v="Kolkata"/>
    <x v="1"/>
    <x v="163"/>
    <x v="628"/>
    <n v="2"/>
    <n v="597.9400000000001"/>
    <n v="298.97"/>
    <x v="1"/>
    <x v="1"/>
    <x v="2"/>
    <x v="1"/>
    <x v="2"/>
  </r>
  <r>
    <s v="CUST01923"/>
    <n v="44"/>
    <s v="Male"/>
    <s v="Kolkata"/>
    <x v="0"/>
    <x v="406"/>
    <x v="36"/>
    <n v="8"/>
    <n v="597.36"/>
    <n v="74.67"/>
    <x v="1"/>
    <x v="2"/>
    <x v="3"/>
    <x v="0"/>
    <x v="2"/>
  </r>
  <r>
    <s v="CUST01727"/>
    <n v="65"/>
    <s v="Female"/>
    <s v="Mumbai"/>
    <x v="3"/>
    <x v="223"/>
    <x v="528"/>
    <n v="14"/>
    <n v="596.96"/>
    <n v="42.64"/>
    <x v="3"/>
    <x v="0"/>
    <x v="5"/>
    <x v="0"/>
    <x v="2"/>
  </r>
  <r>
    <s v="CUST00002"/>
    <n v="53"/>
    <s v="Male"/>
    <s v="Chennai"/>
    <x v="3"/>
    <x v="235"/>
    <x v="512"/>
    <n v="7"/>
    <n v="596.0500000000001"/>
    <n v="85.15000000000001"/>
    <x v="1"/>
    <x v="1"/>
    <x v="4"/>
    <x v="0"/>
    <x v="2"/>
  </r>
  <r>
    <s v="CUST01717"/>
    <n v="63"/>
    <s v="Male"/>
    <s v="Chennai"/>
    <x v="1"/>
    <x v="598"/>
    <x v="474"/>
    <n v="4"/>
    <n v="595.84"/>
    <n v="148.96"/>
    <x v="2"/>
    <x v="1"/>
    <x v="7"/>
    <x v="0"/>
    <x v="2"/>
  </r>
  <r>
    <s v="CUST01869"/>
    <n v="52"/>
    <s v="Male"/>
    <s v="Mumbai"/>
    <x v="1"/>
    <x v="93"/>
    <x v="387"/>
    <n v="14"/>
    <n v="595.6999999999999"/>
    <n v="42.55"/>
    <x v="3"/>
    <x v="0"/>
    <x v="9"/>
    <x v="0"/>
    <x v="2"/>
  </r>
  <r>
    <s v="CUST01275"/>
    <n v="49"/>
    <s v="Male"/>
    <s v="Mumbai"/>
    <x v="2"/>
    <x v="545"/>
    <x v="16"/>
    <n v="3"/>
    <n v="595.59"/>
    <n v="198.53"/>
    <x v="1"/>
    <x v="0"/>
    <x v="1"/>
    <x v="1"/>
    <x v="2"/>
  </r>
  <r>
    <s v="CUST01753"/>
    <n v="55"/>
    <s v="Male"/>
    <s v="Chennai"/>
    <x v="1"/>
    <x v="91"/>
    <x v="96"/>
    <n v="4"/>
    <n v="594.48"/>
    <n v="148.62"/>
    <x v="0"/>
    <x v="0"/>
    <x v="5"/>
    <x v="0"/>
    <x v="2"/>
  </r>
  <r>
    <s v="CUST00938"/>
    <n v="21"/>
    <s v="Female"/>
    <s v="Kolkata"/>
    <x v="3"/>
    <x v="501"/>
    <x v="271"/>
    <n v="2"/>
    <n v="593.16"/>
    <n v="296.58"/>
    <x v="2"/>
    <x v="2"/>
    <x v="6"/>
    <x v="0"/>
    <x v="2"/>
  </r>
  <r>
    <s v="CUST00572"/>
    <n v="52"/>
    <s v="Male"/>
    <s v="Bangalore"/>
    <x v="1"/>
    <x v="240"/>
    <x v="481"/>
    <n v="11"/>
    <n v="592.02"/>
    <n v="53.82"/>
    <x v="3"/>
    <x v="0"/>
    <x v="5"/>
    <x v="0"/>
    <x v="2"/>
  </r>
  <r>
    <s v="CUST00219"/>
    <n v="40"/>
    <s v="Female"/>
    <s v="Kolkata"/>
    <x v="3"/>
    <x v="506"/>
    <x v="313"/>
    <n v="8"/>
    <n v="589.92"/>
    <n v="73.73999999999999"/>
    <x v="3"/>
    <x v="1"/>
    <x v="7"/>
    <x v="0"/>
    <x v="2"/>
  </r>
  <r>
    <s v="CUST00098"/>
    <n v="61"/>
    <s v="Female"/>
    <s v="Pune"/>
    <x v="3"/>
    <x v="323"/>
    <x v="411"/>
    <n v="4"/>
    <n v="589.36"/>
    <n v="147.34"/>
    <x v="4"/>
    <x v="2"/>
    <x v="0"/>
    <x v="0"/>
    <x v="2"/>
  </r>
  <r>
    <s v="CUST00147"/>
    <n v="40"/>
    <s v="Male"/>
    <s v="Chennai"/>
    <x v="0"/>
    <x v="255"/>
    <x v="141"/>
    <n v="24"/>
    <n v="589.2"/>
    <n v="24.55"/>
    <x v="0"/>
    <x v="0"/>
    <x v="9"/>
    <x v="0"/>
    <x v="2"/>
  </r>
  <r>
    <s v="CUST00763"/>
    <n v="20"/>
    <s v="Female"/>
    <s v="Mumbai"/>
    <x v="0"/>
    <x v="362"/>
    <x v="583"/>
    <n v="4"/>
    <n v="588.84"/>
    <n v="147.21"/>
    <x v="1"/>
    <x v="0"/>
    <x v="0"/>
    <x v="0"/>
    <x v="2"/>
  </r>
  <r>
    <s v="CUST01575"/>
    <n v="28"/>
    <s v="Female"/>
    <s v="Pune"/>
    <x v="1"/>
    <x v="261"/>
    <x v="666"/>
    <n v="19"/>
    <n v="583.87"/>
    <n v="30.73"/>
    <x v="4"/>
    <x v="1"/>
    <x v="1"/>
    <x v="0"/>
    <x v="2"/>
  </r>
  <r>
    <s v="CUST00247"/>
    <n v="29"/>
    <s v="Female"/>
    <s v="Chennai"/>
    <x v="1"/>
    <x v="373"/>
    <x v="571"/>
    <n v="11"/>
    <n v="583"/>
    <n v="53"/>
    <x v="0"/>
    <x v="1"/>
    <x v="7"/>
    <x v="0"/>
    <x v="2"/>
  </r>
  <r>
    <s v="CUST00832"/>
    <n v="61"/>
    <s v="Female"/>
    <s v="Mumbai"/>
    <x v="3"/>
    <x v="83"/>
    <x v="503"/>
    <n v="2"/>
    <n v="582.98"/>
    <n v="291.49"/>
    <x v="2"/>
    <x v="0"/>
    <x v="4"/>
    <x v="0"/>
    <x v="2"/>
  </r>
  <r>
    <s v="CUST01188"/>
    <n v="26"/>
    <s v="Female"/>
    <s v="Kolkata"/>
    <x v="2"/>
    <x v="637"/>
    <x v="187"/>
    <n v="2"/>
    <n v="582.46"/>
    <n v="291.23"/>
    <x v="3"/>
    <x v="0"/>
    <x v="0"/>
    <x v="0"/>
    <x v="2"/>
  </r>
  <r>
    <s v="CUST00566"/>
    <n v="37"/>
    <s v="Female"/>
    <s v="Delhi"/>
    <x v="2"/>
    <x v="220"/>
    <x v="20"/>
    <n v="2"/>
    <n v="581.8"/>
    <n v="290.9"/>
    <x v="2"/>
    <x v="2"/>
    <x v="2"/>
    <x v="0"/>
    <x v="2"/>
  </r>
  <r>
    <s v="CUST01226"/>
    <n v="36"/>
    <s v="Female"/>
    <s v="Pune"/>
    <x v="3"/>
    <x v="61"/>
    <x v="430"/>
    <n v="2"/>
    <n v="577.08"/>
    <n v="288.54"/>
    <x v="2"/>
    <x v="1"/>
    <x v="9"/>
    <x v="0"/>
    <x v="2"/>
  </r>
  <r>
    <s v="CUST00920"/>
    <n v="42"/>
    <s v="Male"/>
    <s v="Chennai"/>
    <x v="1"/>
    <x v="620"/>
    <x v="119"/>
    <n v="6"/>
    <n v="576.66"/>
    <n v="96.11"/>
    <x v="2"/>
    <x v="0"/>
    <x v="6"/>
    <x v="1"/>
    <x v="2"/>
  </r>
  <r>
    <s v="CUST01588"/>
    <n v="55"/>
    <s v="Female"/>
    <s v="Kolkata"/>
    <x v="3"/>
    <x v="34"/>
    <x v="588"/>
    <n v="2"/>
    <n v="575.12"/>
    <n v="287.56"/>
    <x v="0"/>
    <x v="1"/>
    <x v="1"/>
    <x v="0"/>
    <x v="2"/>
  </r>
  <r>
    <s v="CUST01179"/>
    <n v="24"/>
    <s v="Male"/>
    <s v="Pune"/>
    <x v="3"/>
    <x v="25"/>
    <x v="675"/>
    <n v="4"/>
    <n v="574.92"/>
    <n v="143.73"/>
    <x v="4"/>
    <x v="0"/>
    <x v="6"/>
    <x v="0"/>
    <x v="2"/>
  </r>
  <r>
    <s v="CUST01055"/>
    <n v="36"/>
    <s v="Male"/>
    <s v="Pune"/>
    <x v="0"/>
    <x v="512"/>
    <x v="23"/>
    <n v="20"/>
    <n v="574.4"/>
    <n v="28.72"/>
    <x v="3"/>
    <x v="0"/>
    <x v="0"/>
    <x v="0"/>
    <x v="2"/>
  </r>
  <r>
    <s v="CUST00445"/>
    <n v="51"/>
    <s v="Male"/>
    <s v="Bangalore"/>
    <x v="2"/>
    <x v="638"/>
    <x v="504"/>
    <n v="9"/>
    <n v="572.4"/>
    <n v="63.6"/>
    <x v="2"/>
    <x v="0"/>
    <x v="6"/>
    <x v="1"/>
    <x v="2"/>
  </r>
  <r>
    <s v="CUST00416"/>
    <n v="43"/>
    <s v="Female"/>
    <s v="Chennai"/>
    <x v="0"/>
    <x v="518"/>
    <x v="342"/>
    <n v="3"/>
    <n v="571.59"/>
    <n v="190.53"/>
    <x v="1"/>
    <x v="0"/>
    <x v="2"/>
    <x v="0"/>
    <x v="2"/>
  </r>
  <r>
    <s v="CUST00707"/>
    <n v="58"/>
    <s v="Male"/>
    <s v="Kolkata"/>
    <x v="1"/>
    <x v="363"/>
    <x v="676"/>
    <n v="18"/>
    <n v="571.5"/>
    <n v="31.75"/>
    <x v="4"/>
    <x v="2"/>
    <x v="1"/>
    <x v="1"/>
    <x v="2"/>
  </r>
  <r>
    <s v="CUST00221"/>
    <n v="28"/>
    <s v="Male"/>
    <s v="Hyderabad"/>
    <x v="3"/>
    <x v="639"/>
    <x v="364"/>
    <n v="16"/>
    <n v="571.36"/>
    <n v="35.71"/>
    <x v="4"/>
    <x v="0"/>
    <x v="8"/>
    <x v="1"/>
    <x v="2"/>
  </r>
  <r>
    <s v="CUST01616"/>
    <n v="43"/>
    <s v="Male"/>
    <s v="Chennai"/>
    <x v="1"/>
    <x v="47"/>
    <x v="723"/>
    <n v="3"/>
    <n v="571.3199999999999"/>
    <n v="190.44"/>
    <x v="1"/>
    <x v="2"/>
    <x v="0"/>
    <x v="1"/>
    <x v="2"/>
  </r>
  <r>
    <s v="CUST00773"/>
    <n v="33"/>
    <s v="Female"/>
    <s v="Mumbai"/>
    <x v="2"/>
    <x v="53"/>
    <x v="4"/>
    <n v="7"/>
    <n v="570.29"/>
    <n v="81.47"/>
    <x v="2"/>
    <x v="1"/>
    <x v="4"/>
    <x v="0"/>
    <x v="2"/>
  </r>
  <r>
    <s v="CUST00943"/>
    <n v="44"/>
    <s v="Female"/>
    <s v="Pune"/>
    <x v="0"/>
    <x v="332"/>
    <x v="319"/>
    <n v="11"/>
    <n v="569.9100000000001"/>
    <n v="51.81"/>
    <x v="2"/>
    <x v="2"/>
    <x v="2"/>
    <x v="0"/>
    <x v="2"/>
  </r>
  <r>
    <s v="CUST00725"/>
    <n v="36"/>
    <s v="Male"/>
    <s v="Mumbai"/>
    <x v="3"/>
    <x v="152"/>
    <x v="687"/>
    <n v="2"/>
    <n v="564.62"/>
    <n v="282.31"/>
    <x v="3"/>
    <x v="2"/>
    <x v="3"/>
    <x v="0"/>
    <x v="2"/>
  </r>
  <r>
    <s v="CUST01967"/>
    <n v="20"/>
    <s v="Male"/>
    <s v="Pune"/>
    <x v="2"/>
    <x v="232"/>
    <x v="578"/>
    <n v="2"/>
    <n v="563.1799999999999"/>
    <n v="281.59"/>
    <x v="1"/>
    <x v="1"/>
    <x v="7"/>
    <x v="1"/>
    <x v="2"/>
  </r>
  <r>
    <s v="CUST01744"/>
    <n v="55"/>
    <s v="Female"/>
    <s v="Chennai"/>
    <x v="0"/>
    <x v="320"/>
    <x v="724"/>
    <n v="2"/>
    <n v="561.22"/>
    <n v="280.61"/>
    <x v="1"/>
    <x v="0"/>
    <x v="8"/>
    <x v="0"/>
    <x v="2"/>
  </r>
  <r>
    <s v="CUST01209"/>
    <n v="51"/>
    <s v="Male"/>
    <s v="Mumbai"/>
    <x v="3"/>
    <x v="230"/>
    <x v="85"/>
    <n v="8"/>
    <n v="557.28"/>
    <n v="69.66"/>
    <x v="3"/>
    <x v="2"/>
    <x v="4"/>
    <x v="1"/>
    <x v="2"/>
  </r>
  <r>
    <s v="CUST01799"/>
    <n v="32"/>
    <s v="Male"/>
    <s v="Kolkata"/>
    <x v="1"/>
    <x v="1"/>
    <x v="725"/>
    <n v="4"/>
    <n v="556.48"/>
    <n v="139.12"/>
    <x v="2"/>
    <x v="0"/>
    <x v="8"/>
    <x v="0"/>
    <x v="2"/>
  </r>
  <r>
    <s v="CUST00044"/>
    <n v="51"/>
    <s v="Female"/>
    <s v="Delhi"/>
    <x v="1"/>
    <x v="319"/>
    <x v="616"/>
    <n v="8"/>
    <n v="554"/>
    <n v="69.25"/>
    <x v="3"/>
    <x v="1"/>
    <x v="5"/>
    <x v="0"/>
    <x v="2"/>
  </r>
  <r>
    <s v="CUST01196"/>
    <n v="19"/>
    <s v="Female"/>
    <s v="Delhi"/>
    <x v="2"/>
    <x v="523"/>
    <x v="581"/>
    <n v="2"/>
    <n v="551.26"/>
    <n v="275.63"/>
    <x v="0"/>
    <x v="1"/>
    <x v="1"/>
    <x v="0"/>
    <x v="2"/>
  </r>
  <r>
    <s v="CUST00538"/>
    <n v="50"/>
    <s v="Female"/>
    <s v="Kolkata"/>
    <x v="1"/>
    <x v="308"/>
    <x v="450"/>
    <n v="3"/>
    <n v="549.48"/>
    <n v="183.16"/>
    <x v="4"/>
    <x v="2"/>
    <x v="9"/>
    <x v="0"/>
    <x v="2"/>
  </r>
  <r>
    <s v="CUST00781"/>
    <n v="40"/>
    <s v="Female"/>
    <s v="Mumbai"/>
    <x v="3"/>
    <x v="545"/>
    <x v="42"/>
    <n v="24"/>
    <n v="545.04"/>
    <n v="22.71"/>
    <x v="2"/>
    <x v="0"/>
    <x v="7"/>
    <x v="0"/>
    <x v="2"/>
  </r>
  <r>
    <s v="CUST00216"/>
    <n v="58"/>
    <s v="Male"/>
    <s v="Delhi"/>
    <x v="1"/>
    <x v="368"/>
    <x v="150"/>
    <n v="25"/>
    <n v="544.75"/>
    <n v="21.79"/>
    <x v="3"/>
    <x v="2"/>
    <x v="3"/>
    <x v="1"/>
    <x v="2"/>
  </r>
  <r>
    <s v="CUST00183"/>
    <n v="42"/>
    <s v="Female"/>
    <s v="Kolkata"/>
    <x v="2"/>
    <x v="156"/>
    <x v="372"/>
    <n v="10"/>
    <n v="541.1999999999999"/>
    <n v="54.12"/>
    <x v="1"/>
    <x v="1"/>
    <x v="6"/>
    <x v="0"/>
    <x v="2"/>
  </r>
  <r>
    <s v="CUST00087"/>
    <n v="58"/>
    <s v="Female"/>
    <s v="Mumbai"/>
    <x v="0"/>
    <x v="505"/>
    <x v="724"/>
    <n v="18"/>
    <n v="540.9"/>
    <n v="30.05"/>
    <x v="2"/>
    <x v="2"/>
    <x v="8"/>
    <x v="1"/>
    <x v="2"/>
  </r>
  <r>
    <s v="CUST01381"/>
    <n v="27"/>
    <s v="Male"/>
    <s v="Bangalore"/>
    <x v="2"/>
    <x v="635"/>
    <x v="57"/>
    <n v="14"/>
    <n v="539.98"/>
    <n v="38.57"/>
    <x v="2"/>
    <x v="1"/>
    <x v="2"/>
    <x v="1"/>
    <x v="2"/>
  </r>
  <r>
    <s v="CUST00404"/>
    <n v="28"/>
    <s v="Female"/>
    <s v="Mumbai"/>
    <x v="3"/>
    <x v="357"/>
    <x v="414"/>
    <n v="2"/>
    <n v="538.86"/>
    <n v="269.43"/>
    <x v="0"/>
    <x v="0"/>
    <x v="6"/>
    <x v="1"/>
    <x v="2"/>
  </r>
  <r>
    <s v="CUST00929"/>
    <n v="42"/>
    <s v="Male"/>
    <s v="Mumbai"/>
    <x v="0"/>
    <x v="137"/>
    <x v="392"/>
    <n v="2"/>
    <n v="538.78"/>
    <n v="269.39"/>
    <x v="1"/>
    <x v="0"/>
    <x v="2"/>
    <x v="0"/>
    <x v="2"/>
  </r>
  <r>
    <s v="CUST00526"/>
    <n v="36"/>
    <s v="Male"/>
    <s v="Mumbai"/>
    <x v="0"/>
    <x v="640"/>
    <x v="726"/>
    <n v="9"/>
    <n v="536.76"/>
    <n v="59.64"/>
    <x v="4"/>
    <x v="0"/>
    <x v="9"/>
    <x v="0"/>
    <x v="2"/>
  </r>
  <r>
    <s v="CUST01164"/>
    <n v="22"/>
    <s v="Male"/>
    <s v="Chennai"/>
    <x v="0"/>
    <x v="585"/>
    <x v="285"/>
    <n v="6"/>
    <n v="531.36"/>
    <n v="88.56"/>
    <x v="2"/>
    <x v="0"/>
    <x v="2"/>
    <x v="0"/>
    <x v="2"/>
  </r>
  <r>
    <s v="CUST00733"/>
    <n v="28"/>
    <s v="Male"/>
    <s v="Pune"/>
    <x v="2"/>
    <x v="586"/>
    <x v="591"/>
    <n v="5"/>
    <n v="529.5"/>
    <n v="105.9"/>
    <x v="1"/>
    <x v="2"/>
    <x v="6"/>
    <x v="0"/>
    <x v="2"/>
  </r>
  <r>
    <s v="CUST00759"/>
    <n v="21"/>
    <s v="Male"/>
    <s v="Bangalore"/>
    <x v="3"/>
    <x v="177"/>
    <x v="723"/>
    <n v="6"/>
    <n v="528.48"/>
    <n v="88.08"/>
    <x v="0"/>
    <x v="0"/>
    <x v="9"/>
    <x v="0"/>
    <x v="2"/>
  </r>
  <r>
    <s v="CUST00975"/>
    <n v="57"/>
    <s v="Male"/>
    <s v="Hyderabad"/>
    <x v="2"/>
    <x v="641"/>
    <x v="181"/>
    <n v="3"/>
    <n v="527.4300000000001"/>
    <n v="175.81"/>
    <x v="2"/>
    <x v="1"/>
    <x v="8"/>
    <x v="0"/>
    <x v="2"/>
  </r>
  <r>
    <s v="CUST01332"/>
    <n v="41"/>
    <s v="Male"/>
    <s v="Bangalore"/>
    <x v="3"/>
    <x v="83"/>
    <x v="727"/>
    <n v="2"/>
    <n v="525.92"/>
    <n v="262.96"/>
    <x v="0"/>
    <x v="2"/>
    <x v="7"/>
    <x v="0"/>
    <x v="2"/>
  </r>
  <r>
    <s v="CUST01768"/>
    <n v="58"/>
    <s v="Male"/>
    <s v="Mumbai"/>
    <x v="0"/>
    <x v="58"/>
    <x v="329"/>
    <n v="23"/>
    <n v="525.78"/>
    <n v="22.86"/>
    <x v="1"/>
    <x v="2"/>
    <x v="1"/>
    <x v="1"/>
    <x v="2"/>
  </r>
  <r>
    <s v="CUST00163"/>
    <n v="63"/>
    <s v="Male"/>
    <s v="Bangalore"/>
    <x v="2"/>
    <x v="604"/>
    <x v="442"/>
    <n v="5"/>
    <n v="525.75"/>
    <n v="105.15"/>
    <x v="3"/>
    <x v="1"/>
    <x v="0"/>
    <x v="1"/>
    <x v="2"/>
  </r>
  <r>
    <s v="CUST00654"/>
    <n v="35"/>
    <s v="Male"/>
    <s v="Chennai"/>
    <x v="0"/>
    <x v="622"/>
    <x v="42"/>
    <n v="9"/>
    <n v="523.8000000000001"/>
    <n v="58.2"/>
    <x v="2"/>
    <x v="2"/>
    <x v="6"/>
    <x v="0"/>
    <x v="2"/>
  </r>
  <r>
    <s v="CUST00455"/>
    <n v="25"/>
    <s v="Male"/>
    <s v="Chennai"/>
    <x v="3"/>
    <x v="345"/>
    <x v="489"/>
    <n v="2"/>
    <n v="523.64"/>
    <n v="261.82"/>
    <x v="4"/>
    <x v="2"/>
    <x v="5"/>
    <x v="0"/>
    <x v="2"/>
  </r>
  <r>
    <s v="CUST00456"/>
    <n v="20"/>
    <s v="Female"/>
    <s v="Chennai"/>
    <x v="1"/>
    <x v="361"/>
    <x v="84"/>
    <n v="4"/>
    <n v="523.3200000000001"/>
    <n v="130.83"/>
    <x v="4"/>
    <x v="2"/>
    <x v="0"/>
    <x v="0"/>
    <x v="2"/>
  </r>
  <r>
    <s v="CUST01219"/>
    <n v="54"/>
    <s v="Female"/>
    <s v="Hyderabad"/>
    <x v="2"/>
    <x v="26"/>
    <x v="728"/>
    <n v="8"/>
    <n v="522.64"/>
    <n v="65.33"/>
    <x v="1"/>
    <x v="0"/>
    <x v="4"/>
    <x v="0"/>
    <x v="2"/>
  </r>
  <r>
    <s v="CUST01814"/>
    <n v="54"/>
    <s v="Male"/>
    <s v="Kolkata"/>
    <x v="1"/>
    <x v="292"/>
    <x v="665"/>
    <n v="16"/>
    <n v="521.76"/>
    <n v="32.61"/>
    <x v="3"/>
    <x v="1"/>
    <x v="8"/>
    <x v="0"/>
    <x v="2"/>
  </r>
  <r>
    <s v="CUST01483"/>
    <n v="33"/>
    <s v="Female"/>
    <s v="Hyderabad"/>
    <x v="1"/>
    <x v="215"/>
    <x v="342"/>
    <n v="2"/>
    <n v="520.38"/>
    <n v="260.19"/>
    <x v="2"/>
    <x v="0"/>
    <x v="6"/>
    <x v="0"/>
    <x v="2"/>
  </r>
  <r>
    <s v="CUST00799"/>
    <n v="42"/>
    <s v="Male"/>
    <s v="Mumbai"/>
    <x v="2"/>
    <x v="499"/>
    <x v="673"/>
    <n v="15"/>
    <n v="520.2"/>
    <n v="34.68"/>
    <x v="1"/>
    <x v="2"/>
    <x v="8"/>
    <x v="1"/>
    <x v="2"/>
  </r>
  <r>
    <s v="CUST01764"/>
    <n v="27"/>
    <s v="Female"/>
    <s v="Mumbai"/>
    <x v="2"/>
    <x v="406"/>
    <x v="424"/>
    <n v="3"/>
    <n v="519.9000000000001"/>
    <n v="173.3"/>
    <x v="4"/>
    <x v="1"/>
    <x v="6"/>
    <x v="0"/>
    <x v="2"/>
  </r>
  <r>
    <s v="CUST00347"/>
    <n v="30"/>
    <s v="Male"/>
    <s v="Kolkata"/>
    <x v="2"/>
    <x v="88"/>
    <x v="729"/>
    <n v="10"/>
    <n v="519.2"/>
    <n v="51.92"/>
    <x v="0"/>
    <x v="2"/>
    <x v="9"/>
    <x v="1"/>
    <x v="2"/>
  </r>
  <r>
    <s v="CUST00389"/>
    <n v="53"/>
    <s v="Female"/>
    <s v="Chennai"/>
    <x v="0"/>
    <x v="608"/>
    <x v="730"/>
    <n v="2"/>
    <n v="516.78"/>
    <n v="258.39"/>
    <x v="4"/>
    <x v="0"/>
    <x v="8"/>
    <x v="0"/>
    <x v="2"/>
  </r>
  <r>
    <s v="CUST01570"/>
    <n v="46"/>
    <s v="Female"/>
    <s v="Hyderabad"/>
    <x v="1"/>
    <x v="76"/>
    <x v="148"/>
    <n v="6"/>
    <n v="515.28"/>
    <n v="85.88"/>
    <x v="0"/>
    <x v="0"/>
    <x v="5"/>
    <x v="0"/>
    <x v="2"/>
  </r>
  <r>
    <s v="CUST00020"/>
    <n v="45"/>
    <s v="Male"/>
    <s v="Bangalore"/>
    <x v="3"/>
    <x v="642"/>
    <x v="423"/>
    <n v="7"/>
    <n v="512.8200000000001"/>
    <n v="73.26000000000001"/>
    <x v="1"/>
    <x v="2"/>
    <x v="2"/>
    <x v="0"/>
    <x v="2"/>
  </r>
  <r>
    <s v="CUST01681"/>
    <n v="46"/>
    <s v="Female"/>
    <s v="Hyderabad"/>
    <x v="3"/>
    <x v="483"/>
    <x v="74"/>
    <n v="5"/>
    <n v="511.75"/>
    <n v="102.35"/>
    <x v="4"/>
    <x v="1"/>
    <x v="5"/>
    <x v="0"/>
    <x v="2"/>
  </r>
  <r>
    <s v="CUST01823"/>
    <n v="28"/>
    <s v="Male"/>
    <s v="Pune"/>
    <x v="0"/>
    <x v="360"/>
    <x v="731"/>
    <n v="6"/>
    <n v="511.74"/>
    <n v="85.29000000000001"/>
    <x v="4"/>
    <x v="2"/>
    <x v="9"/>
    <x v="1"/>
    <x v="2"/>
  </r>
  <r>
    <s v="CUST00037"/>
    <n v="34"/>
    <s v="Male"/>
    <s v="Chennai"/>
    <x v="3"/>
    <x v="263"/>
    <x v="484"/>
    <n v="4"/>
    <n v="511.44"/>
    <n v="127.86"/>
    <x v="3"/>
    <x v="0"/>
    <x v="3"/>
    <x v="0"/>
    <x v="2"/>
  </r>
  <r>
    <s v="CUST01976"/>
    <n v="48"/>
    <s v="Female"/>
    <s v="Delhi"/>
    <x v="3"/>
    <x v="493"/>
    <x v="106"/>
    <n v="11"/>
    <n v="510.62"/>
    <n v="46.42"/>
    <x v="0"/>
    <x v="1"/>
    <x v="3"/>
    <x v="0"/>
    <x v="2"/>
  </r>
  <r>
    <s v="CUST01337"/>
    <n v="32"/>
    <s v="Male"/>
    <s v="Kolkata"/>
    <x v="1"/>
    <x v="372"/>
    <x v="659"/>
    <n v="16"/>
    <n v="509.92"/>
    <n v="31.87"/>
    <x v="0"/>
    <x v="1"/>
    <x v="9"/>
    <x v="0"/>
    <x v="2"/>
  </r>
  <r>
    <s v="CUST01112"/>
    <n v="34"/>
    <s v="Male"/>
    <s v="Pune"/>
    <x v="2"/>
    <x v="387"/>
    <x v="600"/>
    <n v="11"/>
    <n v="509.85"/>
    <n v="46.35"/>
    <x v="3"/>
    <x v="0"/>
    <x v="1"/>
    <x v="0"/>
    <x v="2"/>
  </r>
  <r>
    <s v="CUST00638"/>
    <n v="42"/>
    <s v="Female"/>
    <s v="Hyderabad"/>
    <x v="0"/>
    <x v="532"/>
    <x v="732"/>
    <n v="4"/>
    <n v="509.68"/>
    <n v="127.42"/>
    <x v="3"/>
    <x v="2"/>
    <x v="3"/>
    <x v="0"/>
    <x v="2"/>
  </r>
  <r>
    <s v="CUST00449"/>
    <n v="42"/>
    <s v="Female"/>
    <s v="Chennai"/>
    <x v="3"/>
    <x v="643"/>
    <x v="87"/>
    <n v="10"/>
    <n v="509"/>
    <n v="50.9"/>
    <x v="1"/>
    <x v="1"/>
    <x v="6"/>
    <x v="0"/>
    <x v="2"/>
  </r>
  <r>
    <s v="CUST00885"/>
    <n v="40"/>
    <s v="Female"/>
    <s v="Mumbai"/>
    <x v="2"/>
    <x v="381"/>
    <x v="488"/>
    <n v="10"/>
    <n v="508.1"/>
    <n v="50.81"/>
    <x v="3"/>
    <x v="2"/>
    <x v="6"/>
    <x v="0"/>
    <x v="2"/>
  </r>
  <r>
    <s v="CUST01945"/>
    <n v="38"/>
    <s v="Female"/>
    <s v="Delhi"/>
    <x v="2"/>
    <x v="537"/>
    <x v="162"/>
    <n v="23"/>
    <n v="505.77"/>
    <n v="21.99"/>
    <x v="4"/>
    <x v="1"/>
    <x v="0"/>
    <x v="0"/>
    <x v="2"/>
  </r>
  <r>
    <s v="CUST00265"/>
    <n v="59"/>
    <s v="Male"/>
    <s v="Hyderabad"/>
    <x v="2"/>
    <x v="410"/>
    <x v="619"/>
    <n v="3"/>
    <n v="505.62"/>
    <n v="168.54"/>
    <x v="1"/>
    <x v="0"/>
    <x v="5"/>
    <x v="1"/>
    <x v="2"/>
  </r>
  <r>
    <s v="CUST00859"/>
    <n v="22"/>
    <s v="Female"/>
    <s v="Bangalore"/>
    <x v="3"/>
    <x v="29"/>
    <x v="733"/>
    <n v="9"/>
    <n v="503.82"/>
    <n v="55.98"/>
    <x v="1"/>
    <x v="1"/>
    <x v="2"/>
    <x v="0"/>
    <x v="2"/>
  </r>
  <r>
    <s v="CUST00753"/>
    <n v="33"/>
    <s v="Male"/>
    <s v="Kolkata"/>
    <x v="3"/>
    <x v="615"/>
    <x v="734"/>
    <n v="2"/>
    <n v="500.12"/>
    <n v="250.06"/>
    <x v="3"/>
    <x v="0"/>
    <x v="2"/>
    <x v="0"/>
    <x v="2"/>
  </r>
  <r>
    <s v="CUST01564"/>
    <n v="61"/>
    <s v="Male"/>
    <s v="Delhi"/>
    <x v="3"/>
    <x v="481"/>
    <x v="476"/>
    <n v="6"/>
    <n v="496.2"/>
    <n v="82.7"/>
    <x v="4"/>
    <x v="2"/>
    <x v="9"/>
    <x v="0"/>
    <x v="2"/>
  </r>
  <r>
    <s v="CUST00854"/>
    <n v="63"/>
    <s v="Male"/>
    <s v="Kolkata"/>
    <x v="1"/>
    <x v="383"/>
    <x v="713"/>
    <n v="3"/>
    <n v="495.87"/>
    <n v="165.29"/>
    <x v="3"/>
    <x v="2"/>
    <x v="4"/>
    <x v="0"/>
    <x v="2"/>
  </r>
  <r>
    <s v="CUST00164"/>
    <n v="52"/>
    <s v="Male"/>
    <s v="Pune"/>
    <x v="1"/>
    <x v="299"/>
    <x v="735"/>
    <n v="9"/>
    <n v="495.45"/>
    <n v="55.05"/>
    <x v="0"/>
    <x v="0"/>
    <x v="5"/>
    <x v="0"/>
    <x v="2"/>
  </r>
  <r>
    <s v="CUST00203"/>
    <n v="19"/>
    <s v="Male"/>
    <s v="Mumbai"/>
    <x v="0"/>
    <x v="437"/>
    <x v="736"/>
    <n v="2"/>
    <n v="493.32"/>
    <n v="246.66"/>
    <x v="3"/>
    <x v="0"/>
    <x v="6"/>
    <x v="0"/>
    <x v="2"/>
  </r>
  <r>
    <s v="CUST01460"/>
    <n v="22"/>
    <s v="Female"/>
    <s v="Delhi"/>
    <x v="3"/>
    <x v="188"/>
    <x v="558"/>
    <n v="5"/>
    <n v="492.95"/>
    <n v="98.59"/>
    <x v="4"/>
    <x v="0"/>
    <x v="1"/>
    <x v="0"/>
    <x v="2"/>
  </r>
  <r>
    <s v="CUST00337"/>
    <n v="26"/>
    <s v="Male"/>
    <s v="Bangalore"/>
    <x v="3"/>
    <x v="383"/>
    <x v="491"/>
    <n v="14"/>
    <n v="491.96"/>
    <n v="35.14"/>
    <x v="0"/>
    <x v="1"/>
    <x v="5"/>
    <x v="0"/>
    <x v="2"/>
  </r>
  <r>
    <s v="CUST00471"/>
    <n v="37"/>
    <s v="Male"/>
    <s v="Bangalore"/>
    <x v="1"/>
    <x v="30"/>
    <x v="80"/>
    <n v="20"/>
    <n v="491.2"/>
    <n v="24.56"/>
    <x v="1"/>
    <x v="1"/>
    <x v="6"/>
    <x v="1"/>
    <x v="2"/>
  </r>
  <r>
    <s v="CUST00922"/>
    <n v="30"/>
    <s v="Female"/>
    <s v="Delhi"/>
    <x v="0"/>
    <x v="352"/>
    <x v="109"/>
    <n v="2"/>
    <n v="489.88"/>
    <n v="244.94"/>
    <x v="3"/>
    <x v="1"/>
    <x v="4"/>
    <x v="0"/>
    <x v="2"/>
  </r>
  <r>
    <s v="CUST01696"/>
    <n v="52"/>
    <s v="Female"/>
    <s v="Chennai"/>
    <x v="0"/>
    <x v="365"/>
    <x v="237"/>
    <n v="14"/>
    <n v="489.72"/>
    <n v="34.98"/>
    <x v="2"/>
    <x v="0"/>
    <x v="4"/>
    <x v="0"/>
    <x v="2"/>
  </r>
  <r>
    <s v="CUST01174"/>
    <n v="25"/>
    <s v="Male"/>
    <s v="Bangalore"/>
    <x v="3"/>
    <x v="458"/>
    <x v="479"/>
    <n v="5"/>
    <n v="489.65"/>
    <n v="97.93000000000001"/>
    <x v="2"/>
    <x v="0"/>
    <x v="6"/>
    <x v="0"/>
    <x v="2"/>
  </r>
  <r>
    <s v="CUST00972"/>
    <n v="35"/>
    <s v="Female"/>
    <s v="Delhi"/>
    <x v="0"/>
    <x v="404"/>
    <x v="241"/>
    <n v="2"/>
    <n v="489.52"/>
    <n v="244.76"/>
    <x v="2"/>
    <x v="2"/>
    <x v="4"/>
    <x v="0"/>
    <x v="2"/>
  </r>
  <r>
    <s v="CUST00954"/>
    <n v="26"/>
    <s v="Female"/>
    <s v="Chennai"/>
    <x v="1"/>
    <x v="79"/>
    <x v="475"/>
    <n v="2"/>
    <n v="488.76"/>
    <n v="244.38"/>
    <x v="2"/>
    <x v="1"/>
    <x v="3"/>
    <x v="0"/>
    <x v="2"/>
  </r>
  <r>
    <s v="CUST01547"/>
    <n v="42"/>
    <s v="Male"/>
    <s v="Delhi"/>
    <x v="0"/>
    <x v="359"/>
    <x v="330"/>
    <n v="13"/>
    <n v="487.89"/>
    <n v="37.53"/>
    <x v="1"/>
    <x v="0"/>
    <x v="9"/>
    <x v="1"/>
    <x v="2"/>
  </r>
  <r>
    <s v="CUST00766"/>
    <n v="29"/>
    <s v="Female"/>
    <s v="Kolkata"/>
    <x v="1"/>
    <x v="404"/>
    <x v="46"/>
    <n v="6"/>
    <n v="487.8"/>
    <n v="81.3"/>
    <x v="1"/>
    <x v="2"/>
    <x v="6"/>
    <x v="0"/>
    <x v="2"/>
  </r>
  <r>
    <s v="CUST01118"/>
    <n v="62"/>
    <s v="Female"/>
    <s v="Mumbai"/>
    <x v="0"/>
    <x v="6"/>
    <x v="476"/>
    <n v="15"/>
    <n v="486.9"/>
    <n v="32.46"/>
    <x v="4"/>
    <x v="1"/>
    <x v="3"/>
    <x v="0"/>
    <x v="2"/>
  </r>
  <r>
    <s v="CUST01804"/>
    <n v="48"/>
    <s v="Female"/>
    <s v="Delhi"/>
    <x v="0"/>
    <x v="494"/>
    <x v="588"/>
    <n v="3"/>
    <n v="486.12"/>
    <n v="162.04"/>
    <x v="0"/>
    <x v="1"/>
    <x v="6"/>
    <x v="0"/>
    <x v="2"/>
  </r>
  <r>
    <s v="CUST00280"/>
    <n v="41"/>
    <s v="Male"/>
    <s v="Bangalore"/>
    <x v="2"/>
    <x v="204"/>
    <x v="119"/>
    <n v="11"/>
    <n v="486.09"/>
    <n v="44.19"/>
    <x v="0"/>
    <x v="2"/>
    <x v="2"/>
    <x v="0"/>
    <x v="2"/>
  </r>
  <r>
    <s v="CUST00057"/>
    <n v="44"/>
    <s v="Female"/>
    <s v="Delhi"/>
    <x v="3"/>
    <x v="197"/>
    <x v="709"/>
    <n v="3"/>
    <n v="485.01"/>
    <n v="161.67"/>
    <x v="4"/>
    <x v="0"/>
    <x v="2"/>
    <x v="0"/>
    <x v="2"/>
  </r>
  <r>
    <s v="CUST01286"/>
    <n v="29"/>
    <s v="Female"/>
    <s v="Bangalore"/>
    <x v="1"/>
    <x v="560"/>
    <x v="681"/>
    <n v="8"/>
    <n v="483.44"/>
    <n v="60.43"/>
    <x v="4"/>
    <x v="0"/>
    <x v="6"/>
    <x v="0"/>
    <x v="2"/>
  </r>
  <r>
    <s v="CUST01610"/>
    <n v="34"/>
    <s v="Female"/>
    <s v="Pune"/>
    <x v="3"/>
    <x v="326"/>
    <x v="26"/>
    <n v="7"/>
    <n v="479.5700000000001"/>
    <n v="68.51000000000001"/>
    <x v="0"/>
    <x v="0"/>
    <x v="3"/>
    <x v="0"/>
    <x v="2"/>
  </r>
  <r>
    <s v="CUST00520"/>
    <n v="46"/>
    <s v="Female"/>
    <s v="Mumbai"/>
    <x v="2"/>
    <x v="399"/>
    <x v="268"/>
    <n v="3"/>
    <n v="477.54"/>
    <n v="159.18"/>
    <x v="1"/>
    <x v="2"/>
    <x v="9"/>
    <x v="0"/>
    <x v="2"/>
  </r>
  <r>
    <s v="CUST01229"/>
    <n v="35"/>
    <s v="Male"/>
    <s v="Hyderabad"/>
    <x v="0"/>
    <x v="644"/>
    <x v="479"/>
    <n v="12"/>
    <n v="477"/>
    <n v="39.75"/>
    <x v="0"/>
    <x v="0"/>
    <x v="5"/>
    <x v="0"/>
    <x v="2"/>
  </r>
  <r>
    <s v="CUST00450"/>
    <n v="36"/>
    <s v="Female"/>
    <s v="Mumbai"/>
    <x v="3"/>
    <x v="327"/>
    <x v="80"/>
    <n v="18"/>
    <n v="471.6"/>
    <n v="26.2"/>
    <x v="3"/>
    <x v="2"/>
    <x v="8"/>
    <x v="0"/>
    <x v="2"/>
  </r>
  <r>
    <s v="CUST00246"/>
    <n v="57"/>
    <s v="Male"/>
    <s v="Kolkata"/>
    <x v="2"/>
    <x v="196"/>
    <x v="136"/>
    <n v="4"/>
    <n v="469.68"/>
    <n v="117.42"/>
    <x v="0"/>
    <x v="0"/>
    <x v="8"/>
    <x v="0"/>
    <x v="2"/>
  </r>
  <r>
    <s v="CUST01500"/>
    <n v="60"/>
    <s v="Male"/>
    <s v="Kolkata"/>
    <x v="0"/>
    <x v="240"/>
    <x v="362"/>
    <n v="2"/>
    <n v="468.68"/>
    <n v="234.34"/>
    <x v="3"/>
    <x v="1"/>
    <x v="5"/>
    <x v="0"/>
    <x v="2"/>
  </r>
  <r>
    <s v="CUST00960"/>
    <n v="31"/>
    <s v="Female"/>
    <s v="Hyderabad"/>
    <x v="2"/>
    <x v="317"/>
    <x v="576"/>
    <n v="3"/>
    <n v="468.66"/>
    <n v="156.22"/>
    <x v="2"/>
    <x v="2"/>
    <x v="5"/>
    <x v="0"/>
    <x v="2"/>
  </r>
  <r>
    <s v="CUST01455"/>
    <n v="48"/>
    <s v="Male"/>
    <s v="Chennai"/>
    <x v="1"/>
    <x v="355"/>
    <x v="197"/>
    <n v="7"/>
    <n v="468.37"/>
    <n v="66.91"/>
    <x v="2"/>
    <x v="0"/>
    <x v="2"/>
    <x v="0"/>
    <x v="2"/>
  </r>
  <r>
    <s v="CUST01014"/>
    <n v="43"/>
    <s v="Female"/>
    <s v="Mumbai"/>
    <x v="1"/>
    <x v="161"/>
    <x v="550"/>
    <n v="13"/>
    <n v="462.54"/>
    <n v="35.58"/>
    <x v="0"/>
    <x v="1"/>
    <x v="4"/>
    <x v="1"/>
    <x v="2"/>
  </r>
  <r>
    <s v="CUST00514"/>
    <n v="58"/>
    <s v="Male"/>
    <s v="Delhi"/>
    <x v="1"/>
    <x v="97"/>
    <x v="346"/>
    <n v="14"/>
    <n v="458.36"/>
    <n v="32.74"/>
    <x v="4"/>
    <x v="1"/>
    <x v="8"/>
    <x v="0"/>
    <x v="2"/>
  </r>
  <r>
    <s v="CUST00125"/>
    <n v="27"/>
    <s v="Male"/>
    <s v="Mumbai"/>
    <x v="3"/>
    <x v="198"/>
    <x v="518"/>
    <n v="5"/>
    <n v="458.35"/>
    <n v="91.67"/>
    <x v="2"/>
    <x v="0"/>
    <x v="4"/>
    <x v="1"/>
    <x v="2"/>
  </r>
  <r>
    <s v="CUST01388"/>
    <n v="25"/>
    <s v="Female"/>
    <s v="Kolkata"/>
    <x v="3"/>
    <x v="64"/>
    <x v="451"/>
    <n v="5"/>
    <n v="456.6"/>
    <n v="91.31999999999999"/>
    <x v="3"/>
    <x v="2"/>
    <x v="0"/>
    <x v="1"/>
    <x v="2"/>
  </r>
  <r>
    <s v="CUST00531"/>
    <n v="40"/>
    <s v="Female"/>
    <s v="Hyderabad"/>
    <x v="1"/>
    <x v="605"/>
    <x v="200"/>
    <n v="16"/>
    <n v="455.52"/>
    <n v="28.47"/>
    <x v="4"/>
    <x v="1"/>
    <x v="4"/>
    <x v="0"/>
    <x v="2"/>
  </r>
  <r>
    <s v="CUST00785"/>
    <n v="42"/>
    <s v="Female"/>
    <s v="Mumbai"/>
    <x v="1"/>
    <x v="4"/>
    <x v="223"/>
    <n v="6"/>
    <n v="454.32"/>
    <n v="75.72"/>
    <x v="4"/>
    <x v="0"/>
    <x v="3"/>
    <x v="0"/>
    <x v="2"/>
  </r>
  <r>
    <s v="CUST00965"/>
    <n v="63"/>
    <s v="Female"/>
    <s v="Hyderabad"/>
    <x v="0"/>
    <x v="79"/>
    <x v="479"/>
    <n v="6"/>
    <n v="452.46"/>
    <n v="75.41"/>
    <x v="0"/>
    <x v="0"/>
    <x v="1"/>
    <x v="0"/>
    <x v="2"/>
  </r>
  <r>
    <s v="CUST00292"/>
    <n v="29"/>
    <s v="Female"/>
    <s v="Mumbai"/>
    <x v="1"/>
    <x v="645"/>
    <x v="683"/>
    <n v="16"/>
    <n v="452"/>
    <n v="28.25"/>
    <x v="4"/>
    <x v="1"/>
    <x v="2"/>
    <x v="0"/>
    <x v="2"/>
  </r>
  <r>
    <s v="CUST01212"/>
    <n v="44"/>
    <s v="Male"/>
    <s v="Pune"/>
    <x v="3"/>
    <x v="563"/>
    <x v="137"/>
    <n v="2"/>
    <n v="451.56"/>
    <n v="225.78"/>
    <x v="0"/>
    <x v="0"/>
    <x v="3"/>
    <x v="1"/>
    <x v="2"/>
  </r>
  <r>
    <s v="CUST01628"/>
    <n v="51"/>
    <s v="Male"/>
    <s v="Bangalore"/>
    <x v="2"/>
    <x v="317"/>
    <x v="576"/>
    <n v="8"/>
    <n v="451.2"/>
    <n v="56.4"/>
    <x v="4"/>
    <x v="2"/>
    <x v="6"/>
    <x v="0"/>
    <x v="2"/>
  </r>
  <r>
    <s v="CUST00415"/>
    <n v="27"/>
    <s v="Female"/>
    <s v="Pune"/>
    <x v="3"/>
    <x v="120"/>
    <x v="604"/>
    <n v="21"/>
    <n v="451.08"/>
    <n v="21.48"/>
    <x v="3"/>
    <x v="2"/>
    <x v="1"/>
    <x v="1"/>
    <x v="2"/>
  </r>
  <r>
    <s v="CUST00190"/>
    <n v="59"/>
    <s v="Female"/>
    <s v="Chennai"/>
    <x v="1"/>
    <x v="646"/>
    <x v="691"/>
    <n v="4"/>
    <n v="450.36"/>
    <n v="112.59"/>
    <x v="3"/>
    <x v="0"/>
    <x v="9"/>
    <x v="0"/>
    <x v="2"/>
  </r>
  <r>
    <s v="CUST00736"/>
    <n v="19"/>
    <s v="Female"/>
    <s v="Pune"/>
    <x v="0"/>
    <x v="303"/>
    <x v="40"/>
    <n v="16"/>
    <n v="449.44"/>
    <n v="28.09"/>
    <x v="1"/>
    <x v="0"/>
    <x v="5"/>
    <x v="0"/>
    <x v="2"/>
  </r>
  <r>
    <s v="CUST00903"/>
    <n v="27"/>
    <s v="Male"/>
    <s v="Kolkata"/>
    <x v="0"/>
    <x v="381"/>
    <x v="294"/>
    <n v="5"/>
    <n v="447.7"/>
    <n v="89.54000000000001"/>
    <x v="3"/>
    <x v="0"/>
    <x v="9"/>
    <x v="1"/>
    <x v="2"/>
  </r>
  <r>
    <s v="CUST00682"/>
    <n v="48"/>
    <s v="Female"/>
    <s v="Chennai"/>
    <x v="2"/>
    <x v="93"/>
    <x v="737"/>
    <n v="3"/>
    <n v="446.61"/>
    <n v="148.87"/>
    <x v="0"/>
    <x v="0"/>
    <x v="6"/>
    <x v="0"/>
    <x v="2"/>
  </r>
  <r>
    <s v="CUST00009"/>
    <n v="34"/>
    <s v="Female"/>
    <s v="Pune"/>
    <x v="3"/>
    <x v="26"/>
    <x v="738"/>
    <n v="5"/>
    <n v="445.3"/>
    <n v="89.06"/>
    <x v="4"/>
    <x v="2"/>
    <x v="5"/>
    <x v="0"/>
    <x v="2"/>
  </r>
  <r>
    <s v="CUST00054"/>
    <n v="54"/>
    <s v="Male"/>
    <s v="Hyderabad"/>
    <x v="2"/>
    <x v="491"/>
    <x v="143"/>
    <n v="8"/>
    <n v="442.72"/>
    <n v="55.34"/>
    <x v="4"/>
    <x v="2"/>
    <x v="4"/>
    <x v="0"/>
    <x v="2"/>
  </r>
  <r>
    <s v="CUST00734"/>
    <n v="38"/>
    <s v="Female"/>
    <s v="Hyderabad"/>
    <x v="0"/>
    <x v="138"/>
    <x v="21"/>
    <n v="4"/>
    <n v="438.44"/>
    <n v="109.61"/>
    <x v="3"/>
    <x v="2"/>
    <x v="0"/>
    <x v="0"/>
    <x v="2"/>
  </r>
  <r>
    <s v="CUST00237"/>
    <n v="55"/>
    <s v="Female"/>
    <s v="Pune"/>
    <x v="3"/>
    <x v="494"/>
    <x v="739"/>
    <n v="3"/>
    <n v="437.22"/>
    <n v="145.74"/>
    <x v="0"/>
    <x v="2"/>
    <x v="9"/>
    <x v="0"/>
    <x v="2"/>
  </r>
  <r>
    <s v="CUST00986"/>
    <n v="50"/>
    <s v="Female"/>
    <s v="Delhi"/>
    <x v="3"/>
    <x v="647"/>
    <x v="50"/>
    <n v="7"/>
    <n v="435.19"/>
    <n v="62.17"/>
    <x v="4"/>
    <x v="1"/>
    <x v="8"/>
    <x v="0"/>
    <x v="2"/>
  </r>
  <r>
    <s v="CUST00521"/>
    <n v="48"/>
    <s v="Male"/>
    <s v="Mumbai"/>
    <x v="2"/>
    <x v="253"/>
    <x v="179"/>
    <n v="3"/>
    <n v="432.78"/>
    <n v="144.26"/>
    <x v="2"/>
    <x v="0"/>
    <x v="3"/>
    <x v="1"/>
    <x v="2"/>
  </r>
  <r>
    <s v="CUST00916"/>
    <n v="22"/>
    <s v="Female"/>
    <s v="Kolkata"/>
    <x v="1"/>
    <x v="565"/>
    <x v="740"/>
    <n v="2"/>
    <n v="432.78"/>
    <n v="216.39"/>
    <x v="3"/>
    <x v="2"/>
    <x v="9"/>
    <x v="0"/>
    <x v="2"/>
  </r>
  <r>
    <s v="CUST01669"/>
    <n v="24"/>
    <s v="Male"/>
    <s v="Kolkata"/>
    <x v="2"/>
    <x v="485"/>
    <x v="423"/>
    <n v="3"/>
    <n v="432"/>
    <n v="144"/>
    <x v="0"/>
    <x v="2"/>
    <x v="7"/>
    <x v="0"/>
    <x v="2"/>
  </r>
  <r>
    <s v="CUST00160"/>
    <n v="41"/>
    <s v="Female"/>
    <s v="Hyderabad"/>
    <x v="1"/>
    <x v="238"/>
    <x v="741"/>
    <n v="5"/>
    <n v="431.45"/>
    <n v="86.29000000000001"/>
    <x v="0"/>
    <x v="2"/>
    <x v="8"/>
    <x v="0"/>
    <x v="2"/>
  </r>
  <r>
    <s v="CUST00345"/>
    <n v="42"/>
    <s v="Male"/>
    <s v="Pune"/>
    <x v="2"/>
    <x v="205"/>
    <x v="39"/>
    <n v="2"/>
    <n v="426.26"/>
    <n v="213.13"/>
    <x v="2"/>
    <x v="0"/>
    <x v="5"/>
    <x v="0"/>
    <x v="2"/>
  </r>
  <r>
    <s v="CUST00090"/>
    <n v="47"/>
    <s v="Female"/>
    <s v="Chennai"/>
    <x v="0"/>
    <x v="570"/>
    <x v="147"/>
    <n v="5"/>
    <n v="425.05"/>
    <n v="85.01000000000001"/>
    <x v="2"/>
    <x v="1"/>
    <x v="3"/>
    <x v="0"/>
    <x v="2"/>
  </r>
  <r>
    <s v="CUST01740"/>
    <n v="58"/>
    <s v="Male"/>
    <s v="Hyderabad"/>
    <x v="2"/>
    <x v="63"/>
    <x v="702"/>
    <n v="2"/>
    <n v="424.56"/>
    <n v="212.28"/>
    <x v="1"/>
    <x v="1"/>
    <x v="1"/>
    <x v="1"/>
    <x v="2"/>
  </r>
  <r>
    <s v="CUST00136"/>
    <n v="57"/>
    <s v="Male"/>
    <s v="Chennai"/>
    <x v="3"/>
    <x v="648"/>
    <x v="20"/>
    <n v="6"/>
    <n v="423.84"/>
    <n v="70.64"/>
    <x v="3"/>
    <x v="1"/>
    <x v="9"/>
    <x v="0"/>
    <x v="2"/>
  </r>
  <r>
    <s v="CUST00483"/>
    <n v="52"/>
    <s v="Male"/>
    <s v="Mumbai"/>
    <x v="2"/>
    <x v="401"/>
    <x v="45"/>
    <n v="16"/>
    <n v="421.92"/>
    <n v="26.37"/>
    <x v="0"/>
    <x v="1"/>
    <x v="4"/>
    <x v="0"/>
    <x v="2"/>
  </r>
  <r>
    <s v="CUST01113"/>
    <n v="34"/>
    <s v="Female"/>
    <s v="Chennai"/>
    <x v="0"/>
    <x v="649"/>
    <x v="742"/>
    <n v="13"/>
    <n v="419.9"/>
    <n v="32.3"/>
    <x v="0"/>
    <x v="2"/>
    <x v="2"/>
    <x v="0"/>
    <x v="2"/>
  </r>
  <r>
    <s v="CUST00812"/>
    <n v="28"/>
    <s v="Male"/>
    <s v="Mumbai"/>
    <x v="3"/>
    <x v="198"/>
    <x v="635"/>
    <n v="3"/>
    <n v="418.05"/>
    <n v="139.35"/>
    <x v="1"/>
    <x v="0"/>
    <x v="0"/>
    <x v="0"/>
    <x v="2"/>
  </r>
  <r>
    <s v="CUST01663"/>
    <n v="22"/>
    <s v="Male"/>
    <s v="Bangalore"/>
    <x v="0"/>
    <x v="347"/>
    <x v="580"/>
    <n v="3"/>
    <n v="416.9399999999999"/>
    <n v="138.98"/>
    <x v="1"/>
    <x v="2"/>
    <x v="4"/>
    <x v="0"/>
    <x v="2"/>
  </r>
  <r>
    <s v="CUST00853"/>
    <n v="52"/>
    <s v="Male"/>
    <s v="Hyderabad"/>
    <x v="0"/>
    <x v="343"/>
    <x v="615"/>
    <n v="11"/>
    <n v="415.58"/>
    <n v="37.78"/>
    <x v="2"/>
    <x v="0"/>
    <x v="3"/>
    <x v="0"/>
    <x v="2"/>
  </r>
  <r>
    <s v="CUST01574"/>
    <n v="19"/>
    <s v="Female"/>
    <s v="Kolkata"/>
    <x v="3"/>
    <x v="63"/>
    <x v="743"/>
    <n v="12"/>
    <n v="414.24"/>
    <n v="34.52"/>
    <x v="2"/>
    <x v="0"/>
    <x v="4"/>
    <x v="0"/>
    <x v="2"/>
  </r>
  <r>
    <s v="CUST01115"/>
    <n v="21"/>
    <s v="Female"/>
    <s v="Chennai"/>
    <x v="0"/>
    <x v="155"/>
    <x v="744"/>
    <n v="3"/>
    <n v="412.4399999999999"/>
    <n v="137.48"/>
    <x v="4"/>
    <x v="2"/>
    <x v="3"/>
    <x v="0"/>
    <x v="2"/>
  </r>
  <r>
    <s v="CUST01265"/>
    <n v="48"/>
    <s v="Male"/>
    <s v="Kolkata"/>
    <x v="0"/>
    <x v="12"/>
    <x v="11"/>
    <n v="13"/>
    <n v="411.45"/>
    <n v="31.65"/>
    <x v="4"/>
    <x v="0"/>
    <x v="4"/>
    <x v="1"/>
    <x v="2"/>
  </r>
  <r>
    <s v="CUST00643"/>
    <n v="59"/>
    <s v="Female"/>
    <s v="Pune"/>
    <x v="0"/>
    <x v="475"/>
    <x v="153"/>
    <n v="2"/>
    <n v="410.3"/>
    <n v="205.15"/>
    <x v="3"/>
    <x v="1"/>
    <x v="8"/>
    <x v="0"/>
    <x v="2"/>
  </r>
  <r>
    <s v="CUST01143"/>
    <n v="41"/>
    <s v="Female"/>
    <s v="Hyderabad"/>
    <x v="2"/>
    <x v="274"/>
    <x v="308"/>
    <n v="12"/>
    <n v="408.24"/>
    <n v="34.02"/>
    <x v="4"/>
    <x v="2"/>
    <x v="3"/>
    <x v="0"/>
    <x v="2"/>
  </r>
  <r>
    <s v="CUST00021"/>
    <n v="18"/>
    <s v="Male"/>
    <s v="Kolkata"/>
    <x v="1"/>
    <x v="140"/>
    <x v="525"/>
    <n v="2"/>
    <n v="405.2"/>
    <n v="202.6"/>
    <x v="1"/>
    <x v="1"/>
    <x v="2"/>
    <x v="0"/>
    <x v="2"/>
  </r>
  <r>
    <s v="CUST00880"/>
    <n v="21"/>
    <s v="Female"/>
    <s v="Hyderabad"/>
    <x v="0"/>
    <x v="43"/>
    <x v="26"/>
    <n v="17"/>
    <n v="404.94"/>
    <n v="23.82"/>
    <x v="2"/>
    <x v="1"/>
    <x v="1"/>
    <x v="0"/>
    <x v="2"/>
  </r>
  <r>
    <s v="CUST00385"/>
    <n v="56"/>
    <s v="Male"/>
    <s v="Bangalore"/>
    <x v="3"/>
    <x v="153"/>
    <x v="519"/>
    <n v="4"/>
    <n v="404.64"/>
    <n v="101.16"/>
    <x v="2"/>
    <x v="1"/>
    <x v="6"/>
    <x v="0"/>
    <x v="2"/>
  </r>
  <r>
    <s v="CUST00589"/>
    <n v="59"/>
    <s v="Male"/>
    <s v="Delhi"/>
    <x v="3"/>
    <x v="443"/>
    <x v="417"/>
    <n v="7"/>
    <n v="400.12"/>
    <n v="57.16"/>
    <x v="4"/>
    <x v="2"/>
    <x v="2"/>
    <x v="0"/>
    <x v="2"/>
  </r>
  <r>
    <s v="CUST01340"/>
    <n v="57"/>
    <s v="Female"/>
    <s v="Bangalore"/>
    <x v="2"/>
    <x v="546"/>
    <x v="447"/>
    <n v="18"/>
    <n v="397.08"/>
    <n v="22.06"/>
    <x v="0"/>
    <x v="1"/>
    <x v="5"/>
    <x v="0"/>
    <x v="2"/>
  </r>
  <r>
    <s v="CUST00811"/>
    <n v="31"/>
    <s v="Male"/>
    <s v="Delhi"/>
    <x v="1"/>
    <x v="397"/>
    <x v="273"/>
    <n v="2"/>
    <n v="395.24"/>
    <n v="197.62"/>
    <x v="0"/>
    <x v="0"/>
    <x v="0"/>
    <x v="1"/>
    <x v="2"/>
  </r>
  <r>
    <s v="CUST01819"/>
    <n v="48"/>
    <s v="Male"/>
    <s v="Delhi"/>
    <x v="1"/>
    <x v="650"/>
    <x v="745"/>
    <n v="13"/>
    <n v="392.21"/>
    <n v="30.17"/>
    <x v="2"/>
    <x v="1"/>
    <x v="2"/>
    <x v="0"/>
    <x v="2"/>
  </r>
  <r>
    <s v="CUST00272"/>
    <n v="31"/>
    <s v="Male"/>
    <s v="Pune"/>
    <x v="2"/>
    <x v="64"/>
    <x v="573"/>
    <n v="9"/>
    <n v="390.6899999999999"/>
    <n v="43.41"/>
    <x v="2"/>
    <x v="0"/>
    <x v="8"/>
    <x v="1"/>
    <x v="2"/>
  </r>
  <r>
    <s v="CUST00897"/>
    <n v="40"/>
    <s v="Male"/>
    <s v="Chennai"/>
    <x v="2"/>
    <x v="226"/>
    <x v="314"/>
    <n v="2"/>
    <n v="390.52"/>
    <n v="195.26"/>
    <x v="1"/>
    <x v="1"/>
    <x v="6"/>
    <x v="1"/>
    <x v="2"/>
  </r>
  <r>
    <s v="CUST01277"/>
    <n v="48"/>
    <s v="Female"/>
    <s v="Delhi"/>
    <x v="0"/>
    <x v="471"/>
    <x v="746"/>
    <n v="7"/>
    <n v="389.13"/>
    <n v="55.59"/>
    <x v="1"/>
    <x v="2"/>
    <x v="7"/>
    <x v="0"/>
    <x v="2"/>
  </r>
  <r>
    <s v="CUST00958"/>
    <n v="19"/>
    <s v="Male"/>
    <s v="Delhi"/>
    <x v="3"/>
    <x v="535"/>
    <x v="483"/>
    <n v="9"/>
    <n v="389.07"/>
    <n v="43.23"/>
    <x v="0"/>
    <x v="2"/>
    <x v="8"/>
    <x v="1"/>
    <x v="2"/>
  </r>
  <r>
    <s v="CUST01725"/>
    <n v="41"/>
    <s v="Male"/>
    <s v="Hyderabad"/>
    <x v="0"/>
    <x v="651"/>
    <x v="511"/>
    <n v="3"/>
    <n v="387.18"/>
    <n v="129.06"/>
    <x v="3"/>
    <x v="1"/>
    <x v="3"/>
    <x v="0"/>
    <x v="2"/>
  </r>
  <r>
    <s v="CUST00573"/>
    <n v="28"/>
    <s v="Female"/>
    <s v="Pune"/>
    <x v="1"/>
    <x v="364"/>
    <x v="747"/>
    <n v="4"/>
    <n v="386.76"/>
    <n v="96.69"/>
    <x v="2"/>
    <x v="2"/>
    <x v="4"/>
    <x v="0"/>
    <x v="2"/>
  </r>
  <r>
    <s v="CUST00217"/>
    <n v="57"/>
    <s v="Female"/>
    <s v="Chennai"/>
    <x v="3"/>
    <x v="10"/>
    <x v="424"/>
    <n v="2"/>
    <n v="386"/>
    <n v="193"/>
    <x v="3"/>
    <x v="2"/>
    <x v="3"/>
    <x v="0"/>
    <x v="2"/>
  </r>
  <r>
    <s v="CUST00402"/>
    <n v="25"/>
    <s v="Male"/>
    <s v="Hyderabad"/>
    <x v="2"/>
    <x v="86"/>
    <x v="483"/>
    <n v="6"/>
    <n v="384.36"/>
    <n v="64.06"/>
    <x v="3"/>
    <x v="1"/>
    <x v="2"/>
    <x v="0"/>
    <x v="2"/>
  </r>
  <r>
    <s v="CUST01736"/>
    <n v="35"/>
    <s v="Male"/>
    <s v="Hyderabad"/>
    <x v="2"/>
    <x v="385"/>
    <x v="690"/>
    <n v="11"/>
    <n v="383.46"/>
    <n v="34.86"/>
    <x v="2"/>
    <x v="0"/>
    <x v="9"/>
    <x v="0"/>
    <x v="2"/>
  </r>
  <r>
    <s v="CUST00955"/>
    <n v="50"/>
    <s v="Male"/>
    <s v="Chennai"/>
    <x v="3"/>
    <x v="13"/>
    <x v="339"/>
    <n v="8"/>
    <n v="383.04"/>
    <n v="47.88"/>
    <x v="4"/>
    <x v="0"/>
    <x v="5"/>
    <x v="0"/>
    <x v="2"/>
  </r>
  <r>
    <s v="CUST00158"/>
    <n v="46"/>
    <s v="Male"/>
    <s v="Chennai"/>
    <x v="3"/>
    <x v="157"/>
    <x v="748"/>
    <n v="7"/>
    <n v="380.38"/>
    <n v="54.34"/>
    <x v="3"/>
    <x v="0"/>
    <x v="9"/>
    <x v="0"/>
    <x v="2"/>
  </r>
  <r>
    <s v="CUST01041"/>
    <n v="51"/>
    <s v="Male"/>
    <s v="Bangalore"/>
    <x v="1"/>
    <x v="584"/>
    <x v="694"/>
    <n v="9"/>
    <n v="377.64"/>
    <n v="41.96"/>
    <x v="3"/>
    <x v="1"/>
    <x v="5"/>
    <x v="0"/>
    <x v="2"/>
  </r>
  <r>
    <s v="CUST01949"/>
    <n v="22"/>
    <s v="Female"/>
    <s v="Delhi"/>
    <x v="0"/>
    <x v="155"/>
    <x v="749"/>
    <n v="3"/>
    <n v="377.28"/>
    <n v="125.76"/>
    <x v="3"/>
    <x v="0"/>
    <x v="2"/>
    <x v="0"/>
    <x v="2"/>
  </r>
  <r>
    <s v="CUST00363"/>
    <n v="31"/>
    <s v="Female"/>
    <s v="Kolkata"/>
    <x v="1"/>
    <x v="652"/>
    <x v="726"/>
    <n v="7"/>
    <n v="376.67"/>
    <n v="53.81"/>
    <x v="4"/>
    <x v="2"/>
    <x v="7"/>
    <x v="0"/>
    <x v="2"/>
  </r>
  <r>
    <s v="CUST01548"/>
    <n v="59"/>
    <s v="Female"/>
    <s v="Delhi"/>
    <x v="2"/>
    <x v="294"/>
    <x v="750"/>
    <n v="3"/>
    <n v="375.15"/>
    <n v="125.05"/>
    <x v="0"/>
    <x v="2"/>
    <x v="9"/>
    <x v="1"/>
    <x v="2"/>
  </r>
  <r>
    <s v="CUST00214"/>
    <n v="54"/>
    <s v="Male"/>
    <s v="Hyderabad"/>
    <x v="2"/>
    <x v="625"/>
    <x v="471"/>
    <n v="5"/>
    <n v="374.65"/>
    <n v="74.93000000000001"/>
    <x v="4"/>
    <x v="1"/>
    <x v="2"/>
    <x v="0"/>
    <x v="2"/>
  </r>
  <r>
    <s v="CUST01802"/>
    <n v="46"/>
    <s v="Male"/>
    <s v="Chennai"/>
    <x v="1"/>
    <x v="108"/>
    <x v="680"/>
    <n v="6"/>
    <n v="373.32"/>
    <n v="62.22"/>
    <x v="0"/>
    <x v="0"/>
    <x v="4"/>
    <x v="0"/>
    <x v="2"/>
  </r>
  <r>
    <s v="CUST01330"/>
    <n v="27"/>
    <s v="Female"/>
    <s v="Chennai"/>
    <x v="3"/>
    <x v="563"/>
    <x v="17"/>
    <n v="3"/>
    <n v="369.66"/>
    <n v="123.22"/>
    <x v="0"/>
    <x v="2"/>
    <x v="4"/>
    <x v="0"/>
    <x v="2"/>
  </r>
  <r>
    <s v="CUST00777"/>
    <n v="30"/>
    <s v="Female"/>
    <s v="Bangalore"/>
    <x v="2"/>
    <x v="483"/>
    <x v="751"/>
    <n v="12"/>
    <n v="368.64"/>
    <n v="30.72"/>
    <x v="4"/>
    <x v="2"/>
    <x v="4"/>
    <x v="0"/>
    <x v="2"/>
  </r>
  <r>
    <s v="CUST00023"/>
    <n v="21"/>
    <s v="Male"/>
    <s v="Chennai"/>
    <x v="2"/>
    <x v="197"/>
    <x v="752"/>
    <n v="5"/>
    <n v="365.85"/>
    <n v="73.17"/>
    <x v="3"/>
    <x v="2"/>
    <x v="4"/>
    <x v="0"/>
    <x v="2"/>
  </r>
  <r>
    <s v="CUST01942"/>
    <n v="38"/>
    <s v="Male"/>
    <s v="Kolkata"/>
    <x v="0"/>
    <x v="653"/>
    <x v="314"/>
    <n v="2"/>
    <n v="361.42"/>
    <n v="180.71"/>
    <x v="3"/>
    <x v="1"/>
    <x v="9"/>
    <x v="0"/>
    <x v="2"/>
  </r>
  <r>
    <s v="CUST01933"/>
    <n v="55"/>
    <s v="Female"/>
    <s v="Chennai"/>
    <x v="0"/>
    <x v="309"/>
    <x v="610"/>
    <n v="6"/>
    <n v="361.02"/>
    <n v="60.17"/>
    <x v="1"/>
    <x v="1"/>
    <x v="3"/>
    <x v="0"/>
    <x v="2"/>
  </r>
  <r>
    <s v="CUST01682"/>
    <n v="35"/>
    <s v="Male"/>
    <s v="Delhi"/>
    <x v="2"/>
    <x v="286"/>
    <x v="311"/>
    <n v="13"/>
    <n v="361.01"/>
    <n v="27.77"/>
    <x v="0"/>
    <x v="1"/>
    <x v="3"/>
    <x v="1"/>
    <x v="2"/>
  </r>
  <r>
    <s v="CUST00464"/>
    <n v="60"/>
    <s v="Female"/>
    <s v="Pune"/>
    <x v="2"/>
    <x v="488"/>
    <x v="382"/>
    <n v="2"/>
    <n v="359.76"/>
    <n v="179.88"/>
    <x v="3"/>
    <x v="1"/>
    <x v="0"/>
    <x v="0"/>
    <x v="2"/>
  </r>
  <r>
    <s v="CUST01958"/>
    <n v="32"/>
    <s v="Male"/>
    <s v="Pune"/>
    <x v="0"/>
    <x v="171"/>
    <x v="58"/>
    <n v="15"/>
    <n v="358.5"/>
    <n v="23.9"/>
    <x v="0"/>
    <x v="2"/>
    <x v="9"/>
    <x v="0"/>
    <x v="2"/>
  </r>
  <r>
    <s v="CUST01639"/>
    <n v="33"/>
    <s v="Male"/>
    <s v="Chennai"/>
    <x v="3"/>
    <x v="374"/>
    <x v="176"/>
    <n v="3"/>
    <n v="356.73"/>
    <n v="118.91"/>
    <x v="3"/>
    <x v="2"/>
    <x v="6"/>
    <x v="1"/>
    <x v="2"/>
  </r>
  <r>
    <s v="CUST01761"/>
    <n v="25"/>
    <s v="Female"/>
    <s v="Chennai"/>
    <x v="0"/>
    <x v="96"/>
    <x v="52"/>
    <n v="3"/>
    <n v="356.16"/>
    <n v="118.72"/>
    <x v="4"/>
    <x v="0"/>
    <x v="8"/>
    <x v="0"/>
    <x v="2"/>
  </r>
  <r>
    <s v="CUST01371"/>
    <n v="56"/>
    <s v="Male"/>
    <s v="Hyderabad"/>
    <x v="3"/>
    <x v="194"/>
    <x v="273"/>
    <n v="6"/>
    <n v="353.88"/>
    <n v="58.98"/>
    <x v="4"/>
    <x v="0"/>
    <x v="7"/>
    <x v="0"/>
    <x v="2"/>
  </r>
  <r>
    <s v="CUST00206"/>
    <n v="65"/>
    <s v="Male"/>
    <s v="Chennai"/>
    <x v="3"/>
    <x v="441"/>
    <x v="749"/>
    <n v="2"/>
    <n v="351.76"/>
    <n v="175.88"/>
    <x v="0"/>
    <x v="1"/>
    <x v="6"/>
    <x v="0"/>
    <x v="2"/>
  </r>
  <r>
    <s v="CUST01842"/>
    <n v="52"/>
    <s v="Female"/>
    <s v="Delhi"/>
    <x v="1"/>
    <x v="654"/>
    <x v="534"/>
    <n v="8"/>
    <n v="349.6"/>
    <n v="43.7"/>
    <x v="4"/>
    <x v="2"/>
    <x v="0"/>
    <x v="0"/>
    <x v="2"/>
  </r>
  <r>
    <s v="CUST01052"/>
    <n v="21"/>
    <s v="Female"/>
    <s v="Bangalore"/>
    <x v="0"/>
    <x v="341"/>
    <x v="48"/>
    <n v="11"/>
    <n v="349.25"/>
    <n v="31.75"/>
    <x v="4"/>
    <x v="0"/>
    <x v="6"/>
    <x v="0"/>
    <x v="2"/>
  </r>
  <r>
    <s v="CUST01553"/>
    <n v="30"/>
    <s v="Female"/>
    <s v="Mumbai"/>
    <x v="0"/>
    <x v="506"/>
    <x v="434"/>
    <n v="9"/>
    <n v="349.2"/>
    <n v="38.8"/>
    <x v="1"/>
    <x v="1"/>
    <x v="9"/>
    <x v="0"/>
    <x v="2"/>
  </r>
  <r>
    <s v="CUST01845"/>
    <n v="59"/>
    <s v="Female"/>
    <s v="Chennai"/>
    <x v="1"/>
    <x v="239"/>
    <x v="158"/>
    <n v="2"/>
    <n v="349.2"/>
    <n v="174.6"/>
    <x v="0"/>
    <x v="1"/>
    <x v="7"/>
    <x v="0"/>
    <x v="2"/>
  </r>
  <r>
    <s v="CUST00395"/>
    <n v="52"/>
    <s v="Female"/>
    <s v="Chennai"/>
    <x v="1"/>
    <x v="272"/>
    <x v="235"/>
    <n v="2"/>
    <n v="348.88"/>
    <n v="174.44"/>
    <x v="4"/>
    <x v="1"/>
    <x v="0"/>
    <x v="0"/>
    <x v="2"/>
  </r>
  <r>
    <s v="CUST00802"/>
    <n v="18"/>
    <s v="Female"/>
    <s v="Chennai"/>
    <x v="2"/>
    <x v="655"/>
    <x v="306"/>
    <n v="7"/>
    <n v="347.55"/>
    <n v="49.65"/>
    <x v="3"/>
    <x v="1"/>
    <x v="0"/>
    <x v="0"/>
    <x v="2"/>
  </r>
  <r>
    <s v="CUST00008"/>
    <n v="54"/>
    <s v="Female"/>
    <s v="Mumbai"/>
    <x v="3"/>
    <x v="286"/>
    <x v="686"/>
    <n v="9"/>
    <n v="346.77"/>
    <n v="38.53"/>
    <x v="2"/>
    <x v="0"/>
    <x v="2"/>
    <x v="0"/>
    <x v="2"/>
  </r>
  <r>
    <s v="CUST00049"/>
    <n v="42"/>
    <s v="Female"/>
    <s v="Pune"/>
    <x v="1"/>
    <x v="419"/>
    <x v="753"/>
    <n v="16"/>
    <n v="346.4"/>
    <n v="21.65"/>
    <x v="2"/>
    <x v="2"/>
    <x v="1"/>
    <x v="0"/>
    <x v="2"/>
  </r>
  <r>
    <s v="CUST00092"/>
    <n v="54"/>
    <s v="Female"/>
    <s v="Chennai"/>
    <x v="2"/>
    <x v="656"/>
    <x v="469"/>
    <n v="4"/>
    <n v="345.68"/>
    <n v="86.42"/>
    <x v="3"/>
    <x v="0"/>
    <x v="7"/>
    <x v="0"/>
    <x v="2"/>
  </r>
  <r>
    <s v="CUST01137"/>
    <n v="45"/>
    <s v="Male"/>
    <s v="Bangalore"/>
    <x v="2"/>
    <x v="393"/>
    <x v="381"/>
    <n v="3"/>
    <n v="345.24"/>
    <n v="115.08"/>
    <x v="2"/>
    <x v="0"/>
    <x v="2"/>
    <x v="0"/>
    <x v="2"/>
  </r>
  <r>
    <s v="CUST01506"/>
    <n v="42"/>
    <s v="Male"/>
    <s v="Bangalore"/>
    <x v="2"/>
    <x v="639"/>
    <x v="553"/>
    <n v="4"/>
    <n v="344.12"/>
    <n v="86.03"/>
    <x v="3"/>
    <x v="1"/>
    <x v="1"/>
    <x v="1"/>
    <x v="2"/>
  </r>
  <r>
    <s v="CUST00765"/>
    <n v="36"/>
    <s v="Female"/>
    <s v="Mumbai"/>
    <x v="2"/>
    <x v="597"/>
    <x v="754"/>
    <n v="12"/>
    <n v="340.92"/>
    <n v="28.41"/>
    <x v="3"/>
    <x v="2"/>
    <x v="0"/>
    <x v="1"/>
    <x v="2"/>
  </r>
  <r>
    <s v="CUST00816"/>
    <n v="30"/>
    <s v="Male"/>
    <s v="Mumbai"/>
    <x v="0"/>
    <x v="170"/>
    <x v="709"/>
    <n v="3"/>
    <n v="339.93"/>
    <n v="113.31"/>
    <x v="3"/>
    <x v="0"/>
    <x v="9"/>
    <x v="0"/>
    <x v="2"/>
  </r>
  <r>
    <s v="CUST00745"/>
    <n v="35"/>
    <s v="Female"/>
    <s v="Mumbai"/>
    <x v="0"/>
    <x v="257"/>
    <x v="755"/>
    <n v="15"/>
    <n v="339.3"/>
    <n v="22.62"/>
    <x v="0"/>
    <x v="0"/>
    <x v="1"/>
    <x v="0"/>
    <x v="2"/>
  </r>
  <r>
    <s v="CUST00917"/>
    <n v="44"/>
    <s v="Male"/>
    <s v="Kolkata"/>
    <x v="1"/>
    <x v="118"/>
    <x v="756"/>
    <n v="8"/>
    <n v="332.64"/>
    <n v="41.58"/>
    <x v="2"/>
    <x v="0"/>
    <x v="5"/>
    <x v="0"/>
    <x v="2"/>
  </r>
  <r>
    <s v="CUST00312"/>
    <n v="58"/>
    <s v="Female"/>
    <s v="Delhi"/>
    <x v="3"/>
    <x v="197"/>
    <x v="536"/>
    <n v="7"/>
    <n v="330.12"/>
    <n v="47.16"/>
    <x v="3"/>
    <x v="1"/>
    <x v="7"/>
    <x v="0"/>
    <x v="2"/>
  </r>
  <r>
    <s v="CUST00343"/>
    <n v="26"/>
    <s v="Male"/>
    <s v="Chennai"/>
    <x v="0"/>
    <x v="241"/>
    <x v="60"/>
    <n v="13"/>
    <n v="329.55"/>
    <n v="25.35"/>
    <x v="0"/>
    <x v="0"/>
    <x v="5"/>
    <x v="0"/>
    <x v="2"/>
  </r>
  <r>
    <s v="CUST01742"/>
    <n v="64"/>
    <s v="Male"/>
    <s v="Bangalore"/>
    <x v="2"/>
    <x v="625"/>
    <x v="81"/>
    <n v="3"/>
    <n v="328.38"/>
    <n v="109.46"/>
    <x v="2"/>
    <x v="0"/>
    <x v="4"/>
    <x v="0"/>
    <x v="2"/>
  </r>
  <r>
    <s v="CUST00690"/>
    <n v="44"/>
    <s v="Male"/>
    <s v="Hyderabad"/>
    <x v="2"/>
    <x v="634"/>
    <x v="401"/>
    <n v="2"/>
    <n v="327.5"/>
    <n v="163.75"/>
    <x v="4"/>
    <x v="1"/>
    <x v="4"/>
    <x v="0"/>
    <x v="2"/>
  </r>
  <r>
    <s v="CUST01318"/>
    <n v="27"/>
    <s v="Female"/>
    <s v="Bangalore"/>
    <x v="1"/>
    <x v="562"/>
    <x v="744"/>
    <n v="7"/>
    <n v="325.92"/>
    <n v="46.56"/>
    <x v="3"/>
    <x v="1"/>
    <x v="7"/>
    <x v="0"/>
    <x v="2"/>
  </r>
  <r>
    <s v="CUST01652"/>
    <n v="40"/>
    <s v="Male"/>
    <s v="Pune"/>
    <x v="3"/>
    <x v="487"/>
    <x v="650"/>
    <n v="5"/>
    <n v="325"/>
    <n v="65"/>
    <x v="0"/>
    <x v="1"/>
    <x v="2"/>
    <x v="1"/>
    <x v="2"/>
  </r>
  <r>
    <s v="CUST01244"/>
    <n v="60"/>
    <s v="Female"/>
    <s v="Kolkata"/>
    <x v="2"/>
    <x v="35"/>
    <x v="675"/>
    <n v="7"/>
    <n v="322.98"/>
    <n v="46.14"/>
    <x v="1"/>
    <x v="0"/>
    <x v="9"/>
    <x v="0"/>
    <x v="2"/>
  </r>
  <r>
    <s v="CUST01417"/>
    <n v="57"/>
    <s v="Female"/>
    <s v="Bangalore"/>
    <x v="2"/>
    <x v="247"/>
    <x v="268"/>
    <n v="12"/>
    <n v="321.12"/>
    <n v="26.76"/>
    <x v="4"/>
    <x v="1"/>
    <x v="6"/>
    <x v="0"/>
    <x v="2"/>
  </r>
  <r>
    <s v="CUST00595"/>
    <n v="46"/>
    <s v="Female"/>
    <s v="Pune"/>
    <x v="0"/>
    <x v="306"/>
    <x v="93"/>
    <n v="9"/>
    <n v="317.25"/>
    <n v="35.25"/>
    <x v="2"/>
    <x v="0"/>
    <x v="3"/>
    <x v="0"/>
    <x v="2"/>
  </r>
  <r>
    <s v="CUST01657"/>
    <n v="33"/>
    <s v="Male"/>
    <s v="Hyderabad"/>
    <x v="2"/>
    <x v="657"/>
    <x v="84"/>
    <n v="2"/>
    <n v="316.84"/>
    <n v="158.42"/>
    <x v="0"/>
    <x v="0"/>
    <x v="0"/>
    <x v="0"/>
    <x v="2"/>
  </r>
  <r>
    <s v="CUST00012"/>
    <n v="64"/>
    <s v="Female"/>
    <s v="Pune"/>
    <x v="1"/>
    <x v="308"/>
    <x v="679"/>
    <n v="15"/>
    <n v="313.65"/>
    <n v="20.91"/>
    <x v="0"/>
    <x v="2"/>
    <x v="1"/>
    <x v="0"/>
    <x v="2"/>
  </r>
  <r>
    <s v="CUST01336"/>
    <n v="34"/>
    <s v="Male"/>
    <s v="Mumbai"/>
    <x v="0"/>
    <x v="97"/>
    <x v="486"/>
    <n v="6"/>
    <n v="313.62"/>
    <n v="52.27"/>
    <x v="0"/>
    <x v="2"/>
    <x v="6"/>
    <x v="0"/>
    <x v="2"/>
  </r>
  <r>
    <s v="CUST00827"/>
    <n v="49"/>
    <s v="Male"/>
    <s v="Delhi"/>
    <x v="0"/>
    <x v="45"/>
    <x v="680"/>
    <n v="11"/>
    <n v="311.41"/>
    <n v="28.31"/>
    <x v="4"/>
    <x v="2"/>
    <x v="4"/>
    <x v="0"/>
    <x v="2"/>
  </r>
  <r>
    <s v="CUST00017"/>
    <n v="39"/>
    <s v="Male"/>
    <s v="Pune"/>
    <x v="1"/>
    <x v="311"/>
    <x v="299"/>
    <n v="8"/>
    <n v="310.96"/>
    <n v="38.87"/>
    <x v="4"/>
    <x v="0"/>
    <x v="2"/>
    <x v="1"/>
    <x v="2"/>
  </r>
  <r>
    <s v="CUST00266"/>
    <n v="25"/>
    <s v="Female"/>
    <s v="Bangalore"/>
    <x v="3"/>
    <x v="475"/>
    <x v="202"/>
    <n v="7"/>
    <n v="309.89"/>
    <n v="44.27"/>
    <x v="4"/>
    <x v="2"/>
    <x v="0"/>
    <x v="1"/>
    <x v="2"/>
  </r>
  <r>
    <s v="CUST01856"/>
    <n v="52"/>
    <s v="Male"/>
    <s v="Pune"/>
    <x v="3"/>
    <x v="363"/>
    <x v="503"/>
    <n v="9"/>
    <n v="306.09"/>
    <n v="34.01"/>
    <x v="1"/>
    <x v="0"/>
    <x v="2"/>
    <x v="0"/>
    <x v="2"/>
  </r>
  <r>
    <s v="CUST00699"/>
    <n v="50"/>
    <s v="Female"/>
    <s v="Mumbai"/>
    <x v="0"/>
    <x v="467"/>
    <x v="757"/>
    <n v="10"/>
    <n v="303.6"/>
    <n v="30.36"/>
    <x v="0"/>
    <x v="2"/>
    <x v="7"/>
    <x v="0"/>
    <x v="2"/>
  </r>
  <r>
    <s v="CUST00461"/>
    <n v="42"/>
    <s v="Male"/>
    <s v="Delhi"/>
    <x v="2"/>
    <x v="90"/>
    <x v="375"/>
    <n v="15"/>
    <n v="303"/>
    <n v="20.2"/>
    <x v="0"/>
    <x v="2"/>
    <x v="9"/>
    <x v="0"/>
    <x v="2"/>
  </r>
  <r>
    <s v="CUST00681"/>
    <n v="61"/>
    <s v="Male"/>
    <s v="Hyderabad"/>
    <x v="2"/>
    <x v="256"/>
    <x v="181"/>
    <n v="11"/>
    <n v="299.97"/>
    <n v="27.27"/>
    <x v="0"/>
    <x v="2"/>
    <x v="9"/>
    <x v="0"/>
    <x v="2"/>
  </r>
  <r>
    <s v="CUST01728"/>
    <n v="55"/>
    <s v="Female"/>
    <s v="Chennai"/>
    <x v="0"/>
    <x v="490"/>
    <x v="741"/>
    <n v="2"/>
    <n v="298.94"/>
    <n v="149.47"/>
    <x v="3"/>
    <x v="1"/>
    <x v="1"/>
    <x v="0"/>
    <x v="2"/>
  </r>
  <r>
    <s v="CUST00410"/>
    <n v="44"/>
    <s v="Female"/>
    <s v="Mumbai"/>
    <x v="0"/>
    <x v="3"/>
    <x v="310"/>
    <n v="3"/>
    <n v="297.93"/>
    <n v="99.31"/>
    <x v="3"/>
    <x v="0"/>
    <x v="3"/>
    <x v="0"/>
    <x v="2"/>
  </r>
  <r>
    <s v="CUST01251"/>
    <n v="55"/>
    <s v="Female"/>
    <s v="Delhi"/>
    <x v="1"/>
    <x v="280"/>
    <x v="32"/>
    <n v="2"/>
    <n v="297.74"/>
    <n v="148.87"/>
    <x v="3"/>
    <x v="0"/>
    <x v="2"/>
    <x v="0"/>
    <x v="2"/>
  </r>
  <r>
    <s v="CUST01421"/>
    <n v="20"/>
    <s v="Female"/>
    <s v="Chennai"/>
    <x v="3"/>
    <x v="586"/>
    <x v="114"/>
    <n v="1"/>
    <n v="297.49"/>
    <n v="297.49"/>
    <x v="3"/>
    <x v="2"/>
    <x v="2"/>
    <x v="1"/>
    <x v="2"/>
  </r>
  <r>
    <s v="CUST00800"/>
    <n v="30"/>
    <s v="Male"/>
    <s v="Mumbai"/>
    <x v="0"/>
    <x v="249"/>
    <x v="556"/>
    <n v="1"/>
    <n v="297"/>
    <n v="297"/>
    <x v="1"/>
    <x v="0"/>
    <x v="5"/>
    <x v="0"/>
    <x v="2"/>
  </r>
  <r>
    <s v="CUST00325"/>
    <n v="63"/>
    <s v="Male"/>
    <s v="Bangalore"/>
    <x v="2"/>
    <x v="658"/>
    <x v="126"/>
    <n v="2"/>
    <n v="295.62"/>
    <n v="147.81"/>
    <x v="2"/>
    <x v="0"/>
    <x v="7"/>
    <x v="0"/>
    <x v="2"/>
  </r>
  <r>
    <s v="CUST01347"/>
    <n v="37"/>
    <s v="Male"/>
    <s v="Delhi"/>
    <x v="2"/>
    <x v="494"/>
    <x v="519"/>
    <n v="3"/>
    <n v="295.17"/>
    <n v="98.39"/>
    <x v="1"/>
    <x v="1"/>
    <x v="2"/>
    <x v="0"/>
    <x v="2"/>
  </r>
  <r>
    <s v="CUST01461"/>
    <n v="63"/>
    <s v="Male"/>
    <s v="Kolkata"/>
    <x v="1"/>
    <x v="303"/>
    <x v="89"/>
    <n v="1"/>
    <n v="294.75"/>
    <n v="294.75"/>
    <x v="0"/>
    <x v="0"/>
    <x v="4"/>
    <x v="0"/>
    <x v="2"/>
  </r>
  <r>
    <s v="CUST00065"/>
    <n v="36"/>
    <s v="Male"/>
    <s v="Chennai"/>
    <x v="3"/>
    <x v="333"/>
    <x v="106"/>
    <n v="9"/>
    <n v="294.66"/>
    <n v="32.74"/>
    <x v="3"/>
    <x v="2"/>
    <x v="4"/>
    <x v="1"/>
    <x v="2"/>
  </r>
  <r>
    <s v="CUST00925"/>
    <n v="43"/>
    <s v="Male"/>
    <s v="Bangalore"/>
    <x v="3"/>
    <x v="318"/>
    <x v="100"/>
    <n v="1"/>
    <n v="294.55"/>
    <n v="294.55"/>
    <x v="4"/>
    <x v="2"/>
    <x v="8"/>
    <x v="0"/>
    <x v="2"/>
  </r>
  <r>
    <s v="CUST00590"/>
    <n v="26"/>
    <s v="Female"/>
    <s v="Mumbai"/>
    <x v="2"/>
    <x v="629"/>
    <x v="758"/>
    <n v="1"/>
    <n v="293.4"/>
    <n v="293.4"/>
    <x v="2"/>
    <x v="0"/>
    <x v="6"/>
    <x v="0"/>
    <x v="2"/>
  </r>
  <r>
    <s v="CUST01050"/>
    <n v="38"/>
    <s v="Male"/>
    <s v="Hyderabad"/>
    <x v="1"/>
    <x v="658"/>
    <x v="461"/>
    <n v="3"/>
    <n v="292.2"/>
    <n v="97.40000000000001"/>
    <x v="4"/>
    <x v="1"/>
    <x v="1"/>
    <x v="0"/>
    <x v="2"/>
  </r>
  <r>
    <s v="CUST00030"/>
    <n v="26"/>
    <s v="Female"/>
    <s v="Mumbai"/>
    <x v="3"/>
    <x v="176"/>
    <x v="246"/>
    <n v="9"/>
    <n v="291.0600000000001"/>
    <n v="32.34"/>
    <x v="0"/>
    <x v="0"/>
    <x v="7"/>
    <x v="0"/>
    <x v="2"/>
  </r>
  <r>
    <s v="CUST01176"/>
    <n v="33"/>
    <s v="Female"/>
    <s v="Kolkata"/>
    <x v="1"/>
    <x v="64"/>
    <x v="3"/>
    <n v="2"/>
    <n v="290.12"/>
    <n v="145.06"/>
    <x v="1"/>
    <x v="2"/>
    <x v="2"/>
    <x v="0"/>
    <x v="2"/>
  </r>
  <r>
    <s v="CUST00014"/>
    <n v="23"/>
    <s v="Male"/>
    <s v="Chennai"/>
    <x v="3"/>
    <x v="107"/>
    <x v="686"/>
    <n v="8"/>
    <n v="289.76"/>
    <n v="36.22"/>
    <x v="3"/>
    <x v="0"/>
    <x v="5"/>
    <x v="0"/>
    <x v="2"/>
  </r>
  <r>
    <s v="CUST01656"/>
    <n v="63"/>
    <s v="Male"/>
    <s v="Bangalore"/>
    <x v="0"/>
    <x v="154"/>
    <x v="759"/>
    <n v="9"/>
    <n v="288.72"/>
    <n v="32.08"/>
    <x v="0"/>
    <x v="1"/>
    <x v="8"/>
    <x v="0"/>
    <x v="2"/>
  </r>
  <r>
    <s v="CUST01225"/>
    <n v="58"/>
    <s v="Male"/>
    <s v="Kolkata"/>
    <x v="1"/>
    <x v="202"/>
    <x v="487"/>
    <n v="6"/>
    <n v="288.24"/>
    <n v="48.04"/>
    <x v="0"/>
    <x v="0"/>
    <x v="7"/>
    <x v="1"/>
    <x v="2"/>
  </r>
  <r>
    <s v="CUST01321"/>
    <n v="39"/>
    <s v="Female"/>
    <s v="Chennai"/>
    <x v="3"/>
    <x v="434"/>
    <x v="318"/>
    <n v="1"/>
    <n v="287.92"/>
    <n v="287.92"/>
    <x v="0"/>
    <x v="2"/>
    <x v="4"/>
    <x v="0"/>
    <x v="2"/>
  </r>
  <r>
    <s v="CUST01492"/>
    <n v="52"/>
    <s v="Male"/>
    <s v="Chennai"/>
    <x v="3"/>
    <x v="13"/>
    <x v="733"/>
    <n v="13"/>
    <n v="287.69"/>
    <n v="22.13"/>
    <x v="3"/>
    <x v="2"/>
    <x v="5"/>
    <x v="0"/>
    <x v="2"/>
  </r>
  <r>
    <s v="CUST01567"/>
    <n v="20"/>
    <s v="Female"/>
    <s v="Kolkata"/>
    <x v="0"/>
    <x v="168"/>
    <x v="760"/>
    <n v="1"/>
    <n v="286.86"/>
    <n v="286.86"/>
    <x v="0"/>
    <x v="0"/>
    <x v="0"/>
    <x v="1"/>
    <x v="2"/>
  </r>
  <r>
    <s v="CUST01085"/>
    <n v="42"/>
    <s v="Male"/>
    <s v="Kolkata"/>
    <x v="2"/>
    <x v="526"/>
    <x v="761"/>
    <n v="1"/>
    <n v="286.08"/>
    <n v="286.08"/>
    <x v="4"/>
    <x v="0"/>
    <x v="8"/>
    <x v="1"/>
    <x v="2"/>
  </r>
  <r>
    <s v="CUST00227"/>
    <n v="58"/>
    <s v="Male"/>
    <s v="Chennai"/>
    <x v="3"/>
    <x v="262"/>
    <x v="395"/>
    <n v="3"/>
    <n v="285.09"/>
    <n v="95.03"/>
    <x v="4"/>
    <x v="1"/>
    <x v="8"/>
    <x v="0"/>
    <x v="2"/>
  </r>
  <r>
    <s v="CUST01769"/>
    <n v="40"/>
    <s v="Male"/>
    <s v="Chennai"/>
    <x v="0"/>
    <x v="259"/>
    <x v="83"/>
    <n v="5"/>
    <n v="282.8"/>
    <n v="56.56"/>
    <x v="1"/>
    <x v="1"/>
    <x v="0"/>
    <x v="0"/>
    <x v="2"/>
  </r>
  <r>
    <s v="CUST00398"/>
    <n v="60"/>
    <s v="Male"/>
    <s v="Pune"/>
    <x v="2"/>
    <x v="269"/>
    <x v="271"/>
    <n v="3"/>
    <n v="282.06"/>
    <n v="94.02"/>
    <x v="2"/>
    <x v="1"/>
    <x v="2"/>
    <x v="0"/>
    <x v="2"/>
  </r>
  <r>
    <s v="CUST01872"/>
    <n v="60"/>
    <s v="Female"/>
    <s v="Pune"/>
    <x v="0"/>
    <x v="154"/>
    <x v="348"/>
    <n v="2"/>
    <n v="281.62"/>
    <n v="140.81"/>
    <x v="0"/>
    <x v="1"/>
    <x v="8"/>
    <x v="1"/>
    <x v="2"/>
  </r>
  <r>
    <s v="CUST01373"/>
    <n v="40"/>
    <s v="Female"/>
    <s v="Hyderabad"/>
    <x v="1"/>
    <x v="351"/>
    <x v="454"/>
    <n v="3"/>
    <n v="280.74"/>
    <n v="93.58"/>
    <x v="1"/>
    <x v="2"/>
    <x v="6"/>
    <x v="0"/>
    <x v="2"/>
  </r>
  <r>
    <s v="CUST01635"/>
    <n v="39"/>
    <s v="Male"/>
    <s v="Delhi"/>
    <x v="2"/>
    <x v="509"/>
    <x v="171"/>
    <n v="8"/>
    <n v="280.72"/>
    <n v="35.09"/>
    <x v="4"/>
    <x v="0"/>
    <x v="1"/>
    <x v="0"/>
    <x v="2"/>
  </r>
  <r>
    <s v="CUST00465"/>
    <n v="49"/>
    <s v="Male"/>
    <s v="Hyderabad"/>
    <x v="0"/>
    <x v="170"/>
    <x v="168"/>
    <n v="1"/>
    <n v="280.46"/>
    <n v="280.46"/>
    <x v="4"/>
    <x v="0"/>
    <x v="7"/>
    <x v="0"/>
    <x v="2"/>
  </r>
  <r>
    <s v="CUST00375"/>
    <n v="26"/>
    <s v="Male"/>
    <s v="Pune"/>
    <x v="2"/>
    <x v="376"/>
    <x v="680"/>
    <n v="2"/>
    <n v="279.96"/>
    <n v="139.98"/>
    <x v="3"/>
    <x v="1"/>
    <x v="2"/>
    <x v="0"/>
    <x v="2"/>
  </r>
  <r>
    <s v="CUST00851"/>
    <n v="25"/>
    <s v="Female"/>
    <s v="Chennai"/>
    <x v="1"/>
    <x v="128"/>
    <x v="682"/>
    <n v="12"/>
    <n v="279"/>
    <n v="23.25"/>
    <x v="3"/>
    <x v="0"/>
    <x v="4"/>
    <x v="1"/>
    <x v="2"/>
  </r>
  <r>
    <s v="CUST00317"/>
    <n v="45"/>
    <s v="Male"/>
    <s v="Kolkata"/>
    <x v="1"/>
    <x v="79"/>
    <x v="265"/>
    <n v="2"/>
    <n v="277.08"/>
    <n v="138.54"/>
    <x v="0"/>
    <x v="1"/>
    <x v="9"/>
    <x v="0"/>
    <x v="2"/>
  </r>
  <r>
    <s v="CUST01008"/>
    <n v="44"/>
    <s v="Male"/>
    <s v="Kolkata"/>
    <x v="1"/>
    <x v="409"/>
    <x v="168"/>
    <n v="1"/>
    <n v="275.52"/>
    <n v="275.52"/>
    <x v="0"/>
    <x v="1"/>
    <x v="0"/>
    <x v="1"/>
    <x v="2"/>
  </r>
  <r>
    <s v="CUST01759"/>
    <n v="19"/>
    <s v="Male"/>
    <s v="Delhi"/>
    <x v="3"/>
    <x v="105"/>
    <x v="573"/>
    <n v="3"/>
    <n v="274.89"/>
    <n v="91.63"/>
    <x v="3"/>
    <x v="2"/>
    <x v="9"/>
    <x v="0"/>
    <x v="2"/>
  </r>
  <r>
    <s v="CUST00661"/>
    <n v="34"/>
    <s v="Female"/>
    <s v="Delhi"/>
    <x v="1"/>
    <x v="659"/>
    <x v="588"/>
    <n v="1"/>
    <n v="274.74"/>
    <n v="274.74"/>
    <x v="4"/>
    <x v="2"/>
    <x v="5"/>
    <x v="0"/>
    <x v="2"/>
  </r>
  <r>
    <s v="CUST00726"/>
    <n v="54"/>
    <s v="Female"/>
    <s v="Bangalore"/>
    <x v="3"/>
    <x v="296"/>
    <x v="472"/>
    <n v="2"/>
    <n v="273.84"/>
    <n v="136.92"/>
    <x v="2"/>
    <x v="0"/>
    <x v="4"/>
    <x v="0"/>
    <x v="2"/>
  </r>
  <r>
    <s v="CUST01272"/>
    <n v="39"/>
    <s v="Male"/>
    <s v="Hyderabad"/>
    <x v="1"/>
    <x v="395"/>
    <x v="258"/>
    <n v="1"/>
    <n v="273.23"/>
    <n v="273.23"/>
    <x v="4"/>
    <x v="1"/>
    <x v="6"/>
    <x v="0"/>
    <x v="2"/>
  </r>
  <r>
    <s v="CUST01741"/>
    <n v="29"/>
    <s v="Female"/>
    <s v="Bangalore"/>
    <x v="2"/>
    <x v="6"/>
    <x v="652"/>
    <n v="1"/>
    <n v="270.03"/>
    <n v="270.03"/>
    <x v="3"/>
    <x v="2"/>
    <x v="5"/>
    <x v="0"/>
    <x v="2"/>
  </r>
  <r>
    <s v="CUST01259"/>
    <n v="53"/>
    <s v="Male"/>
    <s v="Chennai"/>
    <x v="2"/>
    <x v="506"/>
    <x v="762"/>
    <n v="1"/>
    <n v="266.2"/>
    <n v="266.2"/>
    <x v="3"/>
    <x v="2"/>
    <x v="6"/>
    <x v="1"/>
    <x v="2"/>
  </r>
  <r>
    <s v="CUST00697"/>
    <n v="62"/>
    <s v="Female"/>
    <s v="Hyderabad"/>
    <x v="3"/>
    <x v="242"/>
    <x v="684"/>
    <n v="4"/>
    <n v="266.04"/>
    <n v="66.51000000000001"/>
    <x v="3"/>
    <x v="1"/>
    <x v="4"/>
    <x v="1"/>
    <x v="2"/>
  </r>
  <r>
    <s v="CUST00724"/>
    <n v="41"/>
    <s v="Female"/>
    <s v="Bangalore"/>
    <x v="3"/>
    <x v="378"/>
    <x v="9"/>
    <n v="5"/>
    <n v="264.85"/>
    <n v="52.97"/>
    <x v="3"/>
    <x v="2"/>
    <x v="5"/>
    <x v="0"/>
    <x v="2"/>
  </r>
  <r>
    <s v="CUST01317"/>
    <n v="42"/>
    <s v="Male"/>
    <s v="Hyderabad"/>
    <x v="2"/>
    <x v="208"/>
    <x v="220"/>
    <n v="1"/>
    <n v="264.54"/>
    <n v="264.54"/>
    <x v="3"/>
    <x v="1"/>
    <x v="5"/>
    <x v="0"/>
    <x v="2"/>
  </r>
  <r>
    <s v="CUST00258"/>
    <n v="23"/>
    <s v="Female"/>
    <s v="Chennai"/>
    <x v="2"/>
    <x v="268"/>
    <x v="107"/>
    <n v="1"/>
    <n v="263.29"/>
    <n v="263.29"/>
    <x v="3"/>
    <x v="0"/>
    <x v="7"/>
    <x v="0"/>
    <x v="2"/>
  </r>
  <r>
    <s v="CUST00103"/>
    <n v="25"/>
    <s v="Female"/>
    <s v="Delhi"/>
    <x v="1"/>
    <x v="660"/>
    <x v="112"/>
    <n v="2"/>
    <n v="262.96"/>
    <n v="131.48"/>
    <x v="0"/>
    <x v="2"/>
    <x v="6"/>
    <x v="0"/>
    <x v="2"/>
  </r>
  <r>
    <s v="CUST00102"/>
    <n v="46"/>
    <s v="Female"/>
    <s v="Mumbai"/>
    <x v="2"/>
    <x v="274"/>
    <x v="309"/>
    <n v="9"/>
    <n v="262.44"/>
    <n v="29.16"/>
    <x v="3"/>
    <x v="0"/>
    <x v="9"/>
    <x v="0"/>
    <x v="2"/>
  </r>
  <r>
    <s v="CUST01526"/>
    <n v="39"/>
    <s v="Female"/>
    <s v="Delhi"/>
    <x v="0"/>
    <x v="161"/>
    <x v="120"/>
    <n v="3"/>
    <n v="261.72"/>
    <n v="87.23999999999999"/>
    <x v="4"/>
    <x v="2"/>
    <x v="1"/>
    <x v="0"/>
    <x v="2"/>
  </r>
  <r>
    <s v="CUST00321"/>
    <n v="62"/>
    <s v="Male"/>
    <s v="Delhi"/>
    <x v="3"/>
    <x v="167"/>
    <x v="459"/>
    <n v="2"/>
    <n v="261.64"/>
    <n v="130.82"/>
    <x v="4"/>
    <x v="1"/>
    <x v="6"/>
    <x v="0"/>
    <x v="2"/>
  </r>
  <r>
    <s v="CUST00155"/>
    <n v="41"/>
    <s v="Female"/>
    <s v="Pune"/>
    <x v="0"/>
    <x v="30"/>
    <x v="763"/>
    <n v="3"/>
    <n v="258.24"/>
    <n v="86.08"/>
    <x v="0"/>
    <x v="2"/>
    <x v="2"/>
    <x v="0"/>
    <x v="2"/>
  </r>
  <r>
    <s v="CUST00242"/>
    <n v="61"/>
    <s v="Male"/>
    <s v="Chennai"/>
    <x v="1"/>
    <x v="417"/>
    <x v="764"/>
    <n v="1"/>
    <n v="257.77"/>
    <n v="257.77"/>
    <x v="0"/>
    <x v="2"/>
    <x v="3"/>
    <x v="0"/>
    <x v="2"/>
  </r>
  <r>
    <s v="CUST01721"/>
    <n v="41"/>
    <s v="Female"/>
    <s v="Kolkata"/>
    <x v="0"/>
    <x v="161"/>
    <x v="84"/>
    <n v="1"/>
    <n v="256.58"/>
    <n v="256.58"/>
    <x v="0"/>
    <x v="2"/>
    <x v="6"/>
    <x v="1"/>
    <x v="2"/>
  </r>
  <r>
    <s v="CUST01806"/>
    <n v="59"/>
    <s v="Male"/>
    <s v="Pune"/>
    <x v="1"/>
    <x v="164"/>
    <x v="458"/>
    <n v="4"/>
    <n v="254.68"/>
    <n v="63.67"/>
    <x v="3"/>
    <x v="1"/>
    <x v="7"/>
    <x v="1"/>
    <x v="2"/>
  </r>
  <r>
    <s v="CUST00264"/>
    <n v="24"/>
    <s v="Male"/>
    <s v="Bangalore"/>
    <x v="2"/>
    <x v="321"/>
    <x v="293"/>
    <n v="3"/>
    <n v="252.33"/>
    <n v="84.11"/>
    <x v="4"/>
    <x v="2"/>
    <x v="7"/>
    <x v="1"/>
    <x v="2"/>
  </r>
  <r>
    <s v="CUST01667"/>
    <n v="43"/>
    <s v="Male"/>
    <s v="Hyderabad"/>
    <x v="3"/>
    <x v="79"/>
    <x v="159"/>
    <n v="9"/>
    <n v="251.19"/>
    <n v="27.91"/>
    <x v="3"/>
    <x v="0"/>
    <x v="5"/>
    <x v="0"/>
    <x v="2"/>
  </r>
  <r>
    <s v="CUST01901"/>
    <n v="60"/>
    <s v="Female"/>
    <s v="Delhi"/>
    <x v="2"/>
    <x v="520"/>
    <x v="583"/>
    <n v="11"/>
    <n v="250.47"/>
    <n v="22.77"/>
    <x v="1"/>
    <x v="2"/>
    <x v="6"/>
    <x v="0"/>
    <x v="2"/>
  </r>
  <r>
    <s v="CUST00935"/>
    <n v="60"/>
    <s v="Male"/>
    <s v="Bangalore"/>
    <x v="3"/>
    <x v="267"/>
    <x v="285"/>
    <n v="3"/>
    <n v="247.35"/>
    <n v="82.45"/>
    <x v="2"/>
    <x v="0"/>
    <x v="3"/>
    <x v="0"/>
    <x v="2"/>
  </r>
  <r>
    <s v="CUST01720"/>
    <n v="61"/>
    <s v="Female"/>
    <s v="Bangalore"/>
    <x v="3"/>
    <x v="144"/>
    <x v="141"/>
    <n v="5"/>
    <n v="247.35"/>
    <n v="49.47"/>
    <x v="3"/>
    <x v="1"/>
    <x v="7"/>
    <x v="0"/>
    <x v="2"/>
  </r>
  <r>
    <s v="CUST00786"/>
    <n v="38"/>
    <s v="Female"/>
    <s v="Hyderabad"/>
    <x v="1"/>
    <x v="397"/>
    <x v="647"/>
    <n v="2"/>
    <n v="246.44"/>
    <n v="123.22"/>
    <x v="3"/>
    <x v="2"/>
    <x v="3"/>
    <x v="1"/>
    <x v="2"/>
  </r>
  <r>
    <s v="CUST01944"/>
    <n v="64"/>
    <s v="Female"/>
    <s v="Pune"/>
    <x v="1"/>
    <x v="379"/>
    <x v="114"/>
    <n v="3"/>
    <n v="242.31"/>
    <n v="80.77"/>
    <x v="1"/>
    <x v="1"/>
    <x v="0"/>
    <x v="0"/>
    <x v="2"/>
  </r>
  <r>
    <s v="CUST00405"/>
    <n v="48"/>
    <s v="Female"/>
    <s v="Mumbai"/>
    <x v="1"/>
    <x v="197"/>
    <x v="746"/>
    <n v="3"/>
    <n v="241.95"/>
    <n v="80.65000000000001"/>
    <x v="2"/>
    <x v="0"/>
    <x v="5"/>
    <x v="0"/>
    <x v="2"/>
  </r>
  <r>
    <s v="CUST00632"/>
    <n v="55"/>
    <s v="Male"/>
    <s v="Chennai"/>
    <x v="1"/>
    <x v="348"/>
    <x v="76"/>
    <n v="4"/>
    <n v="240.56"/>
    <n v="60.14"/>
    <x v="3"/>
    <x v="1"/>
    <x v="0"/>
    <x v="0"/>
    <x v="2"/>
  </r>
  <r>
    <s v="CUST01106"/>
    <n v="23"/>
    <s v="Male"/>
    <s v="Mumbai"/>
    <x v="1"/>
    <x v="82"/>
    <x v="53"/>
    <n v="1"/>
    <n v="239.34"/>
    <n v="239.34"/>
    <x v="2"/>
    <x v="2"/>
    <x v="9"/>
    <x v="0"/>
    <x v="2"/>
  </r>
  <r>
    <s v="CUST00874"/>
    <n v="42"/>
    <s v="Female"/>
    <s v="Bangalore"/>
    <x v="0"/>
    <x v="88"/>
    <x v="438"/>
    <n v="2"/>
    <n v="239.22"/>
    <n v="119.61"/>
    <x v="3"/>
    <x v="1"/>
    <x v="5"/>
    <x v="0"/>
    <x v="2"/>
  </r>
  <r>
    <s v="CUST01829"/>
    <n v="47"/>
    <s v="Male"/>
    <s v="Mumbai"/>
    <x v="2"/>
    <x v="407"/>
    <x v="442"/>
    <n v="7"/>
    <n v="237.09"/>
    <n v="33.87"/>
    <x v="4"/>
    <x v="2"/>
    <x v="5"/>
    <x v="0"/>
    <x v="2"/>
  </r>
  <r>
    <s v="CUST00100"/>
    <n v="37"/>
    <s v="Female"/>
    <s v="Delhi"/>
    <x v="0"/>
    <x v="445"/>
    <x v="765"/>
    <n v="4"/>
    <n v="236.56"/>
    <n v="59.14"/>
    <x v="1"/>
    <x v="0"/>
    <x v="5"/>
    <x v="0"/>
    <x v="2"/>
  </r>
  <r>
    <s v="CUST01420"/>
    <n v="44"/>
    <s v="Male"/>
    <s v="Hyderabad"/>
    <x v="1"/>
    <x v="435"/>
    <x v="178"/>
    <n v="10"/>
    <n v="233.9"/>
    <n v="23.39"/>
    <x v="2"/>
    <x v="0"/>
    <x v="4"/>
    <x v="1"/>
    <x v="2"/>
  </r>
  <r>
    <s v="CUST01631"/>
    <n v="47"/>
    <s v="Female"/>
    <s v="Delhi"/>
    <x v="0"/>
    <x v="389"/>
    <x v="72"/>
    <n v="4"/>
    <n v="233.28"/>
    <n v="58.32"/>
    <x v="3"/>
    <x v="0"/>
    <x v="6"/>
    <x v="0"/>
    <x v="2"/>
  </r>
  <r>
    <s v="CUST01694"/>
    <n v="62"/>
    <s v="Male"/>
    <s v="Pune"/>
    <x v="0"/>
    <x v="163"/>
    <x v="398"/>
    <n v="10"/>
    <n v="233.1"/>
    <n v="23.31"/>
    <x v="2"/>
    <x v="1"/>
    <x v="2"/>
    <x v="0"/>
    <x v="2"/>
  </r>
  <r>
    <s v="CUST01716"/>
    <n v="54"/>
    <s v="Female"/>
    <s v="Mumbai"/>
    <x v="0"/>
    <x v="52"/>
    <x v="604"/>
    <n v="1"/>
    <n v="233.09"/>
    <n v="233.09"/>
    <x v="2"/>
    <x v="1"/>
    <x v="9"/>
    <x v="0"/>
    <x v="2"/>
  </r>
  <r>
    <s v="CUST00324"/>
    <n v="43"/>
    <s v="Male"/>
    <s v="Kolkata"/>
    <x v="0"/>
    <x v="336"/>
    <x v="409"/>
    <n v="6"/>
    <n v="230.22"/>
    <n v="38.37"/>
    <x v="1"/>
    <x v="2"/>
    <x v="0"/>
    <x v="0"/>
    <x v="2"/>
  </r>
  <r>
    <s v="CUST00974"/>
    <n v="48"/>
    <s v="Male"/>
    <s v="Kolkata"/>
    <x v="3"/>
    <x v="333"/>
    <x v="142"/>
    <n v="2"/>
    <n v="228.94"/>
    <n v="114.47"/>
    <x v="4"/>
    <x v="1"/>
    <x v="9"/>
    <x v="1"/>
    <x v="2"/>
  </r>
  <r>
    <s v="CUST00291"/>
    <n v="39"/>
    <s v="Male"/>
    <s v="Delhi"/>
    <x v="3"/>
    <x v="404"/>
    <x v="413"/>
    <n v="5"/>
    <n v="228.75"/>
    <n v="45.75"/>
    <x v="3"/>
    <x v="2"/>
    <x v="4"/>
    <x v="0"/>
    <x v="2"/>
  </r>
  <r>
    <s v="CUST00001"/>
    <n v="26"/>
    <s v="Male"/>
    <s v="Chennai"/>
    <x v="0"/>
    <x v="470"/>
    <x v="304"/>
    <n v="1"/>
    <n v="227.63"/>
    <n v="227.63"/>
    <x v="0"/>
    <x v="1"/>
    <x v="6"/>
    <x v="0"/>
    <x v="2"/>
  </r>
  <r>
    <s v="CUST00846"/>
    <n v="55"/>
    <s v="Male"/>
    <s v="Kolkata"/>
    <x v="2"/>
    <x v="192"/>
    <x v="251"/>
    <n v="4"/>
    <n v="226.6"/>
    <n v="56.65"/>
    <x v="2"/>
    <x v="0"/>
    <x v="5"/>
    <x v="0"/>
    <x v="2"/>
  </r>
  <r>
    <s v="CUST01883"/>
    <n v="63"/>
    <s v="Male"/>
    <s v="Delhi"/>
    <x v="0"/>
    <x v="242"/>
    <x v="539"/>
    <n v="1"/>
    <n v="226.5"/>
    <n v="226.5"/>
    <x v="4"/>
    <x v="2"/>
    <x v="5"/>
    <x v="0"/>
    <x v="2"/>
  </r>
  <r>
    <s v="CUST00446"/>
    <n v="36"/>
    <s v="Male"/>
    <s v="Kolkata"/>
    <x v="0"/>
    <x v="245"/>
    <x v="766"/>
    <n v="10"/>
    <n v="225.6"/>
    <n v="22.56"/>
    <x v="0"/>
    <x v="1"/>
    <x v="0"/>
    <x v="0"/>
    <x v="2"/>
  </r>
  <r>
    <s v="CUST01653"/>
    <n v="52"/>
    <s v="Male"/>
    <s v="Hyderabad"/>
    <x v="3"/>
    <x v="587"/>
    <x v="42"/>
    <n v="6"/>
    <n v="223.68"/>
    <n v="37.28"/>
    <x v="4"/>
    <x v="1"/>
    <x v="8"/>
    <x v="1"/>
    <x v="2"/>
  </r>
  <r>
    <s v="CUST01834"/>
    <n v="60"/>
    <s v="Male"/>
    <s v="Mumbai"/>
    <x v="1"/>
    <x v="609"/>
    <x v="614"/>
    <n v="9"/>
    <n v="223.29"/>
    <n v="24.81"/>
    <x v="3"/>
    <x v="0"/>
    <x v="9"/>
    <x v="0"/>
    <x v="2"/>
  </r>
  <r>
    <s v="CUST01475"/>
    <n v="21"/>
    <s v="Female"/>
    <s v="Pune"/>
    <x v="2"/>
    <x v="645"/>
    <x v="453"/>
    <n v="6"/>
    <n v="223.14"/>
    <n v="37.19"/>
    <x v="1"/>
    <x v="1"/>
    <x v="8"/>
    <x v="0"/>
    <x v="2"/>
  </r>
  <r>
    <s v="CUST01096"/>
    <n v="44"/>
    <s v="Male"/>
    <s v="Bangalore"/>
    <x v="1"/>
    <x v="240"/>
    <x v="497"/>
    <n v="2"/>
    <n v="220"/>
    <n v="110"/>
    <x v="0"/>
    <x v="1"/>
    <x v="3"/>
    <x v="0"/>
    <x v="2"/>
  </r>
  <r>
    <s v="CUST01889"/>
    <n v="28"/>
    <s v="Male"/>
    <s v="Mumbai"/>
    <x v="1"/>
    <x v="642"/>
    <x v="190"/>
    <n v="3"/>
    <n v="219.48"/>
    <n v="73.16"/>
    <x v="3"/>
    <x v="0"/>
    <x v="3"/>
    <x v="0"/>
    <x v="2"/>
  </r>
  <r>
    <s v="CUST00210"/>
    <n v="64"/>
    <s v="Male"/>
    <s v="Hyderabad"/>
    <x v="1"/>
    <x v="169"/>
    <x v="309"/>
    <n v="3"/>
    <n v="218.07"/>
    <n v="72.69"/>
    <x v="4"/>
    <x v="1"/>
    <x v="6"/>
    <x v="0"/>
    <x v="2"/>
  </r>
  <r>
    <s v="CUST00539"/>
    <n v="40"/>
    <s v="Male"/>
    <s v="Kolkata"/>
    <x v="2"/>
    <x v="640"/>
    <x v="242"/>
    <n v="1"/>
    <n v="216.94"/>
    <n v="216.94"/>
    <x v="3"/>
    <x v="2"/>
    <x v="7"/>
    <x v="0"/>
    <x v="2"/>
  </r>
  <r>
    <s v="CUST00635"/>
    <n v="32"/>
    <s v="Male"/>
    <s v="Delhi"/>
    <x v="0"/>
    <x v="472"/>
    <x v="657"/>
    <n v="4"/>
    <n v="216.84"/>
    <n v="54.21"/>
    <x v="3"/>
    <x v="2"/>
    <x v="2"/>
    <x v="0"/>
    <x v="2"/>
  </r>
  <r>
    <s v="CUST01362"/>
    <n v="42"/>
    <s v="Female"/>
    <s v="Mumbai"/>
    <x v="2"/>
    <x v="153"/>
    <x v="666"/>
    <n v="1"/>
    <n v="215.39"/>
    <n v="215.39"/>
    <x v="2"/>
    <x v="0"/>
    <x v="4"/>
    <x v="0"/>
    <x v="2"/>
  </r>
  <r>
    <s v="CUST01258"/>
    <n v="32"/>
    <s v="Female"/>
    <s v="Chennai"/>
    <x v="0"/>
    <x v="579"/>
    <x v="223"/>
    <n v="3"/>
    <n v="215.04"/>
    <n v="71.68000000000001"/>
    <x v="4"/>
    <x v="1"/>
    <x v="8"/>
    <x v="0"/>
    <x v="2"/>
  </r>
  <r>
    <s v="CUST00906"/>
    <n v="27"/>
    <s v="Female"/>
    <s v="Chennai"/>
    <x v="2"/>
    <x v="433"/>
    <x v="394"/>
    <n v="8"/>
    <n v="213.76"/>
    <n v="26.72"/>
    <x v="1"/>
    <x v="0"/>
    <x v="7"/>
    <x v="0"/>
    <x v="2"/>
  </r>
  <r>
    <s v="CUST00032"/>
    <n v="20"/>
    <s v="Female"/>
    <s v="Mumbai"/>
    <x v="1"/>
    <x v="290"/>
    <x v="276"/>
    <n v="2"/>
    <n v="212.62"/>
    <n v="106.31"/>
    <x v="3"/>
    <x v="1"/>
    <x v="3"/>
    <x v="0"/>
    <x v="2"/>
  </r>
  <r>
    <s v="CUST00936"/>
    <n v="43"/>
    <s v="Female"/>
    <s v="Mumbai"/>
    <x v="3"/>
    <x v="453"/>
    <x v="381"/>
    <n v="3"/>
    <n v="211.44"/>
    <n v="70.48"/>
    <x v="4"/>
    <x v="2"/>
    <x v="9"/>
    <x v="1"/>
    <x v="2"/>
  </r>
  <r>
    <s v="CUST00476"/>
    <n v="52"/>
    <s v="Male"/>
    <s v="Bangalore"/>
    <x v="1"/>
    <x v="587"/>
    <x v="421"/>
    <n v="2"/>
    <n v="210.68"/>
    <n v="105.34"/>
    <x v="1"/>
    <x v="2"/>
    <x v="7"/>
    <x v="1"/>
    <x v="2"/>
  </r>
  <r>
    <s v="CUST00310"/>
    <n v="30"/>
    <s v="Female"/>
    <s v="Chennai"/>
    <x v="2"/>
    <x v="38"/>
    <x v="532"/>
    <n v="6"/>
    <n v="209.94"/>
    <n v="34.99"/>
    <x v="4"/>
    <x v="1"/>
    <x v="0"/>
    <x v="0"/>
    <x v="2"/>
  </r>
  <r>
    <s v="CUST01787"/>
    <n v="19"/>
    <s v="Male"/>
    <s v="Pune"/>
    <x v="2"/>
    <x v="284"/>
    <x v="277"/>
    <n v="3"/>
    <n v="208.74"/>
    <n v="69.58"/>
    <x v="0"/>
    <x v="1"/>
    <x v="3"/>
    <x v="0"/>
    <x v="2"/>
  </r>
  <r>
    <s v="CUST00028"/>
    <n v="60"/>
    <s v="Male"/>
    <s v="Mumbai"/>
    <x v="2"/>
    <x v="146"/>
    <x v="767"/>
    <n v="1"/>
    <n v="207"/>
    <n v="207"/>
    <x v="3"/>
    <x v="2"/>
    <x v="3"/>
    <x v="0"/>
    <x v="2"/>
  </r>
  <r>
    <s v="CUST00992"/>
    <n v="19"/>
    <s v="Male"/>
    <s v="Bangalore"/>
    <x v="0"/>
    <x v="10"/>
    <x v="516"/>
    <n v="1"/>
    <n v="206.49"/>
    <n v="206.49"/>
    <x v="1"/>
    <x v="0"/>
    <x v="6"/>
    <x v="0"/>
    <x v="2"/>
  </r>
  <r>
    <s v="CUST00667"/>
    <n v="53"/>
    <s v="Male"/>
    <s v="Delhi"/>
    <x v="3"/>
    <x v="639"/>
    <x v="28"/>
    <n v="8"/>
    <n v="206.48"/>
    <n v="25.81"/>
    <x v="1"/>
    <x v="1"/>
    <x v="5"/>
    <x v="1"/>
    <x v="2"/>
  </r>
  <r>
    <s v="CUST01618"/>
    <n v="26"/>
    <s v="Male"/>
    <s v="Delhi"/>
    <x v="0"/>
    <x v="169"/>
    <x v="444"/>
    <n v="4"/>
    <n v="206.24"/>
    <n v="51.56"/>
    <x v="0"/>
    <x v="0"/>
    <x v="6"/>
    <x v="0"/>
    <x v="2"/>
  </r>
  <r>
    <s v="CUST01751"/>
    <n v="47"/>
    <s v="Female"/>
    <s v="Kolkata"/>
    <x v="1"/>
    <x v="631"/>
    <x v="365"/>
    <n v="8"/>
    <n v="205.92"/>
    <n v="25.74"/>
    <x v="4"/>
    <x v="1"/>
    <x v="6"/>
    <x v="0"/>
    <x v="2"/>
  </r>
  <r>
    <s v="CUST00863"/>
    <n v="32"/>
    <s v="Female"/>
    <s v="Delhi"/>
    <x v="0"/>
    <x v="80"/>
    <x v="83"/>
    <n v="9"/>
    <n v="204.84"/>
    <n v="22.76"/>
    <x v="1"/>
    <x v="0"/>
    <x v="1"/>
    <x v="0"/>
    <x v="2"/>
  </r>
  <r>
    <s v="CUST01676"/>
    <n v="42"/>
    <s v="Female"/>
    <s v="Kolkata"/>
    <x v="3"/>
    <x v="427"/>
    <x v="46"/>
    <n v="2"/>
    <n v="204.26"/>
    <n v="102.13"/>
    <x v="2"/>
    <x v="1"/>
    <x v="7"/>
    <x v="0"/>
    <x v="2"/>
  </r>
  <r>
    <s v="CUST01256"/>
    <n v="25"/>
    <s v="Female"/>
    <s v="Delhi"/>
    <x v="0"/>
    <x v="109"/>
    <x v="148"/>
    <n v="1"/>
    <n v="201.83"/>
    <n v="201.83"/>
    <x v="2"/>
    <x v="0"/>
    <x v="7"/>
    <x v="0"/>
    <x v="2"/>
  </r>
  <r>
    <s v="CUST00778"/>
    <n v="40"/>
    <s v="Female"/>
    <s v="Hyderabad"/>
    <x v="0"/>
    <x v="112"/>
    <x v="583"/>
    <n v="9"/>
    <n v="201.51"/>
    <n v="22.39"/>
    <x v="2"/>
    <x v="0"/>
    <x v="3"/>
    <x v="0"/>
    <x v="2"/>
  </r>
  <r>
    <s v="CUST01151"/>
    <n v="42"/>
    <s v="Female"/>
    <s v="Chennai"/>
    <x v="3"/>
    <x v="485"/>
    <x v="768"/>
    <n v="8"/>
    <n v="200.48"/>
    <n v="25.06"/>
    <x v="0"/>
    <x v="1"/>
    <x v="4"/>
    <x v="0"/>
    <x v="2"/>
  </r>
  <r>
    <s v="CUST01880"/>
    <n v="52"/>
    <s v="Male"/>
    <s v="Kolkata"/>
    <x v="0"/>
    <x v="401"/>
    <x v="439"/>
    <n v="2"/>
    <n v="199.22"/>
    <n v="99.61"/>
    <x v="4"/>
    <x v="0"/>
    <x v="2"/>
    <x v="0"/>
    <x v="2"/>
  </r>
  <r>
    <s v="CUST01755"/>
    <n v="53"/>
    <s v="Female"/>
    <s v="Pune"/>
    <x v="2"/>
    <x v="661"/>
    <x v="268"/>
    <n v="1"/>
    <n v="198.42"/>
    <n v="198.42"/>
    <x v="1"/>
    <x v="2"/>
    <x v="5"/>
    <x v="0"/>
    <x v="2"/>
  </r>
  <r>
    <s v="CUST00750"/>
    <n v="46"/>
    <s v="Female"/>
    <s v="Delhi"/>
    <x v="3"/>
    <x v="477"/>
    <x v="347"/>
    <n v="2"/>
    <n v="195.64"/>
    <n v="97.81999999999999"/>
    <x v="1"/>
    <x v="1"/>
    <x v="8"/>
    <x v="0"/>
    <x v="2"/>
  </r>
  <r>
    <s v="CUST01463"/>
    <n v="53"/>
    <s v="Male"/>
    <s v="Kolkata"/>
    <x v="2"/>
    <x v="52"/>
    <x v="214"/>
    <n v="2"/>
    <n v="194.84"/>
    <n v="97.42"/>
    <x v="0"/>
    <x v="0"/>
    <x v="1"/>
    <x v="0"/>
    <x v="2"/>
  </r>
  <r>
    <s v="CUST01300"/>
    <n v="28"/>
    <s v="Female"/>
    <s v="Kolkata"/>
    <x v="2"/>
    <x v="657"/>
    <x v="215"/>
    <n v="1"/>
    <n v="194.12"/>
    <n v="194.12"/>
    <x v="1"/>
    <x v="0"/>
    <x v="1"/>
    <x v="0"/>
    <x v="2"/>
  </r>
  <r>
    <s v="CUST01150"/>
    <n v="44"/>
    <s v="Male"/>
    <s v="Bangalore"/>
    <x v="2"/>
    <x v="539"/>
    <x v="436"/>
    <n v="9"/>
    <n v="192.69"/>
    <n v="21.41"/>
    <x v="2"/>
    <x v="0"/>
    <x v="9"/>
    <x v="0"/>
    <x v="2"/>
  </r>
  <r>
    <s v="CUST01136"/>
    <n v="22"/>
    <s v="Male"/>
    <s v="Mumbai"/>
    <x v="3"/>
    <x v="456"/>
    <x v="534"/>
    <n v="1"/>
    <n v="190.96"/>
    <n v="190.96"/>
    <x v="1"/>
    <x v="2"/>
    <x v="0"/>
    <x v="0"/>
    <x v="2"/>
  </r>
  <r>
    <s v="CUST01660"/>
    <n v="53"/>
    <s v="Female"/>
    <s v="Delhi"/>
    <x v="3"/>
    <x v="22"/>
    <x v="474"/>
    <n v="5"/>
    <n v="190.65"/>
    <n v="38.13"/>
    <x v="1"/>
    <x v="2"/>
    <x v="9"/>
    <x v="1"/>
    <x v="2"/>
  </r>
  <r>
    <s v="CUST00115"/>
    <n v="62"/>
    <s v="Female"/>
    <s v="Delhi"/>
    <x v="1"/>
    <x v="412"/>
    <x v="769"/>
    <n v="1"/>
    <n v="190.52"/>
    <n v="190.52"/>
    <x v="4"/>
    <x v="0"/>
    <x v="1"/>
    <x v="0"/>
    <x v="2"/>
  </r>
  <r>
    <s v="CUST01789"/>
    <n v="35"/>
    <s v="Male"/>
    <s v="Mumbai"/>
    <x v="2"/>
    <x v="643"/>
    <x v="699"/>
    <n v="8"/>
    <n v="190.32"/>
    <n v="23.79"/>
    <x v="0"/>
    <x v="2"/>
    <x v="1"/>
    <x v="0"/>
    <x v="2"/>
  </r>
  <r>
    <s v="CUST01306"/>
    <n v="23"/>
    <s v="Male"/>
    <s v="Delhi"/>
    <x v="0"/>
    <x v="155"/>
    <x v="222"/>
    <n v="3"/>
    <n v="189.36"/>
    <n v="63.12"/>
    <x v="4"/>
    <x v="0"/>
    <x v="8"/>
    <x v="0"/>
    <x v="2"/>
  </r>
  <r>
    <s v="CUST01462"/>
    <n v="39"/>
    <s v="Female"/>
    <s v="Delhi"/>
    <x v="1"/>
    <x v="9"/>
    <x v="42"/>
    <n v="4"/>
    <n v="186.6"/>
    <n v="46.65"/>
    <x v="0"/>
    <x v="2"/>
    <x v="4"/>
    <x v="0"/>
    <x v="2"/>
  </r>
  <r>
    <s v="CUST00348"/>
    <n v="31"/>
    <s v="Female"/>
    <s v="Bangalore"/>
    <x v="1"/>
    <x v="466"/>
    <x v="770"/>
    <n v="6"/>
    <n v="186.18"/>
    <n v="31.03"/>
    <x v="3"/>
    <x v="2"/>
    <x v="8"/>
    <x v="0"/>
    <x v="2"/>
  </r>
  <r>
    <s v="CUST01836"/>
    <n v="48"/>
    <s v="Male"/>
    <s v="Hyderabad"/>
    <x v="2"/>
    <x v="629"/>
    <x v="711"/>
    <n v="5"/>
    <n v="185.7"/>
    <n v="37.14"/>
    <x v="4"/>
    <x v="0"/>
    <x v="9"/>
    <x v="1"/>
    <x v="2"/>
  </r>
  <r>
    <s v="CUST01732"/>
    <n v="40"/>
    <s v="Female"/>
    <s v="Mumbai"/>
    <x v="1"/>
    <x v="322"/>
    <x v="663"/>
    <n v="2"/>
    <n v="184.38"/>
    <n v="92.19"/>
    <x v="3"/>
    <x v="1"/>
    <x v="1"/>
    <x v="1"/>
    <x v="2"/>
  </r>
  <r>
    <s v="CUST01643"/>
    <n v="20"/>
    <s v="Female"/>
    <s v="Chennai"/>
    <x v="3"/>
    <x v="602"/>
    <x v="77"/>
    <n v="2"/>
    <n v="183.1"/>
    <n v="91.55"/>
    <x v="2"/>
    <x v="0"/>
    <x v="3"/>
    <x v="0"/>
    <x v="2"/>
  </r>
  <r>
    <s v="CUST00524"/>
    <n v="31"/>
    <s v="Female"/>
    <s v="Mumbai"/>
    <x v="1"/>
    <x v="348"/>
    <x v="593"/>
    <n v="1"/>
    <n v="181.72"/>
    <n v="181.72"/>
    <x v="4"/>
    <x v="1"/>
    <x v="3"/>
    <x v="0"/>
    <x v="2"/>
  </r>
  <r>
    <s v="CUST01629"/>
    <n v="57"/>
    <s v="Female"/>
    <s v="Hyderabad"/>
    <x v="3"/>
    <x v="518"/>
    <x v="366"/>
    <n v="2"/>
    <n v="179.84"/>
    <n v="89.92"/>
    <x v="0"/>
    <x v="0"/>
    <x v="2"/>
    <x v="1"/>
    <x v="2"/>
  </r>
  <r>
    <s v="CUST00097"/>
    <n v="61"/>
    <s v="Female"/>
    <s v="Kolkata"/>
    <x v="2"/>
    <x v="662"/>
    <x v="105"/>
    <n v="3"/>
    <n v="178.23"/>
    <n v="59.41"/>
    <x v="3"/>
    <x v="1"/>
    <x v="6"/>
    <x v="0"/>
    <x v="2"/>
  </r>
  <r>
    <s v="CUST01334"/>
    <n v="28"/>
    <s v="Male"/>
    <s v="Delhi"/>
    <x v="2"/>
    <x v="663"/>
    <x v="14"/>
    <n v="3"/>
    <n v="177.54"/>
    <n v="59.18"/>
    <x v="4"/>
    <x v="1"/>
    <x v="8"/>
    <x v="1"/>
    <x v="2"/>
  </r>
  <r>
    <s v="CUST00761"/>
    <n v="53"/>
    <s v="Male"/>
    <s v="Hyderabad"/>
    <x v="2"/>
    <x v="594"/>
    <x v="766"/>
    <n v="2"/>
    <n v="172.94"/>
    <n v="86.47"/>
    <x v="1"/>
    <x v="2"/>
    <x v="0"/>
    <x v="0"/>
    <x v="2"/>
  </r>
  <r>
    <s v="CUST01860"/>
    <n v="62"/>
    <s v="Female"/>
    <s v="Kolkata"/>
    <x v="0"/>
    <x v="516"/>
    <x v="197"/>
    <n v="2"/>
    <n v="172"/>
    <n v="86"/>
    <x v="3"/>
    <x v="1"/>
    <x v="6"/>
    <x v="0"/>
    <x v="2"/>
  </r>
  <r>
    <s v="CUST01429"/>
    <n v="18"/>
    <s v="Male"/>
    <s v="Pune"/>
    <x v="3"/>
    <x v="648"/>
    <x v="89"/>
    <n v="4"/>
    <n v="171.96"/>
    <n v="42.99"/>
    <x v="2"/>
    <x v="2"/>
    <x v="5"/>
    <x v="0"/>
    <x v="2"/>
  </r>
  <r>
    <s v="CUST00644"/>
    <n v="60"/>
    <s v="Female"/>
    <s v="Pune"/>
    <x v="3"/>
    <x v="240"/>
    <x v="297"/>
    <n v="1"/>
    <n v="170.76"/>
    <n v="170.76"/>
    <x v="4"/>
    <x v="2"/>
    <x v="2"/>
    <x v="1"/>
    <x v="2"/>
  </r>
  <r>
    <s v="CUST01422"/>
    <n v="39"/>
    <s v="Female"/>
    <s v="Kolkata"/>
    <x v="3"/>
    <x v="275"/>
    <x v="771"/>
    <n v="4"/>
    <n v="169.56"/>
    <n v="42.39"/>
    <x v="4"/>
    <x v="0"/>
    <x v="3"/>
    <x v="0"/>
    <x v="2"/>
  </r>
  <r>
    <s v="CUST01544"/>
    <n v="45"/>
    <s v="Male"/>
    <s v="Chennai"/>
    <x v="1"/>
    <x v="303"/>
    <x v="334"/>
    <n v="7"/>
    <n v="169.26"/>
    <n v="24.18"/>
    <x v="1"/>
    <x v="0"/>
    <x v="9"/>
    <x v="0"/>
    <x v="2"/>
  </r>
  <r>
    <s v="CUST00300"/>
    <n v="57"/>
    <s v="Male"/>
    <s v="Kolkata"/>
    <x v="1"/>
    <x v="623"/>
    <x v="124"/>
    <n v="1"/>
    <n v="167.41"/>
    <n v="167.41"/>
    <x v="4"/>
    <x v="0"/>
    <x v="5"/>
    <x v="1"/>
    <x v="2"/>
  </r>
  <r>
    <s v="CUST00031"/>
    <n v="27"/>
    <s v="Male"/>
    <s v="Kolkata"/>
    <x v="2"/>
    <x v="664"/>
    <x v="471"/>
    <n v="4"/>
    <n v="164.28"/>
    <n v="41.07"/>
    <x v="0"/>
    <x v="0"/>
    <x v="5"/>
    <x v="0"/>
    <x v="2"/>
  </r>
  <r>
    <s v="CUST01748"/>
    <n v="20"/>
    <s v="Male"/>
    <s v="Hyderabad"/>
    <x v="3"/>
    <x v="502"/>
    <x v="578"/>
    <n v="5"/>
    <n v="164"/>
    <n v="32.8"/>
    <x v="0"/>
    <x v="0"/>
    <x v="6"/>
    <x v="0"/>
    <x v="2"/>
  </r>
  <r>
    <s v="CUST01190"/>
    <n v="64"/>
    <s v="Female"/>
    <s v="Chennai"/>
    <x v="3"/>
    <x v="341"/>
    <x v="3"/>
    <n v="4"/>
    <n v="163.36"/>
    <n v="40.84"/>
    <x v="3"/>
    <x v="0"/>
    <x v="7"/>
    <x v="1"/>
    <x v="2"/>
  </r>
  <r>
    <s v="CUST01338"/>
    <n v="19"/>
    <s v="Female"/>
    <s v="Pune"/>
    <x v="0"/>
    <x v="413"/>
    <x v="11"/>
    <n v="1"/>
    <n v="162.87"/>
    <n v="162.87"/>
    <x v="3"/>
    <x v="2"/>
    <x v="4"/>
    <x v="0"/>
    <x v="2"/>
  </r>
  <r>
    <s v="CUST01110"/>
    <n v="47"/>
    <s v="Female"/>
    <s v="Chennai"/>
    <x v="3"/>
    <x v="440"/>
    <x v="772"/>
    <n v="6"/>
    <n v="162.48"/>
    <n v="27.08"/>
    <x v="1"/>
    <x v="0"/>
    <x v="3"/>
    <x v="0"/>
    <x v="2"/>
  </r>
  <r>
    <s v="CUST01287"/>
    <n v="52"/>
    <s v="Male"/>
    <s v="Hyderabad"/>
    <x v="1"/>
    <x v="507"/>
    <x v="12"/>
    <n v="5"/>
    <n v="159.6"/>
    <n v="31.92"/>
    <x v="4"/>
    <x v="2"/>
    <x v="7"/>
    <x v="0"/>
    <x v="2"/>
  </r>
  <r>
    <s v="CUST01925"/>
    <n v="45"/>
    <s v="Male"/>
    <s v="Bangalore"/>
    <x v="0"/>
    <x v="172"/>
    <x v="441"/>
    <n v="7"/>
    <n v="158.9"/>
    <n v="22.7"/>
    <x v="4"/>
    <x v="2"/>
    <x v="8"/>
    <x v="0"/>
    <x v="2"/>
  </r>
  <r>
    <s v="CUST01673"/>
    <n v="61"/>
    <s v="Male"/>
    <s v="Mumbai"/>
    <x v="3"/>
    <x v="417"/>
    <x v="716"/>
    <n v="4"/>
    <n v="158.84"/>
    <n v="39.71"/>
    <x v="1"/>
    <x v="1"/>
    <x v="9"/>
    <x v="1"/>
    <x v="2"/>
  </r>
  <r>
    <s v="CUST01726"/>
    <n v="18"/>
    <s v="Male"/>
    <s v="Kolkata"/>
    <x v="3"/>
    <x v="665"/>
    <x v="172"/>
    <n v="3"/>
    <n v="157.59"/>
    <n v="52.53"/>
    <x v="3"/>
    <x v="0"/>
    <x v="8"/>
    <x v="0"/>
    <x v="2"/>
  </r>
  <r>
    <s v="CUST00752"/>
    <n v="55"/>
    <s v="Female"/>
    <s v="Kolkata"/>
    <x v="2"/>
    <x v="505"/>
    <x v="149"/>
    <n v="1"/>
    <n v="154.39"/>
    <n v="154.39"/>
    <x v="1"/>
    <x v="2"/>
    <x v="2"/>
    <x v="0"/>
    <x v="2"/>
  </r>
  <r>
    <s v="CUST00839"/>
    <n v="55"/>
    <s v="Male"/>
    <s v="Chennai"/>
    <x v="0"/>
    <x v="194"/>
    <x v="555"/>
    <n v="3"/>
    <n v="153.57"/>
    <n v="51.19"/>
    <x v="0"/>
    <x v="1"/>
    <x v="5"/>
    <x v="0"/>
    <x v="2"/>
  </r>
  <r>
    <s v="CUST00597"/>
    <n v="62"/>
    <s v="Male"/>
    <s v="Hyderabad"/>
    <x v="1"/>
    <x v="109"/>
    <x v="410"/>
    <n v="3"/>
    <n v="151.86"/>
    <n v="50.62"/>
    <x v="1"/>
    <x v="0"/>
    <x v="6"/>
    <x v="0"/>
    <x v="2"/>
  </r>
  <r>
    <s v="CUST01800"/>
    <n v="57"/>
    <s v="Female"/>
    <s v="Bangalore"/>
    <x v="1"/>
    <x v="402"/>
    <x v="3"/>
    <n v="2"/>
    <n v="151.14"/>
    <n v="75.56999999999999"/>
    <x v="0"/>
    <x v="1"/>
    <x v="5"/>
    <x v="0"/>
    <x v="2"/>
  </r>
  <r>
    <s v="CUST00567"/>
    <n v="55"/>
    <s v="Male"/>
    <s v="Hyderabad"/>
    <x v="3"/>
    <x v="147"/>
    <x v="458"/>
    <n v="2"/>
    <n v="148.12"/>
    <n v="74.06"/>
    <x v="3"/>
    <x v="0"/>
    <x v="1"/>
    <x v="0"/>
    <x v="2"/>
  </r>
  <r>
    <s v="CUST01204"/>
    <n v="65"/>
    <s v="Male"/>
    <s v="Hyderabad"/>
    <x v="0"/>
    <x v="160"/>
    <x v="138"/>
    <n v="1"/>
    <n v="144.31"/>
    <n v="144.31"/>
    <x v="2"/>
    <x v="1"/>
    <x v="7"/>
    <x v="0"/>
    <x v="2"/>
  </r>
  <r>
    <s v="CUST00711"/>
    <n v="63"/>
    <s v="Male"/>
    <s v="Delhi"/>
    <x v="2"/>
    <x v="175"/>
    <x v="372"/>
    <n v="1"/>
    <n v="143.92"/>
    <n v="143.92"/>
    <x v="4"/>
    <x v="1"/>
    <x v="5"/>
    <x v="0"/>
    <x v="2"/>
  </r>
  <r>
    <s v="CUST01718"/>
    <n v="59"/>
    <s v="Male"/>
    <s v="Bangalore"/>
    <x v="0"/>
    <x v="347"/>
    <x v="102"/>
    <n v="3"/>
    <n v="141.12"/>
    <n v="47.04"/>
    <x v="0"/>
    <x v="0"/>
    <x v="4"/>
    <x v="0"/>
    <x v="2"/>
  </r>
  <r>
    <s v="CUST00956"/>
    <n v="58"/>
    <s v="Male"/>
    <s v="Delhi"/>
    <x v="0"/>
    <x v="338"/>
    <x v="47"/>
    <n v="3"/>
    <n v="138.33"/>
    <n v="46.11"/>
    <x v="0"/>
    <x v="1"/>
    <x v="6"/>
    <x v="0"/>
    <x v="2"/>
  </r>
  <r>
    <s v="CUST00169"/>
    <n v="57"/>
    <s v="Female"/>
    <s v="Mumbai"/>
    <x v="1"/>
    <x v="429"/>
    <x v="479"/>
    <n v="4"/>
    <n v="136.68"/>
    <n v="34.17"/>
    <x v="4"/>
    <x v="0"/>
    <x v="9"/>
    <x v="0"/>
    <x v="2"/>
  </r>
  <r>
    <s v="CUST01444"/>
    <n v="22"/>
    <s v="Female"/>
    <s v="Kolkata"/>
    <x v="3"/>
    <x v="452"/>
    <x v="494"/>
    <n v="1"/>
    <n v="134.05"/>
    <n v="134.05"/>
    <x v="2"/>
    <x v="0"/>
    <x v="4"/>
    <x v="0"/>
    <x v="2"/>
  </r>
  <r>
    <s v="CUST01703"/>
    <n v="29"/>
    <s v="Male"/>
    <s v="Mumbai"/>
    <x v="0"/>
    <x v="666"/>
    <x v="16"/>
    <n v="4"/>
    <n v="130.16"/>
    <n v="32.54"/>
    <x v="3"/>
    <x v="2"/>
    <x v="3"/>
    <x v="1"/>
    <x v="2"/>
  </r>
  <r>
    <s v="CUST01501"/>
    <n v="24"/>
    <s v="Female"/>
    <s v="Kolkata"/>
    <x v="2"/>
    <x v="360"/>
    <x v="773"/>
    <n v="3"/>
    <n v="129.42"/>
    <n v="43.14"/>
    <x v="3"/>
    <x v="0"/>
    <x v="4"/>
    <x v="0"/>
    <x v="2"/>
  </r>
  <r>
    <s v="CUST00050"/>
    <n v="43"/>
    <s v="Male"/>
    <s v="Kolkata"/>
    <x v="3"/>
    <x v="263"/>
    <x v="491"/>
    <n v="1"/>
    <n v="128.88"/>
    <n v="128.88"/>
    <x v="1"/>
    <x v="0"/>
    <x v="3"/>
    <x v="0"/>
    <x v="2"/>
  </r>
  <r>
    <s v="CUST00392"/>
    <n v="32"/>
    <s v="Female"/>
    <s v="Bangalore"/>
    <x v="2"/>
    <x v="286"/>
    <x v="45"/>
    <n v="6"/>
    <n v="128.1"/>
    <n v="21.35"/>
    <x v="1"/>
    <x v="0"/>
    <x v="9"/>
    <x v="0"/>
    <x v="2"/>
  </r>
  <r>
    <s v="CUST01088"/>
    <n v="32"/>
    <s v="Male"/>
    <s v="Delhi"/>
    <x v="2"/>
    <x v="35"/>
    <x v="692"/>
    <n v="2"/>
    <n v="127.9"/>
    <n v="63.95"/>
    <x v="3"/>
    <x v="1"/>
    <x v="7"/>
    <x v="0"/>
    <x v="2"/>
  </r>
  <r>
    <s v="CUST00564"/>
    <n v="48"/>
    <s v="Male"/>
    <s v="Pune"/>
    <x v="2"/>
    <x v="239"/>
    <x v="364"/>
    <n v="1"/>
    <n v="127.64"/>
    <n v="127.64"/>
    <x v="4"/>
    <x v="0"/>
    <x v="1"/>
    <x v="0"/>
    <x v="2"/>
  </r>
  <r>
    <s v="CUST01738"/>
    <n v="37"/>
    <s v="Male"/>
    <s v="Chennai"/>
    <x v="0"/>
    <x v="316"/>
    <x v="623"/>
    <n v="4"/>
    <n v="127.6"/>
    <n v="31.9"/>
    <x v="1"/>
    <x v="2"/>
    <x v="8"/>
    <x v="0"/>
    <x v="2"/>
  </r>
  <r>
    <s v="CUST01591"/>
    <n v="58"/>
    <s v="Male"/>
    <s v="Pune"/>
    <x v="1"/>
    <x v="603"/>
    <x v="127"/>
    <n v="2"/>
    <n v="127.32"/>
    <n v="63.66"/>
    <x v="3"/>
    <x v="2"/>
    <x v="5"/>
    <x v="0"/>
    <x v="2"/>
  </r>
  <r>
    <s v="CUST00438"/>
    <n v="38"/>
    <s v="Female"/>
    <s v="Chennai"/>
    <x v="2"/>
    <x v="236"/>
    <x v="713"/>
    <n v="3"/>
    <n v="126.45"/>
    <n v="42.15"/>
    <x v="4"/>
    <x v="0"/>
    <x v="7"/>
    <x v="0"/>
    <x v="2"/>
  </r>
  <r>
    <s v="CUST01555"/>
    <n v="45"/>
    <s v="Male"/>
    <s v="Kolkata"/>
    <x v="2"/>
    <x v="52"/>
    <x v="728"/>
    <n v="1"/>
    <n v="126.35"/>
    <n v="126.35"/>
    <x v="1"/>
    <x v="1"/>
    <x v="2"/>
    <x v="0"/>
    <x v="2"/>
  </r>
  <r>
    <s v="CUST01708"/>
    <n v="35"/>
    <s v="Female"/>
    <s v="Chennai"/>
    <x v="3"/>
    <x v="516"/>
    <x v="553"/>
    <n v="6"/>
    <n v="125.88"/>
    <n v="20.98"/>
    <x v="2"/>
    <x v="2"/>
    <x v="9"/>
    <x v="0"/>
    <x v="2"/>
  </r>
  <r>
    <s v="CUST01817"/>
    <n v="28"/>
    <s v="Male"/>
    <s v="Delhi"/>
    <x v="3"/>
    <x v="3"/>
    <x v="203"/>
    <n v="5"/>
    <n v="125.4"/>
    <n v="25.08"/>
    <x v="3"/>
    <x v="2"/>
    <x v="8"/>
    <x v="1"/>
    <x v="2"/>
  </r>
  <r>
    <s v="CUST01815"/>
    <n v="61"/>
    <s v="Female"/>
    <s v="Bangalore"/>
    <x v="3"/>
    <x v="34"/>
    <x v="164"/>
    <n v="3"/>
    <n v="125.1"/>
    <n v="41.7"/>
    <x v="4"/>
    <x v="2"/>
    <x v="4"/>
    <x v="0"/>
    <x v="2"/>
  </r>
  <r>
    <s v="CUST00411"/>
    <n v="42"/>
    <s v="Female"/>
    <s v="Bangalore"/>
    <x v="0"/>
    <x v="371"/>
    <x v="774"/>
    <n v="1"/>
    <n v="125.01"/>
    <n v="125.01"/>
    <x v="1"/>
    <x v="1"/>
    <x v="4"/>
    <x v="0"/>
    <x v="2"/>
  </r>
  <r>
    <s v="CUST01784"/>
    <n v="41"/>
    <s v="Female"/>
    <s v="Kolkata"/>
    <x v="3"/>
    <x v="190"/>
    <x v="775"/>
    <n v="1"/>
    <n v="124.68"/>
    <n v="124.68"/>
    <x v="0"/>
    <x v="0"/>
    <x v="1"/>
    <x v="0"/>
    <x v="2"/>
  </r>
  <r>
    <s v="CUST01089"/>
    <n v="63"/>
    <s v="Female"/>
    <s v="Delhi"/>
    <x v="0"/>
    <x v="71"/>
    <x v="776"/>
    <n v="3"/>
    <n v="124.29"/>
    <n v="41.43"/>
    <x v="0"/>
    <x v="0"/>
    <x v="5"/>
    <x v="0"/>
    <x v="2"/>
  </r>
  <r>
    <s v="CUST01072"/>
    <n v="54"/>
    <s v="Female"/>
    <s v="Chennai"/>
    <x v="3"/>
    <x v="603"/>
    <x v="563"/>
    <n v="1"/>
    <n v="123.47"/>
    <n v="123.47"/>
    <x v="0"/>
    <x v="2"/>
    <x v="2"/>
    <x v="0"/>
    <x v="2"/>
  </r>
  <r>
    <s v="CUST01632"/>
    <n v="65"/>
    <s v="Female"/>
    <s v="Pune"/>
    <x v="1"/>
    <x v="483"/>
    <x v="707"/>
    <n v="4"/>
    <n v="123.36"/>
    <n v="30.84"/>
    <x v="3"/>
    <x v="1"/>
    <x v="7"/>
    <x v="1"/>
    <x v="2"/>
  </r>
  <r>
    <s v="CUST01024"/>
    <n v="46"/>
    <s v="Female"/>
    <s v="Pune"/>
    <x v="0"/>
    <x v="146"/>
    <x v="578"/>
    <n v="4"/>
    <n v="121.92"/>
    <n v="30.48"/>
    <x v="1"/>
    <x v="1"/>
    <x v="8"/>
    <x v="0"/>
    <x v="2"/>
  </r>
  <r>
    <s v="CUST00383"/>
    <n v="34"/>
    <s v="Male"/>
    <s v="Pune"/>
    <x v="1"/>
    <x v="261"/>
    <x v="131"/>
    <n v="3"/>
    <n v="121.53"/>
    <n v="40.51"/>
    <x v="4"/>
    <x v="1"/>
    <x v="7"/>
    <x v="1"/>
    <x v="2"/>
  </r>
  <r>
    <s v="CUST00508"/>
    <n v="54"/>
    <s v="Female"/>
    <s v="Bangalore"/>
    <x v="0"/>
    <x v="126"/>
    <x v="134"/>
    <n v="2"/>
    <n v="121.4"/>
    <n v="60.7"/>
    <x v="3"/>
    <x v="2"/>
    <x v="7"/>
    <x v="1"/>
    <x v="2"/>
  </r>
  <r>
    <s v="CUST00944"/>
    <n v="30"/>
    <s v="Female"/>
    <s v="Chennai"/>
    <x v="1"/>
    <x v="470"/>
    <x v="777"/>
    <n v="4"/>
    <n v="120.84"/>
    <n v="30.21"/>
    <x v="0"/>
    <x v="1"/>
    <x v="0"/>
    <x v="0"/>
    <x v="2"/>
  </r>
  <r>
    <s v="CUST01283"/>
    <n v="32"/>
    <s v="Male"/>
    <s v="Hyderabad"/>
    <x v="0"/>
    <x v="495"/>
    <x v="354"/>
    <n v="2"/>
    <n v="120.34"/>
    <n v="60.17"/>
    <x v="0"/>
    <x v="2"/>
    <x v="7"/>
    <x v="1"/>
    <x v="2"/>
  </r>
  <r>
    <s v="CUST00562"/>
    <n v="46"/>
    <s v="Male"/>
    <s v="Hyderabad"/>
    <x v="1"/>
    <x v="187"/>
    <x v="218"/>
    <n v="3"/>
    <n v="119.16"/>
    <n v="39.72"/>
    <x v="3"/>
    <x v="2"/>
    <x v="7"/>
    <x v="0"/>
    <x v="2"/>
  </r>
  <r>
    <s v="CUST01247"/>
    <n v="19"/>
    <s v="Female"/>
    <s v="Kolkata"/>
    <x v="3"/>
    <x v="260"/>
    <x v="659"/>
    <n v="5"/>
    <n v="117.4"/>
    <n v="23.48"/>
    <x v="2"/>
    <x v="0"/>
    <x v="3"/>
    <x v="0"/>
    <x v="2"/>
  </r>
  <r>
    <s v="CUST01665"/>
    <n v="20"/>
    <s v="Female"/>
    <s v="Bangalore"/>
    <x v="0"/>
    <x v="621"/>
    <x v="491"/>
    <n v="1"/>
    <n v="115.68"/>
    <n v="115.68"/>
    <x v="2"/>
    <x v="1"/>
    <x v="6"/>
    <x v="0"/>
    <x v="2"/>
  </r>
  <r>
    <s v="CUST01638"/>
    <n v="30"/>
    <s v="Female"/>
    <s v="Mumbai"/>
    <x v="3"/>
    <x v="655"/>
    <x v="29"/>
    <n v="1"/>
    <n v="113.45"/>
    <n v="113.45"/>
    <x v="4"/>
    <x v="1"/>
    <x v="7"/>
    <x v="0"/>
    <x v="2"/>
  </r>
  <r>
    <s v="CUST00527"/>
    <n v="61"/>
    <s v="Male"/>
    <s v="Delhi"/>
    <x v="3"/>
    <x v="239"/>
    <x v="778"/>
    <n v="2"/>
    <n v="112.84"/>
    <n v="56.42"/>
    <x v="3"/>
    <x v="2"/>
    <x v="7"/>
    <x v="0"/>
    <x v="2"/>
  </r>
  <r>
    <s v="CUST01260"/>
    <n v="54"/>
    <s v="Female"/>
    <s v="Kolkata"/>
    <x v="0"/>
    <x v="426"/>
    <x v="275"/>
    <n v="1"/>
    <n v="111.52"/>
    <n v="111.52"/>
    <x v="1"/>
    <x v="2"/>
    <x v="4"/>
    <x v="0"/>
    <x v="2"/>
  </r>
  <r>
    <s v="CUST01038"/>
    <n v="20"/>
    <s v="Female"/>
    <s v="Bangalore"/>
    <x v="1"/>
    <x v="439"/>
    <x v="664"/>
    <n v="2"/>
    <n v="110.96"/>
    <n v="55.48"/>
    <x v="4"/>
    <x v="2"/>
    <x v="4"/>
    <x v="0"/>
    <x v="2"/>
  </r>
  <r>
    <s v="CUST01043"/>
    <n v="42"/>
    <s v="Female"/>
    <s v="Delhi"/>
    <x v="3"/>
    <x v="656"/>
    <x v="779"/>
    <n v="3"/>
    <n v="110.16"/>
    <n v="36.72"/>
    <x v="2"/>
    <x v="1"/>
    <x v="6"/>
    <x v="0"/>
    <x v="2"/>
  </r>
  <r>
    <s v="CUST00072"/>
    <n v="56"/>
    <s v="Female"/>
    <s v="Hyderabad"/>
    <x v="0"/>
    <x v="414"/>
    <x v="439"/>
    <n v="3"/>
    <n v="110.1"/>
    <n v="36.7"/>
    <x v="2"/>
    <x v="0"/>
    <x v="1"/>
    <x v="0"/>
    <x v="2"/>
  </r>
  <r>
    <s v="CUST01202"/>
    <n v="20"/>
    <s v="Male"/>
    <s v="Pune"/>
    <x v="2"/>
    <x v="78"/>
    <x v="185"/>
    <n v="4"/>
    <n v="109.36"/>
    <n v="27.34"/>
    <x v="3"/>
    <x v="1"/>
    <x v="9"/>
    <x v="0"/>
    <x v="2"/>
  </r>
  <r>
    <s v="CUST01491"/>
    <n v="31"/>
    <s v="Female"/>
    <s v="Chennai"/>
    <x v="2"/>
    <x v="48"/>
    <x v="507"/>
    <n v="2"/>
    <n v="106.02"/>
    <n v="53.01"/>
    <x v="2"/>
    <x v="2"/>
    <x v="8"/>
    <x v="0"/>
    <x v="2"/>
  </r>
  <r>
    <s v="CUST00767"/>
    <n v="42"/>
    <s v="Male"/>
    <s v="Bangalore"/>
    <x v="1"/>
    <x v="220"/>
    <x v="333"/>
    <n v="4"/>
    <n v="103.52"/>
    <n v="25.88"/>
    <x v="4"/>
    <x v="1"/>
    <x v="0"/>
    <x v="0"/>
    <x v="2"/>
  </r>
  <r>
    <s v="CUST01082"/>
    <n v="44"/>
    <s v="Male"/>
    <s v="Pune"/>
    <x v="2"/>
    <x v="475"/>
    <x v="35"/>
    <n v="1"/>
    <n v="101.46"/>
    <n v="101.46"/>
    <x v="4"/>
    <x v="0"/>
    <x v="9"/>
    <x v="0"/>
    <x v="2"/>
  </r>
  <r>
    <s v="CUST01438"/>
    <n v="34"/>
    <s v="Female"/>
    <s v="Mumbai"/>
    <x v="3"/>
    <x v="488"/>
    <x v="222"/>
    <n v="3"/>
    <n v="101.1"/>
    <n v="33.7"/>
    <x v="2"/>
    <x v="0"/>
    <x v="7"/>
    <x v="0"/>
    <x v="2"/>
  </r>
  <r>
    <s v="CUST00554"/>
    <n v="42"/>
    <s v="Female"/>
    <s v="Pune"/>
    <x v="0"/>
    <x v="354"/>
    <x v="166"/>
    <n v="1"/>
    <n v="100.86"/>
    <n v="100.86"/>
    <x v="3"/>
    <x v="0"/>
    <x v="9"/>
    <x v="0"/>
    <x v="2"/>
  </r>
  <r>
    <s v="CUST00580"/>
    <n v="52"/>
    <s v="Male"/>
    <s v="Mumbai"/>
    <x v="0"/>
    <x v="633"/>
    <x v="376"/>
    <n v="2"/>
    <n v="98.48"/>
    <n v="49.24"/>
    <x v="2"/>
    <x v="0"/>
    <x v="8"/>
    <x v="1"/>
    <x v="2"/>
  </r>
  <r>
    <s v="CUST00199"/>
    <n v="22"/>
    <s v="Male"/>
    <s v="Delhi"/>
    <x v="3"/>
    <x v="247"/>
    <x v="125"/>
    <n v="3"/>
    <n v="98.03999999999999"/>
    <n v="32.68"/>
    <x v="3"/>
    <x v="1"/>
    <x v="7"/>
    <x v="0"/>
    <x v="2"/>
  </r>
  <r>
    <s v="CUST01022"/>
    <n v="28"/>
    <s v="Male"/>
    <s v="Delhi"/>
    <x v="0"/>
    <x v="444"/>
    <x v="465"/>
    <n v="3"/>
    <n v="97.73999999999999"/>
    <n v="32.58"/>
    <x v="2"/>
    <x v="0"/>
    <x v="2"/>
    <x v="0"/>
    <x v="2"/>
  </r>
  <r>
    <s v="CUST01213"/>
    <n v="23"/>
    <s v="Female"/>
    <s v="Delhi"/>
    <x v="0"/>
    <x v="500"/>
    <x v="100"/>
    <n v="4"/>
    <n v="96.72"/>
    <n v="24.18"/>
    <x v="2"/>
    <x v="1"/>
    <x v="7"/>
    <x v="0"/>
    <x v="2"/>
  </r>
  <r>
    <s v="CUST00260"/>
    <n v="47"/>
    <s v="Male"/>
    <s v="Delhi"/>
    <x v="1"/>
    <x v="63"/>
    <x v="603"/>
    <n v="2"/>
    <n v="95.76000000000001"/>
    <n v="47.88"/>
    <x v="2"/>
    <x v="1"/>
    <x v="6"/>
    <x v="0"/>
    <x v="2"/>
  </r>
  <r>
    <s v="CUST01969"/>
    <n v="39"/>
    <s v="Male"/>
    <s v="Delhi"/>
    <x v="3"/>
    <x v="73"/>
    <x v="26"/>
    <n v="2"/>
    <n v="93.64"/>
    <n v="46.82"/>
    <x v="1"/>
    <x v="0"/>
    <x v="2"/>
    <x v="0"/>
    <x v="2"/>
  </r>
  <r>
    <s v="CUST00239"/>
    <n v="50"/>
    <s v="Male"/>
    <s v="Hyderabad"/>
    <x v="2"/>
    <x v="261"/>
    <x v="780"/>
    <n v="4"/>
    <n v="91.8"/>
    <n v="22.95"/>
    <x v="2"/>
    <x v="1"/>
    <x v="4"/>
    <x v="0"/>
    <x v="2"/>
  </r>
  <r>
    <s v="CUST01941"/>
    <n v="26"/>
    <s v="Female"/>
    <s v="Bangalore"/>
    <x v="1"/>
    <x v="444"/>
    <x v="195"/>
    <n v="1"/>
    <n v="89.61"/>
    <n v="89.61"/>
    <x v="4"/>
    <x v="1"/>
    <x v="8"/>
    <x v="0"/>
    <x v="2"/>
  </r>
  <r>
    <s v="CUST00653"/>
    <n v="47"/>
    <s v="Female"/>
    <s v="Pune"/>
    <x v="3"/>
    <x v="617"/>
    <x v="301"/>
    <n v="1"/>
    <n v="88.76000000000001"/>
    <n v="88.76000000000001"/>
    <x v="2"/>
    <x v="0"/>
    <x v="6"/>
    <x v="0"/>
    <x v="2"/>
  </r>
  <r>
    <s v="CUST01395"/>
    <n v="45"/>
    <s v="Female"/>
    <s v="Hyderabad"/>
    <x v="1"/>
    <x v="667"/>
    <x v="114"/>
    <n v="4"/>
    <n v="83.56"/>
    <n v="20.89"/>
    <x v="1"/>
    <x v="2"/>
    <x v="8"/>
    <x v="0"/>
    <x v="2"/>
  </r>
  <r>
    <s v="CUST00830"/>
    <n v="43"/>
    <s v="Male"/>
    <s v="Delhi"/>
    <x v="0"/>
    <x v="661"/>
    <x v="58"/>
    <n v="4"/>
    <n v="83.44"/>
    <n v="20.86"/>
    <x v="0"/>
    <x v="1"/>
    <x v="0"/>
    <x v="0"/>
    <x v="2"/>
  </r>
  <r>
    <s v="CUST00976"/>
    <n v="26"/>
    <s v="Male"/>
    <s v="Bangalore"/>
    <x v="3"/>
    <x v="255"/>
    <x v="47"/>
    <n v="1"/>
    <n v="82.72"/>
    <n v="82.72"/>
    <x v="1"/>
    <x v="2"/>
    <x v="8"/>
    <x v="0"/>
    <x v="2"/>
  </r>
  <r>
    <s v="CUST01524"/>
    <n v="25"/>
    <s v="Female"/>
    <s v="Delhi"/>
    <x v="2"/>
    <x v="641"/>
    <x v="497"/>
    <n v="2"/>
    <n v="82.7"/>
    <n v="41.35"/>
    <x v="1"/>
    <x v="2"/>
    <x v="7"/>
    <x v="0"/>
    <x v="2"/>
  </r>
  <r>
    <s v="CUST00518"/>
    <n v="40"/>
    <s v="Male"/>
    <s v="Mumbai"/>
    <x v="2"/>
    <x v="471"/>
    <x v="695"/>
    <n v="1"/>
    <n v="78.31"/>
    <n v="78.31"/>
    <x v="3"/>
    <x v="1"/>
    <x v="7"/>
    <x v="0"/>
    <x v="2"/>
  </r>
  <r>
    <s v="CUST00120"/>
    <n v="26"/>
    <s v="Female"/>
    <s v="Bangalore"/>
    <x v="2"/>
    <x v="613"/>
    <x v="539"/>
    <n v="1"/>
    <n v="77.23999999999999"/>
    <n v="77.23999999999999"/>
    <x v="3"/>
    <x v="2"/>
    <x v="2"/>
    <x v="0"/>
    <x v="2"/>
  </r>
  <r>
    <s v="CUST00407"/>
    <n v="50"/>
    <s v="Female"/>
    <s v="Kolkata"/>
    <x v="1"/>
    <x v="321"/>
    <x v="67"/>
    <n v="1"/>
    <n v="76.66"/>
    <n v="76.66"/>
    <x v="0"/>
    <x v="2"/>
    <x v="5"/>
    <x v="0"/>
    <x v="2"/>
  </r>
  <r>
    <s v="CUST00355"/>
    <n v="18"/>
    <s v="Male"/>
    <s v="Chennai"/>
    <x v="2"/>
    <x v="475"/>
    <x v="551"/>
    <n v="2"/>
    <n v="75.45999999999999"/>
    <n v="37.73"/>
    <x v="0"/>
    <x v="0"/>
    <x v="4"/>
    <x v="0"/>
    <x v="2"/>
  </r>
  <r>
    <s v="CUST00695"/>
    <n v="62"/>
    <s v="Male"/>
    <s v="Kolkata"/>
    <x v="0"/>
    <x v="343"/>
    <x v="577"/>
    <n v="1"/>
    <n v="73.42"/>
    <n v="73.42"/>
    <x v="1"/>
    <x v="1"/>
    <x v="5"/>
    <x v="0"/>
    <x v="2"/>
  </r>
  <r>
    <s v="CUST00116"/>
    <n v="60"/>
    <s v="Female"/>
    <s v="Delhi"/>
    <x v="1"/>
    <x v="49"/>
    <x v="252"/>
    <n v="1"/>
    <n v="70.79000000000001"/>
    <n v="70.79000000000001"/>
    <x v="3"/>
    <x v="2"/>
    <x v="3"/>
    <x v="1"/>
    <x v="2"/>
  </r>
  <r>
    <s v="CUST00611"/>
    <n v="35"/>
    <s v="Female"/>
    <s v="Mumbai"/>
    <x v="3"/>
    <x v="272"/>
    <x v="19"/>
    <n v="3"/>
    <n v="65.55000000000001"/>
    <n v="21.85"/>
    <x v="0"/>
    <x v="2"/>
    <x v="0"/>
    <x v="0"/>
    <x v="2"/>
  </r>
  <r>
    <s v="CUST00701"/>
    <n v="48"/>
    <s v="Female"/>
    <s v="Hyderabad"/>
    <x v="1"/>
    <x v="218"/>
    <x v="474"/>
    <n v="1"/>
    <n v="65.17"/>
    <n v="65.17"/>
    <x v="0"/>
    <x v="2"/>
    <x v="4"/>
    <x v="0"/>
    <x v="2"/>
  </r>
  <r>
    <s v="CUST01139"/>
    <n v="50"/>
    <s v="Female"/>
    <s v="Chennai"/>
    <x v="3"/>
    <x v="606"/>
    <x v="781"/>
    <n v="1"/>
    <n v="65.05"/>
    <n v="65.05"/>
    <x v="3"/>
    <x v="1"/>
    <x v="7"/>
    <x v="1"/>
    <x v="2"/>
  </r>
  <r>
    <s v="CUST00301"/>
    <n v="27"/>
    <s v="Male"/>
    <s v="Kolkata"/>
    <x v="2"/>
    <x v="39"/>
    <x v="487"/>
    <n v="1"/>
    <n v="61.36"/>
    <n v="61.36"/>
    <x v="3"/>
    <x v="1"/>
    <x v="7"/>
    <x v="0"/>
    <x v="2"/>
  </r>
  <r>
    <s v="CUST01013"/>
    <n v="25"/>
    <s v="Male"/>
    <s v="Mumbai"/>
    <x v="1"/>
    <x v="185"/>
    <x v="349"/>
    <n v="3"/>
    <n v="60.03"/>
    <n v="20.01"/>
    <x v="3"/>
    <x v="1"/>
    <x v="6"/>
    <x v="0"/>
    <x v="2"/>
  </r>
  <r>
    <s v="CUST01626"/>
    <n v="21"/>
    <s v="Female"/>
    <s v="Delhi"/>
    <x v="2"/>
    <x v="448"/>
    <x v="782"/>
    <n v="1"/>
    <n v="59.44"/>
    <n v="59.44"/>
    <x v="0"/>
    <x v="2"/>
    <x v="2"/>
    <x v="0"/>
    <x v="2"/>
  </r>
  <r>
    <s v="CUST00619"/>
    <n v="49"/>
    <s v="Female"/>
    <s v="Bangalore"/>
    <x v="1"/>
    <x v="312"/>
    <x v="545"/>
    <n v="1"/>
    <n v="58.35"/>
    <n v="58.35"/>
    <x v="3"/>
    <x v="2"/>
    <x v="5"/>
    <x v="0"/>
    <x v="2"/>
  </r>
  <r>
    <s v="CUST01849"/>
    <n v="43"/>
    <s v="Male"/>
    <s v="Mumbai"/>
    <x v="1"/>
    <x v="137"/>
    <x v="228"/>
    <n v="1"/>
    <n v="58.16"/>
    <n v="58.16"/>
    <x v="3"/>
    <x v="2"/>
    <x v="6"/>
    <x v="1"/>
    <x v="2"/>
  </r>
  <r>
    <s v="CUST01675"/>
    <n v="54"/>
    <s v="Female"/>
    <s v="Kolkata"/>
    <x v="1"/>
    <x v="51"/>
    <x v="635"/>
    <n v="2"/>
    <n v="53.86"/>
    <n v="26.93"/>
    <x v="4"/>
    <x v="0"/>
    <x v="4"/>
    <x v="0"/>
    <x v="2"/>
  </r>
  <r>
    <s v="CUST00730"/>
    <n v="29"/>
    <s v="Male"/>
    <s v="Bangalore"/>
    <x v="1"/>
    <x v="314"/>
    <x v="550"/>
    <n v="1"/>
    <n v="53.68"/>
    <n v="53.68"/>
    <x v="1"/>
    <x v="0"/>
    <x v="4"/>
    <x v="0"/>
    <x v="2"/>
  </r>
  <r>
    <s v="CUST00614"/>
    <n v="22"/>
    <s v="Female"/>
    <s v="Pune"/>
    <x v="3"/>
    <x v="132"/>
    <x v="365"/>
    <n v="1"/>
    <n v="53.42"/>
    <n v="53.42"/>
    <x v="0"/>
    <x v="1"/>
    <x v="1"/>
    <x v="0"/>
    <x v="2"/>
  </r>
  <r>
    <s v="CUST00691"/>
    <n v="29"/>
    <s v="Male"/>
    <s v="Kolkata"/>
    <x v="3"/>
    <x v="246"/>
    <x v="296"/>
    <n v="1"/>
    <n v="51.9"/>
    <n v="51.9"/>
    <x v="3"/>
    <x v="2"/>
    <x v="7"/>
    <x v="0"/>
    <x v="2"/>
  </r>
  <r>
    <s v="CUST00875"/>
    <n v="42"/>
    <s v="Male"/>
    <s v="Hyderabad"/>
    <x v="0"/>
    <x v="460"/>
    <x v="120"/>
    <n v="1"/>
    <n v="48.37"/>
    <n v="48.37"/>
    <x v="2"/>
    <x v="2"/>
    <x v="5"/>
    <x v="0"/>
    <x v="2"/>
  </r>
  <r>
    <s v="CUST00373"/>
    <n v="57"/>
    <s v="Female"/>
    <s v="Kolkata"/>
    <x v="1"/>
    <x v="73"/>
    <x v="208"/>
    <n v="2"/>
    <n v="47.26"/>
    <n v="23.63"/>
    <x v="4"/>
    <x v="0"/>
    <x v="3"/>
    <x v="0"/>
    <x v="2"/>
  </r>
  <r>
    <s v="CUST01683"/>
    <n v="52"/>
    <s v="Male"/>
    <s v="Delhi"/>
    <x v="3"/>
    <x v="350"/>
    <x v="547"/>
    <n v="2"/>
    <n v="43.42"/>
    <n v="21.71"/>
    <x v="0"/>
    <x v="0"/>
    <x v="7"/>
    <x v="0"/>
    <x v="2"/>
  </r>
  <r>
    <s v="CUST01227"/>
    <n v="60"/>
    <s v="Female"/>
    <s v="Mumbai"/>
    <x v="0"/>
    <x v="651"/>
    <x v="483"/>
    <n v="1"/>
    <n v="40.96"/>
    <n v="40.96"/>
    <x v="3"/>
    <x v="1"/>
    <x v="5"/>
    <x v="0"/>
    <x v="2"/>
  </r>
  <r>
    <s v="CUST00340"/>
    <n v="41"/>
    <s v="Male"/>
    <s v="Bangalore"/>
    <x v="1"/>
    <x v="3"/>
    <x v="443"/>
    <n v="1"/>
    <n v="30.56"/>
    <n v="30.56"/>
    <x v="3"/>
    <x v="0"/>
    <x v="6"/>
    <x v="0"/>
    <x v="2"/>
  </r>
  <r>
    <s v="CUST01350"/>
    <n v="47"/>
    <s v="Female"/>
    <s v="Mumbai"/>
    <x v="0"/>
    <x v="539"/>
    <x v="783"/>
    <n v="1"/>
    <n v="30.41"/>
    <n v="30.41"/>
    <x v="0"/>
    <x v="2"/>
    <x v="8"/>
    <x v="0"/>
    <x v="2"/>
  </r>
  <r>
    <s v="CUST01361"/>
    <n v="29"/>
    <s v="Male"/>
    <s v="Delhi"/>
    <x v="2"/>
    <x v="94"/>
    <x v="784"/>
    <n v="1"/>
    <n v="28.71"/>
    <n v="28.71"/>
    <x v="2"/>
    <x v="2"/>
    <x v="7"/>
    <x v="1"/>
    <x v="2"/>
  </r>
  <r>
    <s v="CUST00218"/>
    <n v="52"/>
    <s v="Female"/>
    <s v="Delhi"/>
    <x v="3"/>
    <x v="634"/>
    <x v="370"/>
    <n v="1"/>
    <n v="24.68"/>
    <n v="24.68"/>
    <x v="1"/>
    <x v="2"/>
    <x v="8"/>
    <x v="0"/>
    <x v="2"/>
  </r>
  <r>
    <s v="CUST01200"/>
    <n v="27"/>
    <s v="Female"/>
    <s v="Kolkata"/>
    <x v="1"/>
    <x v="137"/>
    <x v="412"/>
    <n v="1"/>
    <n v="22.39"/>
    <n v="22.39"/>
    <x v="0"/>
    <x v="0"/>
    <x v="9"/>
    <x v="0"/>
    <x v="2"/>
  </r>
  <r>
    <s v="CUST01207"/>
    <n v="43"/>
    <s v="Male"/>
    <s v="Bangalore"/>
    <x v="2"/>
    <x v="179"/>
    <x v="46"/>
    <n v="1"/>
    <n v="22.03"/>
    <n v="22.03"/>
    <x v="4"/>
    <x v="2"/>
    <x v="7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9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9" rowHeaderCaption="Churn Flag">
  <location ref="I14:J19" firstHeaderRow="1" firstDataRow="1" firstDataCol="1"/>
  <pivotFields count="21">
    <pivotField dataField="1" showAll="0"/>
    <pivotField numFmtId="1"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numFmtId="2" showAll="0"/>
    <pivotField numFmtId="2" showAll="0"/>
    <pivotField showAll="0"/>
    <pivotField showAll="0">
      <items count="4">
        <item x="0"/>
        <item x="2"/>
        <item x="1"/>
        <item t="default"/>
      </items>
    </pivotField>
    <pivotField numFmtId="1" showAll="0"/>
    <pivotField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4" type="button" dataOnly="0" labelOnly="1" outline="0" axis="axisRow" fieldPosition="0"/>
    </format>
    <format dxfId="4">
      <pivotArea dataOnly="0" labelOnly="1" grandRow="1" outline="0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field="4" type="button" dataOnly="0" labelOnly="1" outline="0" axis="axisRow" fieldPosition="0"/>
    </format>
    <format dxfId="0">
      <pivotArea dataOnly="0" labelOnly="1" grandRow="1" outline="0" fieldPosition="0"/>
    </format>
  </formats>
  <chartFormats count="5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ustomer Segement">
  <location ref="A4:C9" firstHeaderRow="0" firstDataRow="1" firstDataCol="1"/>
  <pivotFields count="21">
    <pivotField showAll="0"/>
    <pivotField numFmtId="1" showAll="0"/>
    <pivotField showAll="0"/>
    <pivotField showAll="0"/>
    <pivotField axis="axisRow" showAll="0" sortType="a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dataField="1" numFmtId="2" showAll="0"/>
    <pivotField numFmtId="2" showAll="0"/>
    <pivotField showAll="0"/>
    <pivotField showAll="0"/>
    <pivotField numFmtI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Spent (Revenue) " fld="8" baseField="0" baseItem="0" numFmtId="2"/>
    <dataField name="% of Total_Spent" fld="8" showDataAs="percentOfTotal" baseField="4" baseItem="0" numFmtId="10"/>
  </dataFields>
  <formats count="12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4" type="button" dataOnly="0" labelOnly="1" outline="0" axis="axisRow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ustomer Segement">
  <location ref="A13:B18" firstHeaderRow="1" firstDataRow="1" firstDataCol="1"/>
  <pivotFields count="21">
    <pivotField dataField="1" showAll="0"/>
    <pivotField numFmtId="1" showAll="0"/>
    <pivotField showAll="0"/>
    <pivotField showAll="0"/>
    <pivotField axis="axisRow" showAll="0" sortType="a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numFmtId="2" showAll="0"/>
    <pivotField numFmtId="2" showAll="0"/>
    <pivotField showAll="0"/>
    <pivotField showAll="0"/>
    <pivotField numFmtI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</format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rowHeaderCaption="Churn Flag">
  <location ref="I4:J7" firstHeaderRow="1" firstDataRow="1" firstDataCol="1"/>
  <pivotFields count="21">
    <pivotField dataField="1" showAll="0"/>
    <pivotField numFmtId="1"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numFmtId="2" showAll="0"/>
    <pivotField numFmtId="2" showAll="0"/>
    <pivotField showAll="0"/>
    <pivotField showAll="0">
      <items count="4">
        <item x="0"/>
        <item x="2"/>
        <item x="1"/>
        <item t="default"/>
      </items>
    </pivotField>
    <pivotField numFmtId="1" showAll="0"/>
    <pivotField axis="axisRow"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formats count="8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4" type="button" dataOnly="0" labelOnly="1" outline="0"/>
    </format>
    <format dxfId="34">
      <pivotArea dataOnly="0" labelOnly="1" grandRow="1" outline="0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4" type="button" dataOnly="0" labelOnly="1" outline="0"/>
    </format>
    <format dxfId="30">
      <pivotArea dataOnly="0" labelOnly="1" grandRow="1" outline="0" fieldPosition="0"/>
    </format>
  </formats>
  <chartFormats count="5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9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ustomer Value">
  <location ref="A22:B26" firstHeaderRow="1" firstDataRow="1" firstDataCol="1"/>
  <pivotFields count="21">
    <pivotField dataField="1" showAll="0"/>
    <pivotField numFmtId="1"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numFmtId="2" showAll="0"/>
    <pivotField numFmtId="2" showAll="0"/>
    <pivotField showAll="0"/>
    <pivotField showAll="0"/>
    <pivotField numFmtId="1"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_ID" fld="0" subtotal="count" baseField="0" baseItem="0"/>
  </dataFields>
  <formats count="8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4" type="button" dataOnly="0" labelOnly="1" outline="0"/>
    </format>
    <format dxfId="42">
      <pivotArea dataOnly="0" labelOnly="1" grandRow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/>
    </format>
    <format dxfId="38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 rowHeaderCaption="Customer Segement">
  <location ref="E22:F27" firstHeaderRow="1" firstDataRow="1" firstDataCol="1"/>
  <pivotFields count="21">
    <pivotField showAll="0"/>
    <pivotField numFmtId="1" showAll="0"/>
    <pivotField showAll="0"/>
    <pivotField showAll="0"/>
    <pivotField axis="axisRow" showAll="0" sortType="a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numFmtId="2" showAll="0"/>
    <pivotField dataField="1" numFmtId="2" showAll="0"/>
    <pivotField showAll="0"/>
    <pivotField showAll="0"/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Average_Order_Value" fld="9" baseField="0" baseItem="0" numFmtId="2"/>
  </dataFields>
  <formats count="8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4" type="button" dataOnly="0" labelOnly="1" outline="0" axis="axisRow" fieldPosition="0"/>
    </format>
    <format dxfId="50">
      <pivotArea dataOnly="0" labelOnly="1" grandRow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4" type="button" dataOnly="0" labelOnly="1" outline="0" axis="axisRow" fieldPosition="0"/>
    </format>
    <format dxfId="46">
      <pivotArea dataOnly="0" labelOnly="1" grandRow="1" outline="0" fieldPosition="0"/>
    </format>
  </formats>
  <chartFormats count="1">
    <chartFormat chart="3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 rowHeaderCaption="Purchase Channel">
  <location ref="E14:F18" firstHeaderRow="1" firstDataRow="1" firstDataCol="1"/>
  <pivotFields count="21">
    <pivotField dataField="1" showAll="0"/>
    <pivotField numFmtId="1"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numFmtId="2" showAll="0"/>
    <pivotField numFmtId="2" showAll="0"/>
    <pivotField showAll="0"/>
    <pivotField axis="axisRow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Customer_ID" fld="0" subtotal="count" baseField="0" baseItem="0"/>
  </dataFields>
  <formats count="8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4" type="button" dataOnly="0" labelOnly="1" outline="0"/>
    </format>
    <format dxfId="58">
      <pivotArea dataOnly="0" labelOnly="1" grandRow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" type="button" dataOnly="0" labelOnly="1" outline="0"/>
    </format>
    <format dxfId="54">
      <pivotArea dataOnly="0" labelOnly="1" grandRow="1" outline="0" fieldPosition="0"/>
    </format>
  </formats>
  <chartFormats count="4">
    <chartFormat chart="3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0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0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rowHeaderCaption="Product Category">
  <location ref="E4:G10" firstHeaderRow="0" firstDataRow="1" firstDataCol="1"/>
  <pivotFields count="21">
    <pivotField dataField="1" showAll="0"/>
    <pivotField numFmtId="1"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numFmtId="2" showAll="0"/>
    <pivotField numFmtId="2" showAll="0"/>
    <pivotField axis="axisRow" showAll="0" sortType="ascending">
      <items count="6">
        <item x="2"/>
        <item x="3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6">
    <i>
      <x v="3"/>
    </i>
    <i>
      <x/>
    </i>
    <i>
      <x v="2"/>
    </i>
    <i>
      <x v="4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0"/>
    <dataField name="% of Customer_ID" fld="0" subtotal="count" showDataAs="percentOfTotal" baseField="10" baseItem="3" numFmtId="10"/>
  </dataFields>
  <formats count="9"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4" type="button" dataOnly="0" labelOnly="1" outline="0"/>
    </format>
    <format dxfId="67">
      <pivotArea dataOnly="0" labelOnly="1" grandRow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4" type="button" dataOnly="0" labelOnly="1" outline="0"/>
    </format>
    <format dxfId="63">
      <pivotArea dataOnly="0" labelOnly="1" grandRow="1" outline="0" fieldPosition="0"/>
    </format>
    <format dxfId="62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7" rowHeaderCaption="Churn Flag">
  <location ref="I22:L34" firstHeaderRow="1" firstDataRow="2" firstDataCol="1"/>
  <pivotFields count="21">
    <pivotField dataField="1" showAll="0"/>
    <pivotField numFmtId="1"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numFmtId="14" showAll="0">
      <items count="669">
        <item x="122"/>
        <item x="143"/>
        <item x="270"/>
        <item x="276"/>
        <item x="496"/>
        <item x="637"/>
        <item x="603"/>
        <item x="224"/>
        <item x="243"/>
        <item x="528"/>
        <item x="597"/>
        <item x="587"/>
        <item x="443"/>
        <item x="251"/>
        <item x="164"/>
        <item x="249"/>
        <item x="83"/>
        <item x="636"/>
        <item x="491"/>
        <item x="380"/>
        <item x="317"/>
        <item x="416"/>
        <item x="564"/>
        <item x="294"/>
        <item x="173"/>
        <item x="563"/>
        <item x="235"/>
        <item x="193"/>
        <item x="532"/>
        <item x="459"/>
        <item x="398"/>
        <item x="30"/>
        <item x="67"/>
        <item x="346"/>
        <item x="253"/>
        <item x="287"/>
        <item x="331"/>
        <item x="378"/>
        <item x="435"/>
        <item x="141"/>
        <item x="477"/>
        <item x="417"/>
        <item x="230"/>
        <item x="15"/>
        <item x="385"/>
        <item x="523"/>
        <item x="16"/>
        <item x="130"/>
        <item x="583"/>
        <item x="473"/>
        <item x="394"/>
        <item x="326"/>
        <item x="126"/>
        <item x="336"/>
        <item x="439"/>
        <item x="658"/>
        <item x="463"/>
        <item x="600"/>
        <item x="304"/>
        <item x="384"/>
        <item x="133"/>
        <item x="295"/>
        <item x="351"/>
        <item x="121"/>
        <item x="542"/>
        <item x="397"/>
        <item x="311"/>
        <item x="522"/>
        <item x="174"/>
        <item x="474"/>
        <item x="448"/>
        <item x="549"/>
        <item x="111"/>
        <item x="254"/>
        <item x="52"/>
        <item x="217"/>
        <item x="246"/>
        <item x="6"/>
        <item x="481"/>
        <item x="624"/>
        <item x="337"/>
        <item x="135"/>
        <item x="277"/>
        <item x="55"/>
        <item x="492"/>
        <item x="76"/>
        <item x="158"/>
        <item x="318"/>
        <item x="358"/>
        <item x="134"/>
        <item x="302"/>
        <item x="485"/>
        <item x="207"/>
        <item x="291"/>
        <item x="9"/>
        <item x="200"/>
        <item x="282"/>
        <item x="187"/>
        <item x="329"/>
        <item x="558"/>
        <item x="363"/>
        <item x="319"/>
        <item x="497"/>
        <item x="642"/>
        <item x="591"/>
        <item x="309"/>
        <item x="179"/>
        <item x="513"/>
        <item x="626"/>
        <item x="662"/>
        <item x="194"/>
        <item x="395"/>
        <item x="371"/>
        <item x="483"/>
        <item x="376"/>
        <item x="655"/>
        <item x="238"/>
        <item x="180"/>
        <item x="160"/>
        <item x="604"/>
        <item x="343"/>
        <item x="599"/>
        <item x="478"/>
        <item x="545"/>
        <item x="526"/>
        <item x="221"/>
        <item x="71"/>
        <item x="321"/>
        <item x="410"/>
        <item x="357"/>
        <item x="451"/>
        <item x="651"/>
        <item x="582"/>
        <item x="112"/>
        <item x="17"/>
        <item x="379"/>
        <item x="118"/>
        <item x="433"/>
        <item x="26"/>
        <item x="18"/>
        <item x="430"/>
        <item x="80"/>
        <item x="472"/>
        <item x="332"/>
        <item x="259"/>
        <item x="617"/>
        <item x="562"/>
        <item x="327"/>
        <item x="349"/>
        <item x="93"/>
        <item x="548"/>
        <item x="43"/>
        <item x="480"/>
        <item x="42"/>
        <item x="13"/>
        <item x="182"/>
        <item x="120"/>
        <item x="100"/>
        <item x="95"/>
        <item x="543"/>
        <item x="5"/>
        <item x="275"/>
        <item x="202"/>
        <item x="666"/>
        <item x="529"/>
        <item x="500"/>
        <item x="370"/>
        <item x="28"/>
        <item x="84"/>
        <item x="367"/>
        <item x="408"/>
        <item x="344"/>
        <item x="220"/>
        <item x="155"/>
        <item x="68"/>
        <item x="109"/>
        <item x="124"/>
        <item x="449"/>
        <item x="643"/>
        <item x="369"/>
        <item x="91"/>
        <item x="438"/>
        <item x="131"/>
        <item x="129"/>
        <item x="241"/>
        <item x="437"/>
        <item x="147"/>
        <item x="94"/>
        <item x="488"/>
        <item x="79"/>
        <item x="644"/>
        <item x="556"/>
        <item x="104"/>
        <item x="25"/>
        <item x="404"/>
        <item x="345"/>
        <item x="490"/>
        <item x="185"/>
        <item x="622"/>
        <item x="61"/>
        <item x="117"/>
        <item x="145"/>
        <item x="551"/>
        <item x="458"/>
        <item x="97"/>
        <item x="424"/>
        <item x="82"/>
        <item x="607"/>
        <item x="86"/>
        <item x="546"/>
        <item x="322"/>
        <item x="98"/>
        <item x="115"/>
        <item x="29"/>
        <item x="81"/>
        <item x="247"/>
        <item x="335"/>
        <item x="667"/>
        <item x="159"/>
        <item x="518"/>
        <item x="407"/>
        <item x="353"/>
        <item x="201"/>
        <item x="48"/>
        <item x="620"/>
        <item x="508"/>
        <item x="328"/>
        <item x="20"/>
        <item x="59"/>
        <item x="628"/>
        <item x="623"/>
        <item x="489"/>
        <item x="108"/>
        <item x="198"/>
        <item x="222"/>
        <item x="151"/>
        <item x="615"/>
        <item x="181"/>
        <item x="382"/>
        <item x="510"/>
        <item x="653"/>
        <item x="215"/>
        <item x="234"/>
        <item x="262"/>
        <item x="429"/>
        <item x="0"/>
        <item x="283"/>
        <item x="427"/>
        <item x="389"/>
        <item x="579"/>
        <item x="85"/>
        <item x="210"/>
        <item x="586"/>
        <item x="612"/>
        <item x="573"/>
        <item x="188"/>
        <item x="535"/>
        <item x="365"/>
        <item x="469"/>
        <item x="24"/>
        <item x="323"/>
        <item x="520"/>
        <item x="414"/>
        <item x="575"/>
        <item x="574"/>
        <item x="280"/>
        <item x="609"/>
        <item x="21"/>
        <item x="399"/>
        <item x="646"/>
        <item x="116"/>
        <item x="128"/>
        <item x="361"/>
        <item x="45"/>
        <item x="41"/>
        <item x="390"/>
        <item x="559"/>
        <item x="284"/>
        <item x="627"/>
        <item x="204"/>
        <item x="171"/>
        <item x="452"/>
        <item x="157"/>
        <item x="66"/>
        <item x="110"/>
        <item x="168"/>
        <item x="555"/>
        <item x="278"/>
        <item x="536"/>
        <item x="74"/>
        <item x="271"/>
        <item x="226"/>
        <item x="114"/>
        <item x="209"/>
        <item x="138"/>
        <item x="199"/>
        <item x="441"/>
        <item x="44"/>
        <item x="393"/>
        <item x="388"/>
        <item x="487"/>
        <item x="401"/>
        <item x="183"/>
        <item x="78"/>
        <item x="119"/>
        <item x="14"/>
        <item x="203"/>
        <item x="415"/>
        <item x="73"/>
        <item x="292"/>
        <item x="223"/>
        <item x="286"/>
        <item x="602"/>
        <item x="139"/>
        <item x="501"/>
        <item x="330"/>
        <item x="495"/>
        <item x="338"/>
        <item x="39"/>
        <item x="605"/>
        <item x="186"/>
        <item x="541"/>
        <item x="268"/>
        <item x="362"/>
        <item x="211"/>
        <item x="163"/>
        <item x="261"/>
        <item x="40"/>
        <item x="316"/>
        <item x="364"/>
        <item x="57"/>
        <item x="240"/>
        <item x="113"/>
        <item x="49"/>
        <item x="456"/>
        <item x="252"/>
        <item x="213"/>
        <item x="580"/>
        <item x="461"/>
        <item x="178"/>
        <item x="641"/>
        <item x="231"/>
        <item x="482"/>
        <item x="296"/>
        <item x="307"/>
        <item x="244"/>
        <item x="312"/>
        <item x="70"/>
        <item x="647"/>
        <item x="657"/>
        <item x="661"/>
        <item x="258"/>
        <item x="153"/>
        <item x="534"/>
        <item x="581"/>
        <item x="632"/>
        <item x="107"/>
        <item x="638"/>
        <item x="144"/>
        <item x="457"/>
        <item x="56"/>
        <item x="313"/>
        <item x="257"/>
        <item x="619"/>
        <item x="101"/>
        <item x="255"/>
        <item x="590"/>
        <item x="392"/>
        <item x="648"/>
        <item x="639"/>
        <item x="342"/>
        <item x="352"/>
        <item x="533"/>
        <item x="289"/>
        <item x="569"/>
        <item x="656"/>
        <item x="208"/>
        <item x="515"/>
        <item x="413"/>
        <item x="400"/>
        <item x="150"/>
        <item x="499"/>
        <item x="288"/>
        <item x="196"/>
        <item x="325"/>
        <item x="46"/>
        <item x="396"/>
        <item x="184"/>
        <item x="654"/>
        <item x="35"/>
        <item x="142"/>
        <item x="37"/>
        <item x="460"/>
        <item x="123"/>
        <item x="527"/>
        <item x="479"/>
        <item x="418"/>
        <item x="303"/>
        <item x="127"/>
        <item x="576"/>
        <item x="466"/>
        <item x="409"/>
        <item x="475"/>
        <item x="596"/>
        <item x="62"/>
        <item x="504"/>
        <item x="486"/>
        <item x="434"/>
        <item x="625"/>
        <item x="550"/>
        <item x="403"/>
        <item x="493"/>
        <item x="102"/>
        <item x="242"/>
        <item x="494"/>
        <item x="565"/>
        <item x="431"/>
        <item x="422"/>
        <item x="531"/>
        <item x="34"/>
        <item x="588"/>
        <item x="290"/>
        <item x="166"/>
        <item x="507"/>
        <item x="645"/>
        <item x="359"/>
        <item x="308"/>
        <item x="263"/>
        <item x="374"/>
        <item x="577"/>
        <item x="125"/>
        <item x="341"/>
        <item x="189"/>
        <item x="293"/>
        <item x="659"/>
        <item x="315"/>
        <item x="310"/>
        <item x="237"/>
        <item x="386"/>
        <item x="218"/>
        <item x="264"/>
        <item x="455"/>
        <item x="7"/>
        <item x="509"/>
        <item x="103"/>
        <item x="611"/>
        <item x="10"/>
        <item x="554"/>
        <item x="516"/>
        <item x="432"/>
        <item x="442"/>
        <item x="27"/>
        <item x="266"/>
        <item x="11"/>
        <item x="32"/>
        <item x="453"/>
        <item x="571"/>
        <item x="195"/>
        <item x="553"/>
        <item x="578"/>
        <item x="512"/>
        <item x="92"/>
        <item x="297"/>
        <item x="8"/>
        <item x="538"/>
        <item x="621"/>
        <item x="314"/>
        <item x="3"/>
        <item x="75"/>
        <item x="519"/>
        <item x="503"/>
        <item x="298"/>
        <item x="149"/>
        <item x="33"/>
        <item x="411"/>
        <item x="51"/>
        <item x="31"/>
        <item x="269"/>
        <item x="4"/>
        <item x="274"/>
        <item x="12"/>
        <item x="245"/>
        <item x="521"/>
        <item x="402"/>
        <item x="468"/>
        <item x="663"/>
        <item x="570"/>
        <item x="256"/>
        <item x="190"/>
        <item x="60"/>
        <item x="99"/>
        <item x="285"/>
        <item x="306"/>
        <item x="375"/>
        <item x="161"/>
        <item x="547"/>
        <item x="301"/>
        <item x="334"/>
        <item x="72"/>
        <item x="598"/>
        <item x="22"/>
        <item x="355"/>
        <item x="391"/>
        <item x="601"/>
        <item x="175"/>
        <item x="350"/>
        <item x="162"/>
        <item x="281"/>
        <item x="279"/>
        <item x="105"/>
        <item x="511"/>
        <item x="89"/>
        <item x="506"/>
        <item x="54"/>
        <item x="595"/>
        <item x="420"/>
        <item x="426"/>
        <item x="383"/>
        <item x="354"/>
        <item x="191"/>
        <item x="333"/>
        <item x="406"/>
        <item x="65"/>
        <item x="560"/>
        <item x="64"/>
        <item x="339"/>
        <item x="340"/>
        <item x="239"/>
        <item x="90"/>
        <item x="618"/>
        <item x="172"/>
        <item x="660"/>
        <item x="219"/>
        <item x="106"/>
        <item x="192"/>
        <item x="640"/>
        <item x="140"/>
        <item x="634"/>
        <item x="228"/>
        <item x="366"/>
        <item x="464"/>
        <item x="471"/>
        <item x="525"/>
        <item x="561"/>
        <item x="225"/>
        <item x="50"/>
        <item x="156"/>
        <item x="664"/>
        <item x="614"/>
        <item x="300"/>
        <item x="447"/>
        <item x="250"/>
        <item x="502"/>
        <item x="484"/>
        <item x="421"/>
        <item x="267"/>
        <item x="629"/>
        <item x="236"/>
        <item x="2"/>
        <item x="566"/>
        <item x="462"/>
        <item x="419"/>
        <item x="148"/>
        <item x="58"/>
        <item x="467"/>
        <item x="87"/>
        <item x="631"/>
        <item x="465"/>
        <item x="227"/>
        <item x="454"/>
        <item x="444"/>
        <item x="387"/>
        <item x="572"/>
        <item x="324"/>
        <item x="152"/>
        <item x="272"/>
        <item x="216"/>
        <item x="498"/>
        <item x="47"/>
        <item x="212"/>
        <item x="320"/>
        <item x="436"/>
        <item x="567"/>
        <item x="356"/>
        <item x="613"/>
        <item x="635"/>
        <item x="248"/>
        <item x="347"/>
        <item x="77"/>
        <item x="585"/>
        <item x="517"/>
        <item x="170"/>
        <item x="38"/>
        <item x="265"/>
        <item x="167"/>
        <item x="233"/>
        <item x="652"/>
        <item x="146"/>
        <item x="616"/>
        <item x="23"/>
        <item x="593"/>
        <item x="633"/>
        <item x="88"/>
        <item x="537"/>
        <item x="446"/>
        <item x="177"/>
        <item x="584"/>
        <item x="423"/>
        <item x="137"/>
        <item x="530"/>
        <item x="450"/>
        <item x="505"/>
        <item x="136"/>
        <item x="69"/>
        <item x="514"/>
        <item x="36"/>
        <item x="524"/>
        <item x="229"/>
        <item x="176"/>
        <item x="299"/>
        <item x="589"/>
        <item x="360"/>
        <item x="165"/>
        <item x="470"/>
        <item x="425"/>
        <item x="665"/>
        <item x="649"/>
        <item x="372"/>
        <item x="381"/>
        <item x="132"/>
        <item x="610"/>
        <item x="650"/>
        <item x="260"/>
        <item x="445"/>
        <item x="53"/>
        <item x="440"/>
        <item x="232"/>
        <item x="205"/>
        <item x="557"/>
        <item x="606"/>
        <item x="19"/>
        <item x="594"/>
        <item x="348"/>
        <item x="273"/>
        <item x="96"/>
        <item x="197"/>
        <item x="1"/>
        <item x="154"/>
        <item x="428"/>
        <item x="540"/>
        <item x="405"/>
        <item x="368"/>
        <item x="476"/>
        <item x="214"/>
        <item x="608"/>
        <item x="373"/>
        <item x="169"/>
        <item x="544"/>
        <item x="412"/>
        <item x="377"/>
        <item x="568"/>
        <item x="539"/>
        <item x="305"/>
        <item x="630"/>
        <item x="206"/>
        <item x="63"/>
        <item x="592"/>
        <item x="552"/>
        <item t="default"/>
      </items>
    </pivotField>
    <pivotField numFmtId="14" showAll="0">
      <items count="786">
        <item x="601"/>
        <item x="145"/>
        <item x="127"/>
        <item x="594"/>
        <item x="674"/>
        <item x="393"/>
        <item x="554"/>
        <item x="526"/>
        <item x="641"/>
        <item x="754"/>
        <item x="706"/>
        <item x="750"/>
        <item x="626"/>
        <item x="530"/>
        <item x="284"/>
        <item x="440"/>
        <item x="31"/>
        <item x="178"/>
        <item x="712"/>
        <item x="470"/>
        <item x="344"/>
        <item x="621"/>
        <item x="506"/>
        <item x="633"/>
        <item x="512"/>
        <item x="727"/>
        <item x="270"/>
        <item x="644"/>
        <item x="431"/>
        <item x="267"/>
        <item x="664"/>
        <item x="143"/>
        <item x="763"/>
        <item x="701"/>
        <item x="454"/>
        <item x="299"/>
        <item x="764"/>
        <item x="517"/>
        <item x="704"/>
        <item x="407"/>
        <item x="705"/>
        <item x="678"/>
        <item x="15"/>
        <item x="190"/>
        <item x="478"/>
        <item x="490"/>
        <item x="629"/>
        <item x="509"/>
        <item x="191"/>
        <item x="85"/>
        <item x="462"/>
        <item x="397"/>
        <item x="422"/>
        <item x="218"/>
        <item x="466"/>
        <item x="426"/>
        <item x="86"/>
        <item x="248"/>
        <item x="117"/>
        <item x="261"/>
        <item x="269"/>
        <item x="508"/>
        <item x="175"/>
        <item x="259"/>
        <item x="610"/>
        <item x="327"/>
        <item x="179"/>
        <item x="496"/>
        <item x="502"/>
        <item x="394"/>
        <item x="167"/>
        <item x="336"/>
        <item x="460"/>
        <item x="782"/>
        <item x="198"/>
        <item x="751"/>
        <item x="347"/>
        <item x="676"/>
        <item x="234"/>
        <item x="263"/>
        <item x="728"/>
        <item x="574"/>
        <item x="387"/>
        <item x="341"/>
        <item x="27"/>
        <item x="432"/>
        <item x="273"/>
        <item x="399"/>
        <item x="737"/>
        <item x="452"/>
        <item x="476"/>
        <item x="721"/>
        <item x="652"/>
        <item x="651"/>
        <item x="615"/>
        <item x="288"/>
        <item x="80"/>
        <item x="642"/>
        <item x="18"/>
        <item x="756"/>
        <item x="126"/>
        <item x="613"/>
        <item x="56"/>
        <item x="67"/>
        <item x="6"/>
        <item x="321"/>
        <item x="253"/>
        <item x="315"/>
        <item x="577"/>
        <item x="214"/>
        <item x="368"/>
        <item x="503"/>
        <item x="688"/>
        <item x="587"/>
        <item x="331"/>
        <item x="421"/>
        <item x="784"/>
        <item x="199"/>
        <item x="619"/>
        <item x="74"/>
        <item x="187"/>
        <item x="768"/>
        <item x="130"/>
        <item x="373"/>
        <item x="690"/>
        <item x="627"/>
        <item x="417"/>
        <item x="43"/>
        <item x="708"/>
        <item x="328"/>
        <item x="716"/>
        <item x="584"/>
        <item x="741"/>
        <item x="104"/>
        <item x="160"/>
        <item x="677"/>
        <item x="94"/>
        <item x="556"/>
        <item x="617"/>
        <item x="576"/>
        <item x="134"/>
        <item x="332"/>
        <item x="404"/>
        <item x="423"/>
        <item x="448"/>
        <item x="303"/>
        <item x="306"/>
        <item x="699"/>
        <item x="17"/>
        <item x="16"/>
        <item x="382"/>
        <item x="345"/>
        <item x="744"/>
        <item x="540"/>
        <item x="736"/>
        <item x="301"/>
        <item x="732"/>
        <item x="100"/>
        <item x="663"/>
        <item x="87"/>
        <item x="563"/>
        <item x="653"/>
        <item x="425"/>
        <item x="353"/>
        <item x="265"/>
        <item x="575"/>
        <item x="349"/>
        <item x="83"/>
        <item x="458"/>
        <item x="555"/>
        <item x="258"/>
        <item x="262"/>
        <item x="137"/>
        <item x="146"/>
        <item x="186"/>
        <item x="776"/>
        <item x="408"/>
        <item x="287"/>
        <item x="148"/>
        <item x="60"/>
        <item x="552"/>
        <item x="290"/>
        <item x="500"/>
        <item x="103"/>
        <item x="738"/>
        <item x="544"/>
        <item x="49"/>
        <item x="133"/>
        <item x="184"/>
        <item x="42"/>
        <item x="212"/>
        <item x="395"/>
        <item x="135"/>
        <item x="483"/>
        <item x="518"/>
        <item x="447"/>
        <item x="371"/>
        <item x="121"/>
        <item x="557"/>
        <item x="209"/>
        <item x="507"/>
        <item x="53"/>
        <item x="216"/>
        <item x="241"/>
        <item x="647"/>
        <item x="101"/>
        <item x="449"/>
        <item x="591"/>
        <item x="289"/>
        <item x="9"/>
        <item x="363"/>
        <item x="643"/>
        <item x="266"/>
        <item x="189"/>
        <item x="161"/>
        <item x="333"/>
        <item x="680"/>
        <item x="221"/>
        <item x="560"/>
        <item x="138"/>
        <item x="581"/>
        <item x="409"/>
        <item x="549"/>
        <item x="559"/>
        <item x="479"/>
        <item x="616"/>
        <item x="69"/>
        <item x="524"/>
        <item x="5"/>
        <item x="410"/>
        <item x="82"/>
        <item x="589"/>
        <item x="96"/>
        <item x="26"/>
        <item x="656"/>
        <item x="250"/>
        <item x="374"/>
        <item x="296"/>
        <item x="568"/>
        <item x="169"/>
        <item x="439"/>
        <item x="159"/>
        <item x="307"/>
        <item x="46"/>
        <item x="219"/>
        <item x="430"/>
        <item x="124"/>
        <item x="277"/>
        <item x="295"/>
        <item x="511"/>
        <item x="527"/>
        <item x="461"/>
        <item x="105"/>
        <item x="311"/>
        <item x="131"/>
        <item x="30"/>
        <item x="362"/>
        <item x="487"/>
        <item x="211"/>
        <item x="604"/>
        <item x="244"/>
        <item x="238"/>
        <item x="548"/>
        <item x="455"/>
        <item x="114"/>
        <item x="98"/>
        <item x="420"/>
        <item x="123"/>
        <item x="222"/>
        <item x="366"/>
        <item x="247"/>
        <item x="747"/>
        <item x="720"/>
        <item x="691"/>
        <item x="569"/>
        <item x="293"/>
        <item x="213"/>
        <item x="657"/>
        <item x="97"/>
        <item x="707"/>
        <item x="339"/>
        <item x="774"/>
        <item x="489"/>
        <item x="703"/>
        <item x="628"/>
        <item x="501"/>
        <item x="472"/>
        <item x="442"/>
        <item x="612"/>
        <item x="377"/>
        <item x="611"/>
        <item x="590"/>
        <item x="475"/>
        <item x="414"/>
        <item x="322"/>
        <item x="237"/>
        <item x="538"/>
        <item x="201"/>
        <item x="733"/>
        <item x="319"/>
        <item x="185"/>
        <item x="761"/>
        <item x="29"/>
        <item x="385"/>
        <item x="77"/>
        <item x="41"/>
        <item x="155"/>
        <item x="115"/>
        <item x="342"/>
        <item x="528"/>
        <item x="734"/>
        <item x="583"/>
        <item x="88"/>
        <item x="771"/>
        <item x="497"/>
        <item x="291"/>
        <item x="346"/>
        <item x="514"/>
        <item x="154"/>
        <item x="89"/>
        <item x="521"/>
        <item x="413"/>
        <item x="255"/>
        <item x="297"/>
        <item x="226"/>
        <item x="545"/>
        <item x="47"/>
        <item x="513"/>
        <item x="541"/>
        <item x="118"/>
        <item x="38"/>
        <item x="639"/>
        <item x="486"/>
        <item x="433"/>
        <item x="684"/>
        <item x="592"/>
        <item x="675"/>
        <item x="312"/>
        <item x="749"/>
        <item x="119"/>
        <item x="40"/>
        <item x="0"/>
        <item x="81"/>
        <item x="334"/>
        <item x="546"/>
        <item x="398"/>
        <item x="403"/>
        <item x="44"/>
        <item x="558"/>
        <item x="78"/>
        <item x="13"/>
        <item x="494"/>
        <item x="665"/>
        <item x="20"/>
        <item x="165"/>
        <item x="343"/>
        <item x="671"/>
        <item x="314"/>
        <item x="151"/>
        <item x="386"/>
        <item x="492"/>
        <item x="278"/>
        <item x="156"/>
        <item x="109"/>
        <item x="405"/>
        <item x="378"/>
        <item x="320"/>
        <item x="755"/>
        <item x="210"/>
        <item x="352"/>
        <item x="302"/>
        <item x="33"/>
        <item x="624"/>
        <item x="630"/>
        <item x="473"/>
        <item x="614"/>
        <item x="543"/>
        <item x="239"/>
        <item x="203"/>
        <item x="268"/>
        <item x="383"/>
        <item x="224"/>
        <item x="206"/>
        <item x="340"/>
        <item x="95"/>
        <item x="416"/>
        <item x="597"/>
        <item x="132"/>
        <item x="632"/>
        <item x="635"/>
        <item x="654"/>
        <item x="72"/>
        <item x="21"/>
        <item x="276"/>
        <item x="388"/>
        <item x="623"/>
        <item x="682"/>
        <item x="193"/>
        <item x="323"/>
        <item x="141"/>
        <item x="116"/>
        <item x="223"/>
        <item x="204"/>
        <item x="171"/>
        <item x="264"/>
        <item x="599"/>
        <item x="354"/>
        <item x="125"/>
        <item x="229"/>
        <item x="71"/>
        <item x="667"/>
        <item x="176"/>
        <item x="679"/>
        <item x="252"/>
        <item x="427"/>
        <item x="686"/>
        <item x="128"/>
        <item x="358"/>
        <item x="381"/>
        <item x="113"/>
        <item x="58"/>
        <item x="66"/>
        <item x="384"/>
        <item x="326"/>
        <item x="655"/>
        <item x="516"/>
        <item x="192"/>
        <item x="14"/>
        <item x="35"/>
        <item x="45"/>
        <item x="748"/>
        <item x="411"/>
        <item x="144"/>
        <item x="779"/>
        <item x="275"/>
        <item x="481"/>
        <item x="75"/>
        <item x="25"/>
        <item x="188"/>
        <item x="122"/>
        <item x="62"/>
        <item x="673"/>
        <item x="64"/>
        <item x="181"/>
        <item x="780"/>
        <item x="429"/>
        <item x="335"/>
        <item x="36"/>
        <item x="561"/>
        <item x="200"/>
        <item x="380"/>
        <item x="359"/>
        <item x="158"/>
        <item x="240"/>
        <item x="32"/>
        <item x="770"/>
        <item x="317"/>
        <item x="666"/>
        <item x="361"/>
        <item x="760"/>
        <item x="164"/>
        <item x="65"/>
        <item x="298"/>
        <item x="471"/>
        <item x="257"/>
        <item x="646"/>
        <item x="84"/>
        <item x="50"/>
        <item x="638"/>
        <item x="650"/>
        <item x="504"/>
        <item x="110"/>
        <item x="183"/>
        <item x="566"/>
        <item x="242"/>
        <item x="3"/>
        <item x="698"/>
        <item x="120"/>
        <item x="531"/>
        <item x="8"/>
        <item x="12"/>
        <item x="272"/>
        <item x="351"/>
        <item x="11"/>
        <item x="245"/>
        <item x="153"/>
        <item x="292"/>
        <item x="208"/>
        <item x="401"/>
        <item x="534"/>
        <item x="710"/>
        <item x="467"/>
        <item x="310"/>
        <item x="220"/>
        <item x="564"/>
        <item x="106"/>
        <item x="129"/>
        <item x="313"/>
        <item x="525"/>
        <item x="537"/>
        <item x="669"/>
        <item x="215"/>
        <item x="271"/>
        <item x="445"/>
        <item x="391"/>
        <item x="658"/>
        <item x="450"/>
        <item x="249"/>
        <item x="519"/>
        <item x="740"/>
        <item x="283"/>
        <item x="739"/>
        <item x="10"/>
        <item x="573"/>
        <item x="57"/>
        <item x="79"/>
        <item x="23"/>
        <item x="107"/>
        <item x="236"/>
        <item x="350"/>
        <item x="685"/>
        <item x="389"/>
        <item x="355"/>
        <item x="195"/>
        <item x="469"/>
        <item x="539"/>
        <item x="330"/>
        <item x="683"/>
        <item x="551"/>
        <item x="202"/>
        <item x="260"/>
        <item x="565"/>
        <item x="588"/>
        <item x="256"/>
        <item x="605"/>
        <item x="205"/>
        <item x="692"/>
        <item x="168"/>
        <item x="424"/>
        <item x="435"/>
        <item x="70"/>
        <item x="357"/>
        <item x="162"/>
        <item x="480"/>
        <item x="51"/>
        <item x="498"/>
        <item x="762"/>
        <item x="364"/>
        <item x="390"/>
        <item x="300"/>
        <item x="280"/>
        <item x="609"/>
        <item x="719"/>
        <item x="553"/>
        <item x="274"/>
        <item x="529"/>
        <item x="318"/>
        <item x="28"/>
        <item x="39"/>
        <item x="453"/>
        <item x="294"/>
        <item x="474"/>
        <item x="4"/>
        <item x="443"/>
        <item x="488"/>
        <item x="172"/>
        <item x="696"/>
        <item x="170"/>
        <item x="149"/>
        <item x="329"/>
        <item x="729"/>
        <item x="499"/>
        <item x="491"/>
        <item x="622"/>
        <item x="670"/>
        <item x="596"/>
        <item x="254"/>
        <item x="282"/>
        <item x="92"/>
        <item x="136"/>
        <item x="400"/>
        <item x="522"/>
        <item x="73"/>
        <item x="759"/>
        <item x="90"/>
        <item x="484"/>
        <item x="150"/>
        <item x="309"/>
        <item x="102"/>
        <item x="304"/>
        <item x="235"/>
        <item x="372"/>
        <item x="369"/>
        <item x="163"/>
        <item x="59"/>
        <item x="76"/>
        <item x="775"/>
        <item x="63"/>
        <item x="194"/>
        <item x="402"/>
        <item x="603"/>
        <item x="482"/>
        <item x="451"/>
        <item x="726"/>
        <item x="108"/>
        <item x="547"/>
        <item x="152"/>
        <item x="197"/>
        <item x="93"/>
        <item x="227"/>
        <item x="681"/>
        <item x="444"/>
        <item x="232"/>
        <item x="308"/>
        <item x="415"/>
        <item x="281"/>
        <item x="406"/>
        <item x="112"/>
        <item x="375"/>
        <item x="485"/>
        <item x="177"/>
        <item x="550"/>
        <item x="111"/>
        <item x="48"/>
        <item x="766"/>
        <item x="233"/>
        <item x="689"/>
        <item x="661"/>
        <item x="207"/>
        <item x="700"/>
        <item x="360"/>
        <item x="578"/>
        <item x="7"/>
        <item x="571"/>
        <item x="228"/>
        <item x="600"/>
        <item x="316"/>
        <item x="570"/>
        <item x="668"/>
        <item x="251"/>
        <item x="52"/>
        <item x="166"/>
        <item x="34"/>
        <item x="505"/>
        <item x="567"/>
        <item x="24"/>
        <item x="645"/>
        <item x="418"/>
        <item x="348"/>
        <item x="659"/>
        <item x="370"/>
        <item x="55"/>
        <item x="523"/>
        <item x="725"/>
        <item x="196"/>
        <item x="778"/>
        <item x="495"/>
        <item x="753"/>
        <item x="61"/>
        <item x="365"/>
        <item x="2"/>
        <item x="285"/>
        <item x="305"/>
        <item x="54"/>
        <item x="419"/>
        <item x="713"/>
        <item x="180"/>
        <item x="595"/>
        <item x="19"/>
        <item x="379"/>
        <item x="231"/>
        <item x="441"/>
        <item x="428"/>
        <item x="579"/>
        <item x="697"/>
        <item x="465"/>
        <item x="477"/>
        <item x="437"/>
        <item x="147"/>
        <item x="434"/>
        <item x="585"/>
        <item x="173"/>
        <item x="711"/>
        <item x="22"/>
        <item x="535"/>
        <item x="157"/>
        <item x="142"/>
        <item x="687"/>
        <item x="743"/>
        <item x="457"/>
        <item x="746"/>
        <item x="731"/>
        <item x="649"/>
        <item x="640"/>
        <item x="459"/>
        <item x="230"/>
        <item x="533"/>
        <item x="593"/>
        <item x="324"/>
        <item x="412"/>
        <item x="625"/>
        <item x="436"/>
        <item x="718"/>
        <item x="695"/>
        <item x="532"/>
        <item x="717"/>
        <item x="772"/>
        <item x="510"/>
        <item x="356"/>
        <item x="520"/>
        <item x="338"/>
        <item x="602"/>
        <item x="140"/>
        <item x="660"/>
        <item x="396"/>
        <item x="446"/>
        <item x="392"/>
        <item x="542"/>
        <item x="493"/>
        <item x="463"/>
        <item x="723"/>
        <item x="376"/>
        <item x="246"/>
        <item x="709"/>
        <item x="464"/>
        <item x="456"/>
        <item x="765"/>
        <item x="225"/>
        <item x="757"/>
        <item x="139"/>
        <item x="781"/>
        <item x="337"/>
        <item x="438"/>
        <item x="758"/>
        <item x="694"/>
        <item x="68"/>
        <item x="783"/>
        <item x="724"/>
        <item x="607"/>
        <item x="715"/>
        <item x="562"/>
        <item x="745"/>
        <item x="634"/>
        <item x="767"/>
        <item x="702"/>
        <item x="572"/>
        <item x="99"/>
        <item x="742"/>
        <item x="662"/>
        <item x="618"/>
        <item x="722"/>
        <item x="580"/>
        <item x="636"/>
        <item x="598"/>
        <item x="608"/>
        <item x="279"/>
        <item x="515"/>
        <item x="182"/>
        <item x="536"/>
        <item x="37"/>
        <item x="648"/>
        <item x="91"/>
        <item x="752"/>
        <item x="735"/>
        <item x="468"/>
        <item x="1"/>
        <item x="217"/>
        <item x="620"/>
        <item x="582"/>
        <item x="325"/>
        <item x="777"/>
        <item x="773"/>
        <item x="367"/>
        <item x="243"/>
        <item x="586"/>
        <item x="286"/>
        <item x="693"/>
        <item x="714"/>
        <item x="174"/>
        <item x="637"/>
        <item x="606"/>
        <item x="672"/>
        <item x="769"/>
        <item x="730"/>
        <item x="631"/>
        <item t="default"/>
      </items>
    </pivotField>
    <pivotField numFmtId="1" showAll="0"/>
    <pivotField numFmtId="2" showAll="0"/>
    <pivotField numFmtId="2" showAll="0"/>
    <pivotField showAll="0"/>
    <pivotField showAll="0">
      <items count="4">
        <item x="0"/>
        <item x="2"/>
        <item x="1"/>
        <item t="default"/>
      </items>
    </pivotField>
    <pivotField axis="axisRow" numFmtId="1" showAll="0">
      <items count="11">
        <item x="6"/>
        <item x="8"/>
        <item x="5"/>
        <item x="0"/>
        <item x="1"/>
        <item x="9"/>
        <item x="7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formats count="8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4" type="button" dataOnly="0" labelOnly="1" outline="0"/>
    </format>
    <format dxfId="75">
      <pivotArea dataOnly="0" labelOnly="1" grandRow="1" outline="0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4" type="button" dataOnly="0" labelOnly="1" outline="0"/>
    </format>
    <format dxfId="71">
      <pivotArea dataOnly="0" labelOnly="1" grandRow="1" outline="0" fieldPosition="0"/>
    </format>
  </formats>
  <chartFormats count="2">
    <chartFormat chart="5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000" totalsRowShown="0" headerRowDxfId="87" headerRowBorderDxfId="86" tableBorderDxfId="85">
  <autoFilter ref="A1:N2000" xr:uid="{00000000-000C-0000-FFFF-FFFF00000000}"/>
  <sortState xmlns:xlrd2="http://schemas.microsoft.com/office/spreadsheetml/2017/richdata2" ref="A2:M2000">
    <sortCondition descending="1" ref="H1:H2000"/>
  </sortState>
  <tableColumns count="14">
    <tableColumn id="1" xr3:uid="{00000000-0010-0000-0000-000001000000}" name="Customer_ID"/>
    <tableColumn id="3" xr3:uid="{00000000-0010-0000-0000-000003000000}" name="Gender"/>
    <tableColumn id="4" xr3:uid="{00000000-0010-0000-0000-000004000000}" name="City"/>
    <tableColumn id="5" xr3:uid="{00000000-0010-0000-0000-000005000000}" name="Customer_Segment"/>
    <tableColumn id="6" xr3:uid="{00000000-0010-0000-0000-000006000000}" name="Registration_Date" dataDxfId="84"/>
    <tableColumn id="7" xr3:uid="{00000000-0010-0000-0000-000007000000}" name="Last_Purchase_Date" dataDxfId="83"/>
    <tableColumn id="8" xr3:uid="{00000000-0010-0000-0000-000008000000}" name="Total_Orders" dataDxfId="82"/>
    <tableColumn id="9" xr3:uid="{00000000-0010-0000-0000-000009000000}" name="Total_Spent" dataDxfId="81"/>
    <tableColumn id="10" xr3:uid="{00000000-0010-0000-0000-00000A000000}" name="Average_Order_Value" dataDxfId="80"/>
    <tableColumn id="11" xr3:uid="{00000000-0010-0000-0000-00000B000000}" name="Preferred_Category"/>
    <tableColumn id="12" xr3:uid="{00000000-0010-0000-0000-00000C000000}" name="Purchase_Channel"/>
    <tableColumn id="13" xr3:uid="{00000000-0010-0000-0000-00000D000000}" name="Satisfaction_Score" dataDxfId="79"/>
    <tableColumn id="14" xr3:uid="{00000000-0010-0000-0000-00000E000000}" name="Churn_Flag"/>
    <tableColumn id="17" xr3:uid="{00000000-0010-0000-0000-000011000000}" name="Customer Val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>
      <selection activeCell="E4" sqref="E4"/>
    </sheetView>
  </sheetViews>
  <sheetFormatPr defaultRowHeight="14.4" x14ac:dyDescent="0.3"/>
  <cols>
    <col min="1" max="1" width="11.88671875" bestFit="1" customWidth="1"/>
    <col min="2" max="2" width="9.77734375" bestFit="1" customWidth="1"/>
    <col min="3" max="3" width="19.44140625" customWidth="1"/>
    <col min="4" max="4" width="17.77734375" customWidth="1"/>
    <col min="5" max="5" width="19.77734375" customWidth="1"/>
    <col min="6" max="6" width="20.44140625" bestFit="1" customWidth="1"/>
    <col min="7" max="7" width="22.5546875" bestFit="1" customWidth="1"/>
    <col min="8" max="8" width="21.33203125" customWidth="1"/>
    <col min="9" max="9" width="19.33203125" customWidth="1"/>
    <col min="10" max="10" width="18.44140625" customWidth="1"/>
    <col min="11" max="11" width="18.33203125" customWidth="1"/>
    <col min="12" max="12" width="12.33203125" customWidth="1"/>
    <col min="13" max="13" width="18.88671875" bestFit="1" customWidth="1"/>
    <col min="14" max="14" width="14.44140625" bestFit="1" customWidth="1"/>
  </cols>
  <sheetData>
    <row r="1" spans="1:14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 x14ac:dyDescent="0.3">
      <c r="A2" t="s">
        <v>15</v>
      </c>
      <c r="B2" s="2">
        <v>20</v>
      </c>
      <c r="C2" t="s">
        <v>16</v>
      </c>
      <c r="D2" t="s">
        <v>17</v>
      </c>
      <c r="E2" t="s">
        <v>18</v>
      </c>
      <c r="F2" s="3">
        <v>45546</v>
      </c>
      <c r="G2" s="3">
        <v>45743</v>
      </c>
      <c r="H2" s="2">
        <v>25</v>
      </c>
      <c r="I2" s="1">
        <v>7324.75</v>
      </c>
      <c r="J2" s="1">
        <v>292.99</v>
      </c>
      <c r="K2" t="s">
        <v>19</v>
      </c>
      <c r="L2" t="s">
        <v>20</v>
      </c>
      <c r="M2" s="2">
        <v>4</v>
      </c>
      <c r="N2" t="s">
        <v>21</v>
      </c>
    </row>
    <row r="3" spans="1:14" x14ac:dyDescent="0.3">
      <c r="A3" t="s">
        <v>22</v>
      </c>
      <c r="B3" s="2">
        <v>64</v>
      </c>
      <c r="C3" t="s">
        <v>23</v>
      </c>
      <c r="D3" t="s">
        <v>24</v>
      </c>
      <c r="E3" t="s">
        <v>18</v>
      </c>
      <c r="F3" s="3">
        <v>45970</v>
      </c>
      <c r="G3" s="3">
        <v>46227</v>
      </c>
      <c r="H3" s="2">
        <v>25</v>
      </c>
      <c r="I3" s="1">
        <v>7321.5</v>
      </c>
      <c r="J3" s="1">
        <v>292.86</v>
      </c>
      <c r="K3" t="s">
        <v>25</v>
      </c>
      <c r="L3" t="s">
        <v>26</v>
      </c>
      <c r="M3" s="2">
        <v>5</v>
      </c>
      <c r="N3" t="s">
        <v>21</v>
      </c>
    </row>
    <row r="4" spans="1:14" x14ac:dyDescent="0.3">
      <c r="A4" t="s">
        <v>27</v>
      </c>
      <c r="B4" s="2">
        <v>56</v>
      </c>
      <c r="C4" t="s">
        <v>23</v>
      </c>
      <c r="D4" t="s">
        <v>28</v>
      </c>
      <c r="E4" t="s">
        <v>29</v>
      </c>
      <c r="F4" s="3">
        <v>45878</v>
      </c>
      <c r="G4" s="3">
        <v>46078</v>
      </c>
      <c r="H4" s="2">
        <v>25</v>
      </c>
      <c r="I4" s="1">
        <v>7256.25</v>
      </c>
      <c r="J4" s="1">
        <v>290.25</v>
      </c>
      <c r="K4" t="s">
        <v>19</v>
      </c>
      <c r="L4" t="s">
        <v>30</v>
      </c>
      <c r="M4" s="2">
        <v>8</v>
      </c>
      <c r="N4" t="s">
        <v>31</v>
      </c>
    </row>
    <row r="5" spans="1:14" x14ac:dyDescent="0.3">
      <c r="A5" t="s">
        <v>32</v>
      </c>
      <c r="B5" s="2">
        <v>59</v>
      </c>
      <c r="C5" t="s">
        <v>16</v>
      </c>
      <c r="D5" t="s">
        <v>28</v>
      </c>
      <c r="E5" t="s">
        <v>18</v>
      </c>
      <c r="F5" s="3">
        <v>45780</v>
      </c>
      <c r="G5" s="3">
        <v>45882</v>
      </c>
      <c r="H5" s="2">
        <v>25</v>
      </c>
      <c r="I5" s="1">
        <v>7247.4999999999991</v>
      </c>
      <c r="J5" s="1">
        <v>289.89999999999998</v>
      </c>
      <c r="K5" t="s">
        <v>19</v>
      </c>
      <c r="L5" t="s">
        <v>30</v>
      </c>
      <c r="M5" s="2">
        <v>9</v>
      </c>
      <c r="N5" t="s">
        <v>21</v>
      </c>
    </row>
    <row r="6" spans="1:14" x14ac:dyDescent="0.3">
      <c r="A6" t="s">
        <v>33</v>
      </c>
      <c r="B6" s="2">
        <v>31</v>
      </c>
      <c r="C6" t="s">
        <v>16</v>
      </c>
      <c r="D6" t="s">
        <v>28</v>
      </c>
      <c r="E6" t="s">
        <v>34</v>
      </c>
      <c r="F6" s="3">
        <v>45792</v>
      </c>
      <c r="G6" s="3">
        <v>45975</v>
      </c>
      <c r="H6" s="2">
        <v>24</v>
      </c>
      <c r="I6" s="1">
        <v>7168.7999999999993</v>
      </c>
      <c r="J6" s="1">
        <v>298.7</v>
      </c>
      <c r="K6" t="s">
        <v>35</v>
      </c>
      <c r="L6" t="s">
        <v>26</v>
      </c>
      <c r="M6" s="2">
        <v>9</v>
      </c>
      <c r="N6" t="s">
        <v>21</v>
      </c>
    </row>
    <row r="7" spans="1:14" x14ac:dyDescent="0.3">
      <c r="A7" t="s">
        <v>36</v>
      </c>
      <c r="B7" s="2">
        <v>27</v>
      </c>
      <c r="C7" t="s">
        <v>23</v>
      </c>
      <c r="D7" t="s">
        <v>24</v>
      </c>
      <c r="E7" t="s">
        <v>29</v>
      </c>
      <c r="F7" s="3">
        <v>45460</v>
      </c>
      <c r="G7" s="3">
        <v>45621</v>
      </c>
      <c r="H7" s="2">
        <v>24</v>
      </c>
      <c r="I7" s="1">
        <v>7163.52</v>
      </c>
      <c r="J7" s="1">
        <v>298.48</v>
      </c>
      <c r="K7" t="s">
        <v>25</v>
      </c>
      <c r="L7" t="s">
        <v>30</v>
      </c>
      <c r="M7" s="2">
        <v>4</v>
      </c>
      <c r="N7" t="s">
        <v>21</v>
      </c>
    </row>
    <row r="8" spans="1:14" x14ac:dyDescent="0.3">
      <c r="A8" t="s">
        <v>37</v>
      </c>
      <c r="B8" s="2">
        <v>36</v>
      </c>
      <c r="C8" t="s">
        <v>23</v>
      </c>
      <c r="D8" t="s">
        <v>17</v>
      </c>
      <c r="E8" t="s">
        <v>38</v>
      </c>
      <c r="F8" s="3">
        <v>45377</v>
      </c>
      <c r="G8" s="3">
        <v>45483</v>
      </c>
      <c r="H8" s="2">
        <v>24</v>
      </c>
      <c r="I8" s="1">
        <v>7098.24</v>
      </c>
      <c r="J8" s="1">
        <v>295.76</v>
      </c>
      <c r="K8" t="s">
        <v>39</v>
      </c>
      <c r="L8" t="s">
        <v>30</v>
      </c>
      <c r="M8" s="2">
        <v>10</v>
      </c>
      <c r="N8" t="s">
        <v>21</v>
      </c>
    </row>
    <row r="9" spans="1:14" x14ac:dyDescent="0.3">
      <c r="A9" t="s">
        <v>40</v>
      </c>
      <c r="B9" s="2">
        <v>42</v>
      </c>
      <c r="C9" t="s">
        <v>16</v>
      </c>
      <c r="D9" t="s">
        <v>24</v>
      </c>
      <c r="E9" t="s">
        <v>18</v>
      </c>
      <c r="F9" s="3">
        <v>45754</v>
      </c>
      <c r="G9" s="3">
        <v>46047</v>
      </c>
      <c r="H9" s="2">
        <v>25</v>
      </c>
      <c r="I9" s="1">
        <v>7083.4999999999991</v>
      </c>
      <c r="J9" s="1">
        <v>283.33999999999997</v>
      </c>
      <c r="K9" t="s">
        <v>39</v>
      </c>
      <c r="L9" t="s">
        <v>30</v>
      </c>
      <c r="M9" s="2">
        <v>9</v>
      </c>
      <c r="N9" t="s">
        <v>21</v>
      </c>
    </row>
    <row r="10" spans="1:14" x14ac:dyDescent="0.3">
      <c r="A10" t="s">
        <v>41</v>
      </c>
      <c r="B10" s="2">
        <v>62</v>
      </c>
      <c r="C10" t="s">
        <v>16</v>
      </c>
      <c r="D10" t="s">
        <v>42</v>
      </c>
      <c r="E10" t="s">
        <v>18</v>
      </c>
      <c r="F10" s="3">
        <v>45776</v>
      </c>
      <c r="G10" s="3">
        <v>45886</v>
      </c>
      <c r="H10" s="2">
        <v>25</v>
      </c>
      <c r="I10" s="1">
        <v>7048.25</v>
      </c>
      <c r="J10" s="1">
        <v>281.93</v>
      </c>
      <c r="K10" t="s">
        <v>19</v>
      </c>
      <c r="L10" t="s">
        <v>26</v>
      </c>
      <c r="M10" s="2">
        <v>3</v>
      </c>
      <c r="N10" t="s">
        <v>21</v>
      </c>
    </row>
    <row r="11" spans="1:14" x14ac:dyDescent="0.3">
      <c r="A11" t="s">
        <v>43</v>
      </c>
      <c r="B11" s="2">
        <v>44</v>
      </c>
      <c r="C11" t="s">
        <v>16</v>
      </c>
      <c r="D11" t="s">
        <v>44</v>
      </c>
      <c r="E11" t="s">
        <v>34</v>
      </c>
      <c r="F11" s="3">
        <v>45394</v>
      </c>
      <c r="G11" s="3">
        <v>45600</v>
      </c>
      <c r="H11" s="2">
        <v>25</v>
      </c>
      <c r="I11" s="1">
        <v>7015.5</v>
      </c>
      <c r="J11" s="1">
        <v>280.62</v>
      </c>
      <c r="K11" t="s">
        <v>45</v>
      </c>
      <c r="L11" t="s">
        <v>20</v>
      </c>
      <c r="M11" s="2">
        <v>1</v>
      </c>
      <c r="N11" t="s">
        <v>21</v>
      </c>
    </row>
    <row r="12" spans="1:14" x14ac:dyDescent="0.3">
      <c r="A12" t="s">
        <v>46</v>
      </c>
      <c r="B12" s="2">
        <v>46</v>
      </c>
      <c r="C12" t="s">
        <v>23</v>
      </c>
      <c r="D12" t="s">
        <v>42</v>
      </c>
      <c r="E12" t="s">
        <v>18</v>
      </c>
      <c r="F12" s="3">
        <v>45758</v>
      </c>
      <c r="G12" s="3">
        <v>45919</v>
      </c>
      <c r="H12" s="2">
        <v>24</v>
      </c>
      <c r="I12" s="1">
        <v>7014.48</v>
      </c>
      <c r="J12" s="1">
        <v>292.27</v>
      </c>
      <c r="K12" t="s">
        <v>45</v>
      </c>
      <c r="L12" t="s">
        <v>20</v>
      </c>
      <c r="M12" s="2">
        <v>9</v>
      </c>
      <c r="N12" t="s">
        <v>21</v>
      </c>
    </row>
    <row r="13" spans="1:14" x14ac:dyDescent="0.3">
      <c r="A13" t="s">
        <v>47</v>
      </c>
      <c r="B13" s="2">
        <v>38</v>
      </c>
      <c r="C13" t="s">
        <v>16</v>
      </c>
      <c r="D13" t="s">
        <v>17</v>
      </c>
      <c r="E13" t="s">
        <v>34</v>
      </c>
      <c r="F13" s="3">
        <v>45766</v>
      </c>
      <c r="G13" s="3">
        <v>45890</v>
      </c>
      <c r="H13" s="2">
        <v>25</v>
      </c>
      <c r="I13" s="1">
        <v>6918.75</v>
      </c>
      <c r="J13" s="1">
        <v>276.75</v>
      </c>
      <c r="K13" t="s">
        <v>45</v>
      </c>
      <c r="L13" t="s">
        <v>20</v>
      </c>
      <c r="M13" s="2">
        <v>7</v>
      </c>
      <c r="N13" t="s">
        <v>21</v>
      </c>
    </row>
    <row r="14" spans="1:14" x14ac:dyDescent="0.3">
      <c r="A14" t="s">
        <v>48</v>
      </c>
      <c r="B14" s="2">
        <v>32</v>
      </c>
      <c r="C14" t="s">
        <v>16</v>
      </c>
      <c r="D14" t="s">
        <v>24</v>
      </c>
      <c r="E14" t="s">
        <v>38</v>
      </c>
      <c r="F14" s="3">
        <v>45794</v>
      </c>
      <c r="G14" s="3">
        <v>45887</v>
      </c>
      <c r="H14" s="2">
        <v>25</v>
      </c>
      <c r="I14" s="1">
        <v>6912</v>
      </c>
      <c r="J14" s="1">
        <v>276.48</v>
      </c>
      <c r="K14" t="s">
        <v>35</v>
      </c>
      <c r="L14" t="s">
        <v>20</v>
      </c>
      <c r="M14" s="2">
        <v>1</v>
      </c>
      <c r="N14" t="s">
        <v>21</v>
      </c>
    </row>
    <row r="15" spans="1:14" x14ac:dyDescent="0.3">
      <c r="A15" t="s">
        <v>49</v>
      </c>
      <c r="B15" s="2">
        <v>19</v>
      </c>
      <c r="C15" t="s">
        <v>23</v>
      </c>
      <c r="D15" t="s">
        <v>50</v>
      </c>
      <c r="E15" t="s">
        <v>34</v>
      </c>
      <c r="F15" s="3">
        <v>45454</v>
      </c>
      <c r="G15" s="3">
        <v>45752</v>
      </c>
      <c r="H15" s="2">
        <v>24</v>
      </c>
      <c r="I15" s="1">
        <v>6902.88</v>
      </c>
      <c r="J15" s="1">
        <v>287.62</v>
      </c>
      <c r="K15" t="s">
        <v>39</v>
      </c>
      <c r="L15" t="s">
        <v>20</v>
      </c>
      <c r="M15" s="2">
        <v>7</v>
      </c>
      <c r="N15" t="s">
        <v>21</v>
      </c>
    </row>
    <row r="16" spans="1:14" x14ac:dyDescent="0.3">
      <c r="A16" t="s">
        <v>51</v>
      </c>
      <c r="B16" s="2">
        <v>33</v>
      </c>
      <c r="C16" t="s">
        <v>16</v>
      </c>
      <c r="D16" t="s">
        <v>17</v>
      </c>
      <c r="E16" t="s">
        <v>18</v>
      </c>
      <c r="F16" s="3">
        <v>45609</v>
      </c>
      <c r="G16" s="3">
        <v>45832</v>
      </c>
      <c r="H16" s="2">
        <v>24</v>
      </c>
      <c r="I16" s="1">
        <v>6887.0399999999991</v>
      </c>
      <c r="J16" s="1">
        <v>286.95999999999998</v>
      </c>
      <c r="K16" t="s">
        <v>35</v>
      </c>
      <c r="L16" t="s">
        <v>20</v>
      </c>
      <c r="M16" s="2">
        <v>10</v>
      </c>
      <c r="N16" t="s">
        <v>21</v>
      </c>
    </row>
    <row r="17" spans="1:14" x14ac:dyDescent="0.3">
      <c r="A17" t="s">
        <v>52</v>
      </c>
      <c r="B17" s="2">
        <v>55</v>
      </c>
      <c r="C17" t="s">
        <v>16</v>
      </c>
      <c r="D17" t="s">
        <v>17</v>
      </c>
      <c r="E17" t="s">
        <v>18</v>
      </c>
      <c r="F17" s="3">
        <v>45339</v>
      </c>
      <c r="G17" s="3">
        <v>45402</v>
      </c>
      <c r="H17" s="2">
        <v>25</v>
      </c>
      <c r="I17" s="1">
        <v>6742.25</v>
      </c>
      <c r="J17" s="1">
        <v>269.69</v>
      </c>
      <c r="K17" t="s">
        <v>19</v>
      </c>
      <c r="L17" t="s">
        <v>20</v>
      </c>
      <c r="M17" s="2">
        <v>1</v>
      </c>
      <c r="N17" t="s">
        <v>21</v>
      </c>
    </row>
    <row r="18" spans="1:14" x14ac:dyDescent="0.3">
      <c r="A18" t="s">
        <v>53</v>
      </c>
      <c r="B18" s="2">
        <v>30</v>
      </c>
      <c r="C18" t="s">
        <v>23</v>
      </c>
      <c r="D18" t="s">
        <v>50</v>
      </c>
      <c r="E18" t="s">
        <v>34</v>
      </c>
      <c r="F18" s="3">
        <v>45342</v>
      </c>
      <c r="G18" s="3">
        <v>45537</v>
      </c>
      <c r="H18" s="2">
        <v>24</v>
      </c>
      <c r="I18" s="1">
        <v>6716.4000000000005</v>
      </c>
      <c r="J18" s="1">
        <v>279.85000000000002</v>
      </c>
      <c r="K18" t="s">
        <v>19</v>
      </c>
      <c r="L18" t="s">
        <v>20</v>
      </c>
      <c r="M18" s="2">
        <v>8</v>
      </c>
      <c r="N18" t="s">
        <v>21</v>
      </c>
    </row>
    <row r="19" spans="1:14" x14ac:dyDescent="0.3">
      <c r="A19" t="s">
        <v>54</v>
      </c>
      <c r="B19" s="2">
        <v>63</v>
      </c>
      <c r="C19" t="s">
        <v>16</v>
      </c>
      <c r="D19" t="s">
        <v>24</v>
      </c>
      <c r="E19" t="s">
        <v>38</v>
      </c>
      <c r="F19" s="3">
        <v>45434</v>
      </c>
      <c r="G19" s="3">
        <v>45536</v>
      </c>
      <c r="H19" s="2">
        <v>24</v>
      </c>
      <c r="I19" s="1">
        <v>6706.5599999999986</v>
      </c>
      <c r="J19" s="1">
        <v>279.44</v>
      </c>
      <c r="K19" t="s">
        <v>25</v>
      </c>
      <c r="L19" t="s">
        <v>30</v>
      </c>
      <c r="M19" s="2">
        <v>1</v>
      </c>
      <c r="N19" t="s">
        <v>21</v>
      </c>
    </row>
    <row r="20" spans="1:14" x14ac:dyDescent="0.3">
      <c r="A20" t="s">
        <v>55</v>
      </c>
      <c r="B20" s="2">
        <v>43</v>
      </c>
      <c r="C20" t="s">
        <v>23</v>
      </c>
      <c r="D20" t="s">
        <v>28</v>
      </c>
      <c r="E20" t="s">
        <v>29</v>
      </c>
      <c r="F20" s="3">
        <v>45439</v>
      </c>
      <c r="G20" s="3">
        <v>45475</v>
      </c>
      <c r="H20" s="2">
        <v>23</v>
      </c>
      <c r="I20" s="1">
        <v>6578.69</v>
      </c>
      <c r="J20" s="1">
        <v>286.02999999999997</v>
      </c>
      <c r="K20" t="s">
        <v>19</v>
      </c>
      <c r="L20" t="s">
        <v>20</v>
      </c>
      <c r="M20" s="2">
        <v>2</v>
      </c>
      <c r="N20" t="s">
        <v>21</v>
      </c>
    </row>
    <row r="21" spans="1:14" x14ac:dyDescent="0.3">
      <c r="A21" t="s">
        <v>56</v>
      </c>
      <c r="B21" s="2">
        <v>35</v>
      </c>
      <c r="C21" t="s">
        <v>16</v>
      </c>
      <c r="D21" t="s">
        <v>50</v>
      </c>
      <c r="E21" t="s">
        <v>18</v>
      </c>
      <c r="F21" s="3">
        <v>45964</v>
      </c>
      <c r="G21" s="3">
        <v>46088</v>
      </c>
      <c r="H21" s="2">
        <v>23</v>
      </c>
      <c r="I21" s="1">
        <v>6578.23</v>
      </c>
      <c r="J21" s="1">
        <v>286.01</v>
      </c>
      <c r="K21" t="s">
        <v>19</v>
      </c>
      <c r="L21" t="s">
        <v>30</v>
      </c>
      <c r="M21" s="2">
        <v>3</v>
      </c>
      <c r="N21" t="s">
        <v>31</v>
      </c>
    </row>
    <row r="22" spans="1:14" x14ac:dyDescent="0.3">
      <c r="A22" t="s">
        <v>57</v>
      </c>
      <c r="B22" s="2">
        <v>50</v>
      </c>
      <c r="C22" t="s">
        <v>23</v>
      </c>
      <c r="D22" t="s">
        <v>28</v>
      </c>
      <c r="E22" t="s">
        <v>34</v>
      </c>
      <c r="F22" s="3">
        <v>45527</v>
      </c>
      <c r="G22" s="3">
        <v>45755</v>
      </c>
      <c r="H22" s="2">
        <v>23</v>
      </c>
      <c r="I22" s="1">
        <v>6573.17</v>
      </c>
      <c r="J22" s="1">
        <v>285.79000000000002</v>
      </c>
      <c r="K22" t="s">
        <v>19</v>
      </c>
      <c r="L22" t="s">
        <v>20</v>
      </c>
      <c r="M22" s="2">
        <v>1</v>
      </c>
      <c r="N22" t="s">
        <v>31</v>
      </c>
    </row>
    <row r="23" spans="1:14" x14ac:dyDescent="0.3">
      <c r="A23" t="s">
        <v>58</v>
      </c>
      <c r="B23" s="2">
        <v>55</v>
      </c>
      <c r="C23" t="s">
        <v>23</v>
      </c>
      <c r="D23" t="s">
        <v>17</v>
      </c>
      <c r="E23" t="s">
        <v>29</v>
      </c>
      <c r="F23" s="3">
        <v>45569</v>
      </c>
      <c r="G23" s="3">
        <v>45796</v>
      </c>
      <c r="H23" s="2">
        <v>25</v>
      </c>
      <c r="I23" s="1">
        <v>6539.7499999999991</v>
      </c>
      <c r="J23" s="1">
        <v>261.58999999999997</v>
      </c>
      <c r="K23" t="s">
        <v>25</v>
      </c>
      <c r="L23" t="s">
        <v>30</v>
      </c>
      <c r="M23" s="2">
        <v>3</v>
      </c>
      <c r="N23" t="s">
        <v>21</v>
      </c>
    </row>
    <row r="24" spans="1:14" x14ac:dyDescent="0.3">
      <c r="A24" t="s">
        <v>59</v>
      </c>
      <c r="B24" s="2">
        <v>23</v>
      </c>
      <c r="C24" t="s">
        <v>23</v>
      </c>
      <c r="D24" t="s">
        <v>28</v>
      </c>
      <c r="E24" t="s">
        <v>38</v>
      </c>
      <c r="F24" s="3">
        <v>45815</v>
      </c>
      <c r="G24" s="3">
        <v>46105</v>
      </c>
      <c r="H24" s="2">
        <v>25</v>
      </c>
      <c r="I24" s="1">
        <v>6533</v>
      </c>
      <c r="J24" s="1">
        <v>261.32</v>
      </c>
      <c r="K24" t="s">
        <v>25</v>
      </c>
      <c r="L24" t="s">
        <v>26</v>
      </c>
      <c r="M24" s="2">
        <v>10</v>
      </c>
      <c r="N24" t="s">
        <v>21</v>
      </c>
    </row>
    <row r="25" spans="1:14" x14ac:dyDescent="0.3">
      <c r="A25" t="s">
        <v>60</v>
      </c>
      <c r="B25" s="2">
        <v>48</v>
      </c>
      <c r="C25" t="s">
        <v>23</v>
      </c>
      <c r="D25" t="s">
        <v>61</v>
      </c>
      <c r="E25" t="s">
        <v>34</v>
      </c>
      <c r="F25" s="3">
        <v>45920</v>
      </c>
      <c r="G25" s="3">
        <v>45923</v>
      </c>
      <c r="H25" s="2">
        <v>25</v>
      </c>
      <c r="I25" s="1">
        <v>6499.75</v>
      </c>
      <c r="J25" s="1">
        <v>259.99</v>
      </c>
      <c r="K25" t="s">
        <v>35</v>
      </c>
      <c r="L25" t="s">
        <v>20</v>
      </c>
      <c r="M25" s="2">
        <v>5</v>
      </c>
      <c r="N25" t="s">
        <v>21</v>
      </c>
    </row>
    <row r="26" spans="1:14" x14ac:dyDescent="0.3">
      <c r="A26" t="s">
        <v>62</v>
      </c>
      <c r="B26" s="2">
        <v>20</v>
      </c>
      <c r="C26" t="s">
        <v>16</v>
      </c>
      <c r="D26" t="s">
        <v>50</v>
      </c>
      <c r="E26" t="s">
        <v>34</v>
      </c>
      <c r="F26" s="3">
        <v>45780</v>
      </c>
      <c r="G26" s="3">
        <v>46061</v>
      </c>
      <c r="H26" s="2">
        <v>24</v>
      </c>
      <c r="I26" s="1">
        <v>6485.76</v>
      </c>
      <c r="J26" s="1">
        <v>270.24</v>
      </c>
      <c r="K26" t="s">
        <v>19</v>
      </c>
      <c r="L26" t="s">
        <v>20</v>
      </c>
      <c r="M26" s="2">
        <v>2</v>
      </c>
      <c r="N26" t="s">
        <v>31</v>
      </c>
    </row>
    <row r="27" spans="1:14" x14ac:dyDescent="0.3">
      <c r="A27" t="s">
        <v>63</v>
      </c>
      <c r="B27" s="2">
        <v>26</v>
      </c>
      <c r="C27" t="s">
        <v>16</v>
      </c>
      <c r="D27" t="s">
        <v>28</v>
      </c>
      <c r="E27" t="s">
        <v>38</v>
      </c>
      <c r="F27" s="3">
        <v>45561</v>
      </c>
      <c r="G27" s="3">
        <v>45844</v>
      </c>
      <c r="H27" s="2">
        <v>23</v>
      </c>
      <c r="I27" s="1">
        <v>6450.12</v>
      </c>
      <c r="J27" s="1">
        <v>280.44</v>
      </c>
      <c r="K27" t="s">
        <v>39</v>
      </c>
      <c r="L27" t="s">
        <v>20</v>
      </c>
      <c r="M27" s="2">
        <v>3</v>
      </c>
      <c r="N27" t="s">
        <v>21</v>
      </c>
    </row>
    <row r="28" spans="1:14" x14ac:dyDescent="0.3">
      <c r="A28" t="s">
        <v>64</v>
      </c>
      <c r="B28" s="2">
        <v>22</v>
      </c>
      <c r="C28" t="s">
        <v>16</v>
      </c>
      <c r="D28" t="s">
        <v>28</v>
      </c>
      <c r="E28" t="s">
        <v>18</v>
      </c>
      <c r="F28" s="3">
        <v>45493</v>
      </c>
      <c r="G28" s="3">
        <v>45627</v>
      </c>
      <c r="H28" s="2">
        <v>24</v>
      </c>
      <c r="I28" s="1">
        <v>6436.08</v>
      </c>
      <c r="J28" s="1">
        <v>268.17</v>
      </c>
      <c r="K28" t="s">
        <v>19</v>
      </c>
      <c r="L28" t="s">
        <v>20</v>
      </c>
      <c r="M28" s="2">
        <v>7</v>
      </c>
      <c r="N28" t="s">
        <v>31</v>
      </c>
    </row>
    <row r="29" spans="1:14" x14ac:dyDescent="0.3">
      <c r="A29" t="s">
        <v>65</v>
      </c>
      <c r="B29" s="2">
        <v>45</v>
      </c>
      <c r="C29" t="s">
        <v>23</v>
      </c>
      <c r="D29" t="s">
        <v>61</v>
      </c>
      <c r="E29" t="s">
        <v>34</v>
      </c>
      <c r="F29" s="3">
        <v>45438</v>
      </c>
      <c r="G29" s="3">
        <v>45459</v>
      </c>
      <c r="H29" s="2">
        <v>24</v>
      </c>
      <c r="I29" s="1">
        <v>6409.68</v>
      </c>
      <c r="J29" s="1">
        <v>267.07</v>
      </c>
      <c r="K29" t="s">
        <v>39</v>
      </c>
      <c r="L29" t="s">
        <v>26</v>
      </c>
      <c r="M29" s="2">
        <v>5</v>
      </c>
      <c r="N29" t="s">
        <v>21</v>
      </c>
    </row>
    <row r="30" spans="1:14" x14ac:dyDescent="0.3">
      <c r="A30" t="s">
        <v>66</v>
      </c>
      <c r="B30" s="2">
        <v>49</v>
      </c>
      <c r="C30" t="s">
        <v>23</v>
      </c>
      <c r="D30" t="s">
        <v>61</v>
      </c>
      <c r="E30" t="s">
        <v>34</v>
      </c>
      <c r="F30" s="3">
        <v>45763</v>
      </c>
      <c r="G30" s="3">
        <v>45970</v>
      </c>
      <c r="H30" s="2">
        <v>22</v>
      </c>
      <c r="I30" s="1">
        <v>6389.46</v>
      </c>
      <c r="J30" s="1">
        <v>290.43</v>
      </c>
      <c r="K30" t="s">
        <v>35</v>
      </c>
      <c r="L30" t="s">
        <v>26</v>
      </c>
      <c r="M30" s="2">
        <v>2</v>
      </c>
      <c r="N30" t="s">
        <v>21</v>
      </c>
    </row>
    <row r="31" spans="1:14" x14ac:dyDescent="0.3">
      <c r="A31" t="s">
        <v>67</v>
      </c>
      <c r="B31" s="2">
        <v>24</v>
      </c>
      <c r="C31" t="s">
        <v>16</v>
      </c>
      <c r="D31" t="s">
        <v>17</v>
      </c>
      <c r="E31" t="s">
        <v>38</v>
      </c>
      <c r="F31" s="3">
        <v>45467</v>
      </c>
      <c r="G31" s="3">
        <v>45702</v>
      </c>
      <c r="H31" s="2">
        <v>23</v>
      </c>
      <c r="I31" s="1">
        <v>6383.42</v>
      </c>
      <c r="J31" s="1">
        <v>277.54000000000002</v>
      </c>
      <c r="K31" t="s">
        <v>19</v>
      </c>
      <c r="L31" t="s">
        <v>30</v>
      </c>
      <c r="M31" s="2">
        <v>7</v>
      </c>
      <c r="N31" t="s">
        <v>31</v>
      </c>
    </row>
    <row r="32" spans="1:14" x14ac:dyDescent="0.3">
      <c r="A32" t="s">
        <v>68</v>
      </c>
      <c r="B32" s="2">
        <v>20</v>
      </c>
      <c r="C32" t="s">
        <v>16</v>
      </c>
      <c r="D32" t="s">
        <v>61</v>
      </c>
      <c r="E32" t="s">
        <v>34</v>
      </c>
      <c r="F32" s="3">
        <v>45513</v>
      </c>
      <c r="G32" s="3">
        <v>45651</v>
      </c>
      <c r="H32" s="2">
        <v>23</v>
      </c>
      <c r="I32" s="1">
        <v>6371.23</v>
      </c>
      <c r="J32" s="1">
        <v>277.01</v>
      </c>
      <c r="K32" t="s">
        <v>35</v>
      </c>
      <c r="L32" t="s">
        <v>30</v>
      </c>
      <c r="M32" s="2">
        <v>10</v>
      </c>
      <c r="N32" t="s">
        <v>21</v>
      </c>
    </row>
    <row r="33" spans="1:14" x14ac:dyDescent="0.3">
      <c r="A33" t="s">
        <v>69</v>
      </c>
      <c r="B33" s="2">
        <v>34</v>
      </c>
      <c r="C33" t="s">
        <v>23</v>
      </c>
      <c r="D33" t="s">
        <v>42</v>
      </c>
      <c r="E33" t="s">
        <v>34</v>
      </c>
      <c r="F33" s="3">
        <v>45327</v>
      </c>
      <c r="G33" s="3">
        <v>45354</v>
      </c>
      <c r="H33" s="2">
        <v>23</v>
      </c>
      <c r="I33" s="1">
        <v>6368.4699999999993</v>
      </c>
      <c r="J33" s="1">
        <v>276.89</v>
      </c>
      <c r="K33" t="s">
        <v>39</v>
      </c>
      <c r="L33" t="s">
        <v>20</v>
      </c>
      <c r="M33" s="2">
        <v>4</v>
      </c>
      <c r="N33" t="s">
        <v>21</v>
      </c>
    </row>
    <row r="34" spans="1:14" x14ac:dyDescent="0.3">
      <c r="A34" t="s">
        <v>70</v>
      </c>
      <c r="B34" s="2">
        <v>28</v>
      </c>
      <c r="C34" t="s">
        <v>16</v>
      </c>
      <c r="D34" t="s">
        <v>44</v>
      </c>
      <c r="E34" t="s">
        <v>18</v>
      </c>
      <c r="F34" s="3">
        <v>45776</v>
      </c>
      <c r="G34" s="3">
        <v>45975</v>
      </c>
      <c r="H34" s="2">
        <v>22</v>
      </c>
      <c r="I34" s="1">
        <v>6361.08</v>
      </c>
      <c r="J34" s="1">
        <v>289.14</v>
      </c>
      <c r="K34" t="s">
        <v>45</v>
      </c>
      <c r="L34" t="s">
        <v>26</v>
      </c>
      <c r="M34" s="2">
        <v>5</v>
      </c>
      <c r="N34" t="s">
        <v>21</v>
      </c>
    </row>
    <row r="35" spans="1:14" x14ac:dyDescent="0.3">
      <c r="A35" t="s">
        <v>71</v>
      </c>
      <c r="B35" s="2">
        <v>18</v>
      </c>
      <c r="C35" t="s">
        <v>23</v>
      </c>
      <c r="D35" t="s">
        <v>24</v>
      </c>
      <c r="E35" t="s">
        <v>38</v>
      </c>
      <c r="F35" s="3">
        <v>45790</v>
      </c>
      <c r="G35" s="3">
        <v>45861</v>
      </c>
      <c r="H35" s="2">
        <v>24</v>
      </c>
      <c r="I35" s="1">
        <v>6354.7199999999993</v>
      </c>
      <c r="J35" s="1">
        <v>264.77999999999997</v>
      </c>
      <c r="K35" t="s">
        <v>45</v>
      </c>
      <c r="L35" t="s">
        <v>20</v>
      </c>
      <c r="M35" s="2">
        <v>5</v>
      </c>
      <c r="N35" t="s">
        <v>21</v>
      </c>
    </row>
    <row r="36" spans="1:14" x14ac:dyDescent="0.3">
      <c r="A36" t="s">
        <v>72</v>
      </c>
      <c r="B36" s="2">
        <v>26</v>
      </c>
      <c r="C36" t="s">
        <v>23</v>
      </c>
      <c r="D36" t="s">
        <v>24</v>
      </c>
      <c r="E36" t="s">
        <v>18</v>
      </c>
      <c r="F36" s="3">
        <v>45767</v>
      </c>
      <c r="G36" s="3">
        <v>45773</v>
      </c>
      <c r="H36" s="2">
        <v>25</v>
      </c>
      <c r="I36" s="1">
        <v>6353</v>
      </c>
      <c r="J36" s="1">
        <v>254.12</v>
      </c>
      <c r="K36" t="s">
        <v>39</v>
      </c>
      <c r="L36" t="s">
        <v>20</v>
      </c>
      <c r="M36" s="2">
        <v>4</v>
      </c>
      <c r="N36" t="s">
        <v>21</v>
      </c>
    </row>
    <row r="37" spans="1:14" x14ac:dyDescent="0.3">
      <c r="A37" t="s">
        <v>73</v>
      </c>
      <c r="B37" s="2">
        <v>32</v>
      </c>
      <c r="C37" t="s">
        <v>23</v>
      </c>
      <c r="D37" t="s">
        <v>44</v>
      </c>
      <c r="E37" t="s">
        <v>38</v>
      </c>
      <c r="F37" s="3">
        <v>45787</v>
      </c>
      <c r="G37" s="3">
        <v>46058</v>
      </c>
      <c r="H37" s="2">
        <v>22</v>
      </c>
      <c r="I37" s="1">
        <v>6318.62</v>
      </c>
      <c r="J37" s="1">
        <v>287.20999999999998</v>
      </c>
      <c r="K37" t="s">
        <v>35</v>
      </c>
      <c r="L37" t="s">
        <v>20</v>
      </c>
      <c r="M37" s="2">
        <v>7</v>
      </c>
      <c r="N37" t="s">
        <v>21</v>
      </c>
    </row>
    <row r="38" spans="1:14" x14ac:dyDescent="0.3">
      <c r="A38" t="s">
        <v>74</v>
      </c>
      <c r="B38" s="2">
        <v>42</v>
      </c>
      <c r="C38" t="s">
        <v>16</v>
      </c>
      <c r="D38" t="s">
        <v>28</v>
      </c>
      <c r="E38" t="s">
        <v>34</v>
      </c>
      <c r="F38" s="3">
        <v>45730</v>
      </c>
      <c r="G38" s="3">
        <v>45833</v>
      </c>
      <c r="H38" s="2">
        <v>23</v>
      </c>
      <c r="I38" s="1">
        <v>6316.49</v>
      </c>
      <c r="J38" s="1">
        <v>274.63</v>
      </c>
      <c r="K38" t="s">
        <v>39</v>
      </c>
      <c r="L38" t="s">
        <v>20</v>
      </c>
      <c r="M38" s="2">
        <v>6</v>
      </c>
      <c r="N38" t="s">
        <v>21</v>
      </c>
    </row>
    <row r="39" spans="1:14" x14ac:dyDescent="0.3">
      <c r="A39" t="s">
        <v>75</v>
      </c>
      <c r="B39" s="2">
        <v>45</v>
      </c>
      <c r="C39" t="s">
        <v>23</v>
      </c>
      <c r="D39" t="s">
        <v>61</v>
      </c>
      <c r="E39" t="s">
        <v>18</v>
      </c>
      <c r="F39" s="3">
        <v>45699</v>
      </c>
      <c r="G39" s="3">
        <v>45854</v>
      </c>
      <c r="H39" s="2">
        <v>25</v>
      </c>
      <c r="I39" s="1">
        <v>6293.25</v>
      </c>
      <c r="J39" s="1">
        <v>251.73</v>
      </c>
      <c r="K39" t="s">
        <v>19</v>
      </c>
      <c r="L39" t="s">
        <v>30</v>
      </c>
      <c r="M39" s="2">
        <v>8</v>
      </c>
      <c r="N39" t="s">
        <v>21</v>
      </c>
    </row>
    <row r="40" spans="1:14" x14ac:dyDescent="0.3">
      <c r="A40" t="s">
        <v>76</v>
      </c>
      <c r="B40" s="2">
        <v>43</v>
      </c>
      <c r="C40" t="s">
        <v>23</v>
      </c>
      <c r="D40" t="s">
        <v>24</v>
      </c>
      <c r="E40" t="s">
        <v>29</v>
      </c>
      <c r="F40" s="3">
        <v>45938</v>
      </c>
      <c r="G40" s="3">
        <v>46215</v>
      </c>
      <c r="H40" s="2">
        <v>25</v>
      </c>
      <c r="I40" s="1">
        <v>6290</v>
      </c>
      <c r="J40" s="1">
        <v>251.6</v>
      </c>
      <c r="K40" t="s">
        <v>35</v>
      </c>
      <c r="L40" t="s">
        <v>20</v>
      </c>
      <c r="M40" s="2">
        <v>5</v>
      </c>
      <c r="N40" t="s">
        <v>21</v>
      </c>
    </row>
    <row r="41" spans="1:14" x14ac:dyDescent="0.3">
      <c r="A41" t="s">
        <v>77</v>
      </c>
      <c r="B41" s="2">
        <v>41</v>
      </c>
      <c r="C41" t="s">
        <v>23</v>
      </c>
      <c r="D41" t="s">
        <v>24</v>
      </c>
      <c r="E41" t="s">
        <v>38</v>
      </c>
      <c r="F41" s="3">
        <v>45702</v>
      </c>
      <c r="G41" s="3">
        <v>45730</v>
      </c>
      <c r="H41" s="2">
        <v>21</v>
      </c>
      <c r="I41" s="1">
        <v>6282.3600000000006</v>
      </c>
      <c r="J41" s="1">
        <v>299.16000000000003</v>
      </c>
      <c r="K41" t="s">
        <v>45</v>
      </c>
      <c r="L41" t="s">
        <v>20</v>
      </c>
      <c r="M41" s="2">
        <v>4</v>
      </c>
      <c r="N41" t="s">
        <v>21</v>
      </c>
    </row>
    <row r="42" spans="1:14" x14ac:dyDescent="0.3">
      <c r="A42" t="s">
        <v>78</v>
      </c>
      <c r="B42" s="2">
        <v>24</v>
      </c>
      <c r="C42" t="s">
        <v>16</v>
      </c>
      <c r="D42" t="s">
        <v>42</v>
      </c>
      <c r="E42" t="s">
        <v>38</v>
      </c>
      <c r="F42" s="3">
        <v>45913</v>
      </c>
      <c r="G42" s="3">
        <v>45971</v>
      </c>
      <c r="H42" s="2">
        <v>25</v>
      </c>
      <c r="I42" s="1">
        <v>6235</v>
      </c>
      <c r="J42" s="1">
        <v>249.4</v>
      </c>
      <c r="K42" t="s">
        <v>35</v>
      </c>
      <c r="L42" t="s">
        <v>20</v>
      </c>
      <c r="M42" s="2">
        <v>4</v>
      </c>
      <c r="N42" t="s">
        <v>21</v>
      </c>
    </row>
    <row r="43" spans="1:14" x14ac:dyDescent="0.3">
      <c r="A43" t="s">
        <v>79</v>
      </c>
      <c r="B43" s="2">
        <v>33</v>
      </c>
      <c r="C43" t="s">
        <v>16</v>
      </c>
      <c r="D43" t="s">
        <v>50</v>
      </c>
      <c r="E43" t="s">
        <v>38</v>
      </c>
      <c r="F43" s="3">
        <v>45623</v>
      </c>
      <c r="G43" s="3">
        <v>45741</v>
      </c>
      <c r="H43" s="2">
        <v>25</v>
      </c>
      <c r="I43" s="1">
        <v>6160</v>
      </c>
      <c r="J43" s="1">
        <v>246.4</v>
      </c>
      <c r="K43" t="s">
        <v>35</v>
      </c>
      <c r="L43" t="s">
        <v>30</v>
      </c>
      <c r="M43" s="2">
        <v>1</v>
      </c>
      <c r="N43" t="s">
        <v>21</v>
      </c>
    </row>
    <row r="44" spans="1:14" x14ac:dyDescent="0.3">
      <c r="A44" t="s">
        <v>80</v>
      </c>
      <c r="B44" s="2">
        <v>28</v>
      </c>
      <c r="C44" t="s">
        <v>16</v>
      </c>
      <c r="D44" t="s">
        <v>28</v>
      </c>
      <c r="E44" t="s">
        <v>38</v>
      </c>
      <c r="F44" s="3">
        <v>45632</v>
      </c>
      <c r="G44" s="3">
        <v>45705</v>
      </c>
      <c r="H44" s="2">
        <v>21</v>
      </c>
      <c r="I44" s="1">
        <v>6157.83</v>
      </c>
      <c r="J44" s="1">
        <v>293.23</v>
      </c>
      <c r="K44" t="s">
        <v>19</v>
      </c>
      <c r="L44" t="s">
        <v>30</v>
      </c>
      <c r="M44" s="2">
        <v>2</v>
      </c>
      <c r="N44" t="s">
        <v>31</v>
      </c>
    </row>
    <row r="45" spans="1:14" x14ac:dyDescent="0.3">
      <c r="A45" t="s">
        <v>81</v>
      </c>
      <c r="B45" s="2">
        <v>39</v>
      </c>
      <c r="C45" t="s">
        <v>23</v>
      </c>
      <c r="D45" t="s">
        <v>50</v>
      </c>
      <c r="E45" t="s">
        <v>29</v>
      </c>
      <c r="F45" s="3">
        <v>45576</v>
      </c>
      <c r="G45" s="3">
        <v>45579</v>
      </c>
      <c r="H45" s="2">
        <v>25</v>
      </c>
      <c r="I45" s="1">
        <v>6140.75</v>
      </c>
      <c r="J45" s="1">
        <v>245.63</v>
      </c>
      <c r="K45" t="s">
        <v>45</v>
      </c>
      <c r="L45" t="s">
        <v>30</v>
      </c>
      <c r="M45" s="2">
        <v>2</v>
      </c>
      <c r="N45" t="s">
        <v>21</v>
      </c>
    </row>
    <row r="46" spans="1:14" x14ac:dyDescent="0.3">
      <c r="A46" t="s">
        <v>82</v>
      </c>
      <c r="B46" s="2">
        <v>44</v>
      </c>
      <c r="C46" t="s">
        <v>23</v>
      </c>
      <c r="D46" t="s">
        <v>28</v>
      </c>
      <c r="E46" t="s">
        <v>29</v>
      </c>
      <c r="F46" s="3">
        <v>45453</v>
      </c>
      <c r="G46" s="3">
        <v>45513</v>
      </c>
      <c r="H46" s="2">
        <v>22</v>
      </c>
      <c r="I46" s="1">
        <v>6131.84</v>
      </c>
      <c r="J46" s="1">
        <v>278.72000000000003</v>
      </c>
      <c r="K46" t="s">
        <v>39</v>
      </c>
      <c r="L46" t="s">
        <v>30</v>
      </c>
      <c r="M46" s="2">
        <v>10</v>
      </c>
      <c r="N46" t="s">
        <v>21</v>
      </c>
    </row>
    <row r="47" spans="1:14" x14ac:dyDescent="0.3">
      <c r="A47" t="s">
        <v>83</v>
      </c>
      <c r="B47" s="2">
        <v>58</v>
      </c>
      <c r="C47" t="s">
        <v>23</v>
      </c>
      <c r="D47" t="s">
        <v>28</v>
      </c>
      <c r="E47" t="s">
        <v>18</v>
      </c>
      <c r="F47" s="3">
        <v>45451</v>
      </c>
      <c r="G47" s="3">
        <v>45749</v>
      </c>
      <c r="H47" s="2">
        <v>21</v>
      </c>
      <c r="I47" s="1">
        <v>6097.98</v>
      </c>
      <c r="J47" s="1">
        <v>290.38</v>
      </c>
      <c r="K47" t="s">
        <v>19</v>
      </c>
      <c r="L47" t="s">
        <v>30</v>
      </c>
      <c r="M47" s="2">
        <v>1</v>
      </c>
      <c r="N47" t="s">
        <v>21</v>
      </c>
    </row>
    <row r="48" spans="1:14" x14ac:dyDescent="0.3">
      <c r="A48" t="s">
        <v>84</v>
      </c>
      <c r="B48" s="2">
        <v>48</v>
      </c>
      <c r="C48" t="s">
        <v>23</v>
      </c>
      <c r="D48" t="s">
        <v>17</v>
      </c>
      <c r="E48" t="s">
        <v>18</v>
      </c>
      <c r="F48" s="3">
        <v>45600</v>
      </c>
      <c r="G48" s="3">
        <v>45834</v>
      </c>
      <c r="H48" s="2">
        <v>21</v>
      </c>
      <c r="I48" s="1">
        <v>6088.53</v>
      </c>
      <c r="J48" s="1">
        <v>289.93</v>
      </c>
      <c r="K48" t="s">
        <v>35</v>
      </c>
      <c r="L48" t="s">
        <v>20</v>
      </c>
      <c r="M48" s="2">
        <v>8</v>
      </c>
      <c r="N48" t="s">
        <v>31</v>
      </c>
    </row>
    <row r="49" spans="1:14" x14ac:dyDescent="0.3">
      <c r="A49" t="s">
        <v>85</v>
      </c>
      <c r="B49" s="2">
        <v>63</v>
      </c>
      <c r="C49" t="s">
        <v>23</v>
      </c>
      <c r="D49" t="s">
        <v>28</v>
      </c>
      <c r="E49" t="s">
        <v>29</v>
      </c>
      <c r="F49" s="3">
        <v>45575</v>
      </c>
      <c r="G49" s="3">
        <v>45639</v>
      </c>
      <c r="H49" s="2">
        <v>23</v>
      </c>
      <c r="I49" s="1">
        <v>6037.5</v>
      </c>
      <c r="J49" s="1">
        <v>262.5</v>
      </c>
      <c r="K49" t="s">
        <v>35</v>
      </c>
      <c r="L49" t="s">
        <v>26</v>
      </c>
      <c r="M49" s="2">
        <v>3</v>
      </c>
      <c r="N49" t="s">
        <v>21</v>
      </c>
    </row>
    <row r="50" spans="1:14" x14ac:dyDescent="0.3">
      <c r="A50" t="s">
        <v>86</v>
      </c>
      <c r="B50" s="2">
        <v>20</v>
      </c>
      <c r="C50" t="s">
        <v>16</v>
      </c>
      <c r="D50" t="s">
        <v>24</v>
      </c>
      <c r="E50" t="s">
        <v>34</v>
      </c>
      <c r="F50" s="3">
        <v>45695</v>
      </c>
      <c r="G50" s="3">
        <v>45726</v>
      </c>
      <c r="H50" s="2">
        <v>25</v>
      </c>
      <c r="I50" s="1">
        <v>6032.25</v>
      </c>
      <c r="J50" s="1">
        <v>241.29</v>
      </c>
      <c r="K50" t="s">
        <v>45</v>
      </c>
      <c r="L50" t="s">
        <v>30</v>
      </c>
      <c r="M50" s="2">
        <v>7</v>
      </c>
      <c r="N50" t="s">
        <v>21</v>
      </c>
    </row>
    <row r="51" spans="1:14" x14ac:dyDescent="0.3">
      <c r="A51" t="s">
        <v>87</v>
      </c>
      <c r="B51" s="2">
        <v>43</v>
      </c>
      <c r="C51" t="s">
        <v>23</v>
      </c>
      <c r="D51" t="s">
        <v>17</v>
      </c>
      <c r="E51" t="s">
        <v>38</v>
      </c>
      <c r="F51" s="3">
        <v>45899</v>
      </c>
      <c r="G51" s="3">
        <v>46038</v>
      </c>
      <c r="H51" s="2">
        <v>25</v>
      </c>
      <c r="I51" s="1">
        <v>6026.5</v>
      </c>
      <c r="J51" s="1">
        <v>241.06</v>
      </c>
      <c r="K51" t="s">
        <v>35</v>
      </c>
      <c r="L51" t="s">
        <v>20</v>
      </c>
      <c r="M51" s="2">
        <v>5</v>
      </c>
      <c r="N51" t="s">
        <v>21</v>
      </c>
    </row>
    <row r="52" spans="1:14" x14ac:dyDescent="0.3">
      <c r="A52" t="s">
        <v>88</v>
      </c>
      <c r="B52" s="2">
        <v>59</v>
      </c>
      <c r="C52" t="s">
        <v>16</v>
      </c>
      <c r="D52" t="s">
        <v>17</v>
      </c>
      <c r="E52" t="s">
        <v>34</v>
      </c>
      <c r="F52" s="3">
        <v>45523</v>
      </c>
      <c r="G52" s="3">
        <v>45576</v>
      </c>
      <c r="H52" s="2">
        <v>22</v>
      </c>
      <c r="I52" s="1">
        <v>6006.66</v>
      </c>
      <c r="J52" s="1">
        <v>273.02999999999997</v>
      </c>
      <c r="K52" t="s">
        <v>25</v>
      </c>
      <c r="L52" t="s">
        <v>30</v>
      </c>
      <c r="M52" s="2">
        <v>2</v>
      </c>
      <c r="N52" t="s">
        <v>31</v>
      </c>
    </row>
    <row r="53" spans="1:14" x14ac:dyDescent="0.3">
      <c r="A53" t="s">
        <v>89</v>
      </c>
      <c r="B53" s="2">
        <v>60</v>
      </c>
      <c r="C53" t="s">
        <v>23</v>
      </c>
      <c r="D53" t="s">
        <v>17</v>
      </c>
      <c r="E53" t="s">
        <v>18</v>
      </c>
      <c r="F53" s="3">
        <v>45639</v>
      </c>
      <c r="G53" s="3">
        <v>45874</v>
      </c>
      <c r="H53" s="2">
        <v>23</v>
      </c>
      <c r="I53" s="1">
        <v>5989.89</v>
      </c>
      <c r="J53" s="1">
        <v>260.43</v>
      </c>
      <c r="K53" t="s">
        <v>35</v>
      </c>
      <c r="L53" t="s">
        <v>26</v>
      </c>
      <c r="M53" s="2">
        <v>8</v>
      </c>
      <c r="N53" t="s">
        <v>31</v>
      </c>
    </row>
    <row r="54" spans="1:14" x14ac:dyDescent="0.3">
      <c r="A54" t="s">
        <v>90</v>
      </c>
      <c r="B54" s="2">
        <v>32</v>
      </c>
      <c r="C54" t="s">
        <v>23</v>
      </c>
      <c r="D54" t="s">
        <v>50</v>
      </c>
      <c r="E54" t="s">
        <v>34</v>
      </c>
      <c r="F54" s="3">
        <v>45864</v>
      </c>
      <c r="G54" s="3">
        <v>45957</v>
      </c>
      <c r="H54" s="2">
        <v>22</v>
      </c>
      <c r="I54" s="1">
        <v>5981.58</v>
      </c>
      <c r="J54" s="1">
        <v>271.89</v>
      </c>
      <c r="K54" t="s">
        <v>35</v>
      </c>
      <c r="L54" t="s">
        <v>26</v>
      </c>
      <c r="M54" s="2">
        <v>6</v>
      </c>
      <c r="N54" t="s">
        <v>21</v>
      </c>
    </row>
    <row r="55" spans="1:14" x14ac:dyDescent="0.3">
      <c r="A55" t="s">
        <v>91</v>
      </c>
      <c r="B55" s="2">
        <v>29</v>
      </c>
      <c r="C55" t="s">
        <v>16</v>
      </c>
      <c r="D55" t="s">
        <v>44</v>
      </c>
      <c r="E55" t="s">
        <v>34</v>
      </c>
      <c r="F55" s="3">
        <v>45789</v>
      </c>
      <c r="G55" s="3">
        <v>46055</v>
      </c>
      <c r="H55" s="2">
        <v>21</v>
      </c>
      <c r="I55" s="1">
        <v>5978.49</v>
      </c>
      <c r="J55" s="1">
        <v>284.69</v>
      </c>
      <c r="K55" t="s">
        <v>35</v>
      </c>
      <c r="L55" t="s">
        <v>30</v>
      </c>
      <c r="M55" s="2">
        <v>2</v>
      </c>
      <c r="N55" t="s">
        <v>21</v>
      </c>
    </row>
    <row r="56" spans="1:14" x14ac:dyDescent="0.3">
      <c r="A56" t="s">
        <v>92</v>
      </c>
      <c r="B56" s="2">
        <v>36</v>
      </c>
      <c r="C56" t="s">
        <v>23</v>
      </c>
      <c r="D56" t="s">
        <v>24</v>
      </c>
      <c r="E56" t="s">
        <v>18</v>
      </c>
      <c r="F56" s="3">
        <v>45372</v>
      </c>
      <c r="G56" s="3">
        <v>45592</v>
      </c>
      <c r="H56" s="2">
        <v>20</v>
      </c>
      <c r="I56" s="1">
        <v>5972.6</v>
      </c>
      <c r="J56" s="1">
        <v>298.63</v>
      </c>
      <c r="K56" t="s">
        <v>45</v>
      </c>
      <c r="L56" t="s">
        <v>20</v>
      </c>
      <c r="M56" s="2">
        <v>5</v>
      </c>
      <c r="N56" t="s">
        <v>21</v>
      </c>
    </row>
    <row r="57" spans="1:14" x14ac:dyDescent="0.3">
      <c r="A57" t="s">
        <v>93</v>
      </c>
      <c r="B57" s="2">
        <v>21</v>
      </c>
      <c r="C57" t="s">
        <v>23</v>
      </c>
      <c r="D57" t="s">
        <v>42</v>
      </c>
      <c r="E57" t="s">
        <v>38</v>
      </c>
      <c r="F57" s="3">
        <v>45957</v>
      </c>
      <c r="G57" s="3">
        <v>46081</v>
      </c>
      <c r="H57" s="2">
        <v>21</v>
      </c>
      <c r="I57" s="1">
        <v>5967.15</v>
      </c>
      <c r="J57" s="1">
        <v>284.14999999999998</v>
      </c>
      <c r="K57" t="s">
        <v>19</v>
      </c>
      <c r="L57" t="s">
        <v>20</v>
      </c>
      <c r="M57" s="2">
        <v>3</v>
      </c>
      <c r="N57" t="s">
        <v>21</v>
      </c>
    </row>
    <row r="58" spans="1:14" x14ac:dyDescent="0.3">
      <c r="A58" t="s">
        <v>94</v>
      </c>
      <c r="B58" s="2">
        <v>56</v>
      </c>
      <c r="C58" t="s">
        <v>23</v>
      </c>
      <c r="D58" t="s">
        <v>28</v>
      </c>
      <c r="E58" t="s">
        <v>34</v>
      </c>
      <c r="F58" s="3">
        <v>45829</v>
      </c>
      <c r="G58" s="3">
        <v>46067</v>
      </c>
      <c r="H58" s="2">
        <v>21</v>
      </c>
      <c r="I58" s="1">
        <v>5966.52</v>
      </c>
      <c r="J58" s="1">
        <v>284.12</v>
      </c>
      <c r="K58" t="s">
        <v>19</v>
      </c>
      <c r="L58" t="s">
        <v>26</v>
      </c>
      <c r="M58" s="2">
        <v>3</v>
      </c>
      <c r="N58" t="s">
        <v>21</v>
      </c>
    </row>
    <row r="59" spans="1:14" x14ac:dyDescent="0.3">
      <c r="A59" t="s">
        <v>95</v>
      </c>
      <c r="B59" s="2">
        <v>28</v>
      </c>
      <c r="C59" t="s">
        <v>16</v>
      </c>
      <c r="D59" t="s">
        <v>24</v>
      </c>
      <c r="E59" t="s">
        <v>18</v>
      </c>
      <c r="F59" s="3">
        <v>45383</v>
      </c>
      <c r="G59" s="3">
        <v>45480</v>
      </c>
      <c r="H59" s="2">
        <v>25</v>
      </c>
      <c r="I59" s="1">
        <v>5950.75</v>
      </c>
      <c r="J59" s="1">
        <v>238.03</v>
      </c>
      <c r="K59" t="s">
        <v>25</v>
      </c>
      <c r="L59" t="s">
        <v>20</v>
      </c>
      <c r="M59" s="2">
        <v>7</v>
      </c>
      <c r="N59" t="s">
        <v>21</v>
      </c>
    </row>
    <row r="60" spans="1:14" x14ac:dyDescent="0.3">
      <c r="A60" t="s">
        <v>96</v>
      </c>
      <c r="B60" s="2">
        <v>52</v>
      </c>
      <c r="C60" t="s">
        <v>16</v>
      </c>
      <c r="D60" t="s">
        <v>50</v>
      </c>
      <c r="E60" t="s">
        <v>18</v>
      </c>
      <c r="F60" s="3">
        <v>45669</v>
      </c>
      <c r="G60" s="3">
        <v>45921</v>
      </c>
      <c r="H60" s="2">
        <v>25</v>
      </c>
      <c r="I60" s="1">
        <v>5931.25</v>
      </c>
      <c r="J60" s="1">
        <v>237.25</v>
      </c>
      <c r="K60" t="s">
        <v>35</v>
      </c>
      <c r="L60" t="s">
        <v>30</v>
      </c>
      <c r="M60" s="2">
        <v>4</v>
      </c>
      <c r="N60" t="s">
        <v>21</v>
      </c>
    </row>
    <row r="61" spans="1:14" x14ac:dyDescent="0.3">
      <c r="A61" t="s">
        <v>97</v>
      </c>
      <c r="B61" s="2">
        <v>33</v>
      </c>
      <c r="C61" t="s">
        <v>23</v>
      </c>
      <c r="D61" t="s">
        <v>44</v>
      </c>
      <c r="E61" t="s">
        <v>38</v>
      </c>
      <c r="F61" s="3">
        <v>45636</v>
      </c>
      <c r="G61" s="3">
        <v>45825</v>
      </c>
      <c r="H61" s="2">
        <v>22</v>
      </c>
      <c r="I61" s="1">
        <v>5923.2800000000007</v>
      </c>
      <c r="J61" s="1">
        <v>269.24</v>
      </c>
      <c r="K61" t="s">
        <v>35</v>
      </c>
      <c r="L61" t="s">
        <v>20</v>
      </c>
      <c r="M61" s="2">
        <v>1</v>
      </c>
      <c r="N61" t="s">
        <v>21</v>
      </c>
    </row>
    <row r="62" spans="1:14" x14ac:dyDescent="0.3">
      <c r="A62" t="s">
        <v>98</v>
      </c>
      <c r="B62" s="2">
        <v>52</v>
      </c>
      <c r="C62" t="s">
        <v>16</v>
      </c>
      <c r="D62" t="s">
        <v>42</v>
      </c>
      <c r="E62" t="s">
        <v>34</v>
      </c>
      <c r="F62" s="3">
        <v>45883</v>
      </c>
      <c r="G62" s="3">
        <v>46008</v>
      </c>
      <c r="H62" s="2">
        <v>20</v>
      </c>
      <c r="I62" s="1">
        <v>5922</v>
      </c>
      <c r="J62" s="1">
        <v>296.10000000000002</v>
      </c>
      <c r="K62" t="s">
        <v>19</v>
      </c>
      <c r="L62" t="s">
        <v>30</v>
      </c>
      <c r="M62" s="2">
        <v>1</v>
      </c>
      <c r="N62" t="s">
        <v>21</v>
      </c>
    </row>
    <row r="63" spans="1:14" x14ac:dyDescent="0.3">
      <c r="A63" t="s">
        <v>99</v>
      </c>
      <c r="B63" s="2">
        <v>46</v>
      </c>
      <c r="C63" t="s">
        <v>23</v>
      </c>
      <c r="D63" t="s">
        <v>44</v>
      </c>
      <c r="E63" t="s">
        <v>18</v>
      </c>
      <c r="F63" s="3">
        <v>45528</v>
      </c>
      <c r="G63" s="3">
        <v>45568</v>
      </c>
      <c r="H63" s="2">
        <v>20</v>
      </c>
      <c r="I63" s="1">
        <v>5916.4</v>
      </c>
      <c r="J63" s="1">
        <v>295.82</v>
      </c>
      <c r="K63" t="s">
        <v>35</v>
      </c>
      <c r="L63" t="s">
        <v>26</v>
      </c>
      <c r="M63" s="2">
        <v>10</v>
      </c>
      <c r="N63" t="s">
        <v>21</v>
      </c>
    </row>
    <row r="64" spans="1:14" x14ac:dyDescent="0.3">
      <c r="A64" t="s">
        <v>100</v>
      </c>
      <c r="B64" s="2">
        <v>64</v>
      </c>
      <c r="C64" t="s">
        <v>23</v>
      </c>
      <c r="D64" t="s">
        <v>28</v>
      </c>
      <c r="E64" t="s">
        <v>18</v>
      </c>
      <c r="F64" s="3">
        <v>45804</v>
      </c>
      <c r="G64" s="3">
        <v>46076</v>
      </c>
      <c r="H64" s="2">
        <v>22</v>
      </c>
      <c r="I64" s="1">
        <v>5901.7199999999993</v>
      </c>
      <c r="J64" s="1">
        <v>268.26</v>
      </c>
      <c r="K64" t="s">
        <v>39</v>
      </c>
      <c r="L64" t="s">
        <v>20</v>
      </c>
      <c r="M64" s="2">
        <v>10</v>
      </c>
      <c r="N64" t="s">
        <v>21</v>
      </c>
    </row>
    <row r="65" spans="1:14" x14ac:dyDescent="0.3">
      <c r="A65" t="s">
        <v>101</v>
      </c>
      <c r="B65" s="2">
        <v>24</v>
      </c>
      <c r="C65" t="s">
        <v>16</v>
      </c>
      <c r="D65" t="s">
        <v>17</v>
      </c>
      <c r="E65" t="s">
        <v>38</v>
      </c>
      <c r="F65" s="3">
        <v>45499</v>
      </c>
      <c r="G65" s="3">
        <v>45568</v>
      </c>
      <c r="H65" s="2">
        <v>25</v>
      </c>
      <c r="I65" s="1">
        <v>5891</v>
      </c>
      <c r="J65" s="1">
        <v>235.64</v>
      </c>
      <c r="K65" t="s">
        <v>45</v>
      </c>
      <c r="L65" t="s">
        <v>26</v>
      </c>
      <c r="M65" s="2">
        <v>2</v>
      </c>
      <c r="N65" t="s">
        <v>31</v>
      </c>
    </row>
    <row r="66" spans="1:14" x14ac:dyDescent="0.3">
      <c r="A66" t="s">
        <v>102</v>
      </c>
      <c r="B66" s="2">
        <v>24</v>
      </c>
      <c r="C66" t="s">
        <v>23</v>
      </c>
      <c r="D66" t="s">
        <v>44</v>
      </c>
      <c r="E66" t="s">
        <v>38</v>
      </c>
      <c r="F66" s="3">
        <v>45715</v>
      </c>
      <c r="G66" s="3">
        <v>45847</v>
      </c>
      <c r="H66" s="2">
        <v>22</v>
      </c>
      <c r="I66" s="1">
        <v>5879.94</v>
      </c>
      <c r="J66" s="1">
        <v>267.27</v>
      </c>
      <c r="K66" t="s">
        <v>45</v>
      </c>
      <c r="L66" t="s">
        <v>26</v>
      </c>
      <c r="M66" s="2">
        <v>7</v>
      </c>
      <c r="N66" t="s">
        <v>21</v>
      </c>
    </row>
    <row r="67" spans="1:14" x14ac:dyDescent="0.3">
      <c r="A67" t="s">
        <v>103</v>
      </c>
      <c r="B67" s="2">
        <v>33</v>
      </c>
      <c r="C67" t="s">
        <v>16</v>
      </c>
      <c r="D67" t="s">
        <v>50</v>
      </c>
      <c r="E67" t="s">
        <v>18</v>
      </c>
      <c r="F67" s="3">
        <v>45990</v>
      </c>
      <c r="G67" s="3">
        <v>46011</v>
      </c>
      <c r="H67" s="2">
        <v>20</v>
      </c>
      <c r="I67" s="1">
        <v>5873.6</v>
      </c>
      <c r="J67" s="1">
        <v>293.68</v>
      </c>
      <c r="K67" t="s">
        <v>45</v>
      </c>
      <c r="L67" t="s">
        <v>26</v>
      </c>
      <c r="M67" s="2">
        <v>3</v>
      </c>
      <c r="N67" t="s">
        <v>31</v>
      </c>
    </row>
    <row r="68" spans="1:14" x14ac:dyDescent="0.3">
      <c r="A68" t="s">
        <v>104</v>
      </c>
      <c r="B68" s="2">
        <v>64</v>
      </c>
      <c r="C68" t="s">
        <v>23</v>
      </c>
      <c r="D68" t="s">
        <v>50</v>
      </c>
      <c r="E68" t="s">
        <v>18</v>
      </c>
      <c r="F68" s="3">
        <v>45763</v>
      </c>
      <c r="G68" s="3">
        <v>45849</v>
      </c>
      <c r="H68" s="2">
        <v>24</v>
      </c>
      <c r="I68" s="1">
        <v>5822.16</v>
      </c>
      <c r="J68" s="1">
        <v>242.59</v>
      </c>
      <c r="K68" t="s">
        <v>19</v>
      </c>
      <c r="L68" t="s">
        <v>30</v>
      </c>
      <c r="M68" s="2">
        <v>2</v>
      </c>
      <c r="N68" t="s">
        <v>31</v>
      </c>
    </row>
    <row r="69" spans="1:14" x14ac:dyDescent="0.3">
      <c r="A69" t="s">
        <v>105</v>
      </c>
      <c r="B69" s="2">
        <v>51</v>
      </c>
      <c r="C69" t="s">
        <v>16</v>
      </c>
      <c r="D69" t="s">
        <v>61</v>
      </c>
      <c r="E69" t="s">
        <v>34</v>
      </c>
      <c r="F69" s="3">
        <v>45842</v>
      </c>
      <c r="G69" s="3">
        <v>45868</v>
      </c>
      <c r="H69" s="2">
        <v>22</v>
      </c>
      <c r="I69" s="1">
        <v>5822.08</v>
      </c>
      <c r="J69" s="1">
        <v>264.64</v>
      </c>
      <c r="K69" t="s">
        <v>39</v>
      </c>
      <c r="L69" t="s">
        <v>30</v>
      </c>
      <c r="M69" s="2">
        <v>2</v>
      </c>
      <c r="N69" t="s">
        <v>21</v>
      </c>
    </row>
    <row r="70" spans="1:14" x14ac:dyDescent="0.3">
      <c r="A70" t="s">
        <v>106</v>
      </c>
      <c r="B70" s="2">
        <v>23</v>
      </c>
      <c r="C70" t="s">
        <v>23</v>
      </c>
      <c r="D70" t="s">
        <v>44</v>
      </c>
      <c r="E70" t="s">
        <v>34</v>
      </c>
      <c r="F70" s="3">
        <v>45840</v>
      </c>
      <c r="G70" s="3">
        <v>45844</v>
      </c>
      <c r="H70" s="2">
        <v>23</v>
      </c>
      <c r="I70" s="1">
        <v>5819.23</v>
      </c>
      <c r="J70" s="1">
        <v>253.01</v>
      </c>
      <c r="K70" t="s">
        <v>39</v>
      </c>
      <c r="L70" t="s">
        <v>20</v>
      </c>
      <c r="M70" s="2">
        <v>3</v>
      </c>
      <c r="N70" t="s">
        <v>21</v>
      </c>
    </row>
    <row r="71" spans="1:14" x14ac:dyDescent="0.3">
      <c r="A71" t="s">
        <v>107</v>
      </c>
      <c r="B71" s="2">
        <v>48</v>
      </c>
      <c r="C71" t="s">
        <v>23</v>
      </c>
      <c r="D71" t="s">
        <v>61</v>
      </c>
      <c r="E71" t="s">
        <v>18</v>
      </c>
      <c r="F71" s="3">
        <v>45585</v>
      </c>
      <c r="G71" s="3">
        <v>45826</v>
      </c>
      <c r="H71" s="2">
        <v>23</v>
      </c>
      <c r="I71" s="1">
        <v>5812.33</v>
      </c>
      <c r="J71" s="1">
        <v>252.71</v>
      </c>
      <c r="K71" t="s">
        <v>39</v>
      </c>
      <c r="L71" t="s">
        <v>30</v>
      </c>
      <c r="M71" s="2">
        <v>5</v>
      </c>
      <c r="N71" t="s">
        <v>21</v>
      </c>
    </row>
    <row r="72" spans="1:14" x14ac:dyDescent="0.3">
      <c r="A72" t="s">
        <v>108</v>
      </c>
      <c r="B72" s="2">
        <v>58</v>
      </c>
      <c r="C72" t="s">
        <v>23</v>
      </c>
      <c r="D72" t="s">
        <v>61</v>
      </c>
      <c r="E72" t="s">
        <v>29</v>
      </c>
      <c r="F72" s="3">
        <v>45328</v>
      </c>
      <c r="G72" s="3">
        <v>45483</v>
      </c>
      <c r="H72" s="2">
        <v>24</v>
      </c>
      <c r="I72" s="1">
        <v>5755.4400000000014</v>
      </c>
      <c r="J72" s="1">
        <v>239.81</v>
      </c>
      <c r="K72" t="s">
        <v>19</v>
      </c>
      <c r="L72" t="s">
        <v>30</v>
      </c>
      <c r="M72" s="2">
        <v>5</v>
      </c>
      <c r="N72" t="s">
        <v>21</v>
      </c>
    </row>
    <row r="73" spans="1:14" x14ac:dyDescent="0.3">
      <c r="A73" t="s">
        <v>109</v>
      </c>
      <c r="B73" s="2">
        <v>43</v>
      </c>
      <c r="C73" t="s">
        <v>23</v>
      </c>
      <c r="D73" t="s">
        <v>42</v>
      </c>
      <c r="E73" t="s">
        <v>38</v>
      </c>
      <c r="F73" s="3">
        <v>45474</v>
      </c>
      <c r="G73" s="3">
        <v>45482</v>
      </c>
      <c r="H73" s="2">
        <v>23</v>
      </c>
      <c r="I73" s="1">
        <v>5752.99</v>
      </c>
      <c r="J73" s="1">
        <v>250.13</v>
      </c>
      <c r="K73" t="s">
        <v>19</v>
      </c>
      <c r="L73" t="s">
        <v>26</v>
      </c>
      <c r="M73" s="2">
        <v>3</v>
      </c>
      <c r="N73" t="s">
        <v>31</v>
      </c>
    </row>
    <row r="74" spans="1:14" x14ac:dyDescent="0.3">
      <c r="A74" t="s">
        <v>110</v>
      </c>
      <c r="B74" s="2">
        <v>64</v>
      </c>
      <c r="C74" t="s">
        <v>16</v>
      </c>
      <c r="D74" t="s">
        <v>28</v>
      </c>
      <c r="E74" t="s">
        <v>34</v>
      </c>
      <c r="F74" s="3">
        <v>45935</v>
      </c>
      <c r="G74" s="3">
        <v>46178</v>
      </c>
      <c r="H74" s="2">
        <v>23</v>
      </c>
      <c r="I74" s="1">
        <v>5729.76</v>
      </c>
      <c r="J74" s="1">
        <v>249.12</v>
      </c>
      <c r="K74" t="s">
        <v>25</v>
      </c>
      <c r="L74" t="s">
        <v>20</v>
      </c>
      <c r="M74" s="2">
        <v>1</v>
      </c>
      <c r="N74" t="s">
        <v>21</v>
      </c>
    </row>
    <row r="75" spans="1:14" x14ac:dyDescent="0.3">
      <c r="A75" t="s">
        <v>111</v>
      </c>
      <c r="B75" s="2">
        <v>49</v>
      </c>
      <c r="C75" t="s">
        <v>23</v>
      </c>
      <c r="D75" t="s">
        <v>42</v>
      </c>
      <c r="E75" t="s">
        <v>38</v>
      </c>
      <c r="F75" s="3">
        <v>45653</v>
      </c>
      <c r="G75" s="3">
        <v>45749</v>
      </c>
      <c r="H75" s="2">
        <v>22</v>
      </c>
      <c r="I75" s="1">
        <v>5725.94</v>
      </c>
      <c r="J75" s="1">
        <v>260.27</v>
      </c>
      <c r="K75" t="s">
        <v>39</v>
      </c>
      <c r="L75" t="s">
        <v>26</v>
      </c>
      <c r="M75" s="2">
        <v>1</v>
      </c>
      <c r="N75" t="s">
        <v>21</v>
      </c>
    </row>
    <row r="76" spans="1:14" x14ac:dyDescent="0.3">
      <c r="A76" t="s">
        <v>112</v>
      </c>
      <c r="B76" s="2">
        <v>43</v>
      </c>
      <c r="C76" t="s">
        <v>16</v>
      </c>
      <c r="D76" t="s">
        <v>50</v>
      </c>
      <c r="E76" t="s">
        <v>18</v>
      </c>
      <c r="F76" s="3">
        <v>45426</v>
      </c>
      <c r="G76" s="3">
        <v>45619</v>
      </c>
      <c r="H76" s="2">
        <v>20</v>
      </c>
      <c r="I76" s="1">
        <v>5713.4000000000005</v>
      </c>
      <c r="J76" s="1">
        <v>285.67</v>
      </c>
      <c r="K76" t="s">
        <v>19</v>
      </c>
      <c r="L76" t="s">
        <v>26</v>
      </c>
      <c r="M76" s="2">
        <v>3</v>
      </c>
      <c r="N76" t="s">
        <v>31</v>
      </c>
    </row>
    <row r="77" spans="1:14" x14ac:dyDescent="0.3">
      <c r="A77" t="s">
        <v>113</v>
      </c>
      <c r="B77" s="2">
        <v>28</v>
      </c>
      <c r="C77" t="s">
        <v>23</v>
      </c>
      <c r="D77" t="s">
        <v>28</v>
      </c>
      <c r="E77" t="s">
        <v>29</v>
      </c>
      <c r="F77" s="3">
        <v>45813</v>
      </c>
      <c r="G77" s="3">
        <v>45952</v>
      </c>
      <c r="H77" s="2">
        <v>21</v>
      </c>
      <c r="I77" s="1">
        <v>5706.1200000000008</v>
      </c>
      <c r="J77" s="1">
        <v>271.72000000000003</v>
      </c>
      <c r="K77" t="s">
        <v>39</v>
      </c>
      <c r="L77" t="s">
        <v>30</v>
      </c>
      <c r="M77" s="2">
        <v>9</v>
      </c>
      <c r="N77" t="s">
        <v>21</v>
      </c>
    </row>
    <row r="78" spans="1:14" x14ac:dyDescent="0.3">
      <c r="A78" t="s">
        <v>114</v>
      </c>
      <c r="B78" s="2">
        <v>52</v>
      </c>
      <c r="C78" t="s">
        <v>16</v>
      </c>
      <c r="D78" t="s">
        <v>61</v>
      </c>
      <c r="E78" t="s">
        <v>18</v>
      </c>
      <c r="F78" s="3">
        <v>45612</v>
      </c>
      <c r="G78" s="3">
        <v>45813</v>
      </c>
      <c r="H78" s="2">
        <v>20</v>
      </c>
      <c r="I78" s="1">
        <v>5659.2</v>
      </c>
      <c r="J78" s="1">
        <v>282.95999999999998</v>
      </c>
      <c r="K78" t="s">
        <v>35</v>
      </c>
      <c r="L78" t="s">
        <v>26</v>
      </c>
      <c r="M78" s="2">
        <v>1</v>
      </c>
      <c r="N78" t="s">
        <v>21</v>
      </c>
    </row>
    <row r="79" spans="1:14" x14ac:dyDescent="0.3">
      <c r="A79" t="s">
        <v>115</v>
      </c>
      <c r="B79" s="2">
        <v>63</v>
      </c>
      <c r="C79" t="s">
        <v>23</v>
      </c>
      <c r="D79" t="s">
        <v>17</v>
      </c>
      <c r="E79" t="s">
        <v>18</v>
      </c>
      <c r="F79" s="3">
        <v>45591</v>
      </c>
      <c r="G79" s="3">
        <v>45794</v>
      </c>
      <c r="H79" s="2">
        <v>24</v>
      </c>
      <c r="I79" s="1">
        <v>5646</v>
      </c>
      <c r="J79" s="1">
        <v>235.25</v>
      </c>
      <c r="K79" t="s">
        <v>39</v>
      </c>
      <c r="L79" t="s">
        <v>30</v>
      </c>
      <c r="M79" s="2">
        <v>5</v>
      </c>
      <c r="N79" t="s">
        <v>21</v>
      </c>
    </row>
    <row r="80" spans="1:14" x14ac:dyDescent="0.3">
      <c r="A80" t="s">
        <v>116</v>
      </c>
      <c r="B80" s="2">
        <v>26</v>
      </c>
      <c r="C80" t="s">
        <v>16</v>
      </c>
      <c r="D80" t="s">
        <v>28</v>
      </c>
      <c r="E80" t="s">
        <v>29</v>
      </c>
      <c r="F80" s="3">
        <v>45781</v>
      </c>
      <c r="G80" s="3">
        <v>45996</v>
      </c>
      <c r="H80" s="2">
        <v>21</v>
      </c>
      <c r="I80" s="1">
        <v>5630.31</v>
      </c>
      <c r="J80" s="1">
        <v>268.11</v>
      </c>
      <c r="K80" t="s">
        <v>39</v>
      </c>
      <c r="L80" t="s">
        <v>26</v>
      </c>
      <c r="M80" s="2">
        <v>10</v>
      </c>
      <c r="N80" t="s">
        <v>31</v>
      </c>
    </row>
    <row r="81" spans="1:14" x14ac:dyDescent="0.3">
      <c r="A81" t="s">
        <v>117</v>
      </c>
      <c r="B81" s="2">
        <v>19</v>
      </c>
      <c r="C81" t="s">
        <v>23</v>
      </c>
      <c r="D81" t="s">
        <v>61</v>
      </c>
      <c r="E81" t="s">
        <v>18</v>
      </c>
      <c r="F81" s="3">
        <v>45385</v>
      </c>
      <c r="G81" s="3">
        <v>45502</v>
      </c>
      <c r="H81" s="2">
        <v>22</v>
      </c>
      <c r="I81" s="1">
        <v>5589.54</v>
      </c>
      <c r="J81" s="1">
        <v>254.07</v>
      </c>
      <c r="K81" t="s">
        <v>25</v>
      </c>
      <c r="L81" t="s">
        <v>26</v>
      </c>
      <c r="M81" s="2">
        <v>9</v>
      </c>
      <c r="N81" t="s">
        <v>21</v>
      </c>
    </row>
    <row r="82" spans="1:14" x14ac:dyDescent="0.3">
      <c r="A82" t="s">
        <v>118</v>
      </c>
      <c r="B82" s="2">
        <v>36</v>
      </c>
      <c r="C82" t="s">
        <v>16</v>
      </c>
      <c r="D82" t="s">
        <v>50</v>
      </c>
      <c r="E82" t="s">
        <v>29</v>
      </c>
      <c r="F82" s="3">
        <v>45758</v>
      </c>
      <c r="G82" s="3">
        <v>45843</v>
      </c>
      <c r="H82" s="2">
        <v>20</v>
      </c>
      <c r="I82" s="1">
        <v>5575.2</v>
      </c>
      <c r="J82" s="1">
        <v>278.76</v>
      </c>
      <c r="K82" t="s">
        <v>25</v>
      </c>
      <c r="L82" t="s">
        <v>30</v>
      </c>
      <c r="M82" s="2">
        <v>2</v>
      </c>
      <c r="N82" t="s">
        <v>21</v>
      </c>
    </row>
    <row r="83" spans="1:14" x14ac:dyDescent="0.3">
      <c r="A83" t="s">
        <v>119</v>
      </c>
      <c r="B83" s="2">
        <v>46</v>
      </c>
      <c r="C83" t="s">
        <v>16</v>
      </c>
      <c r="D83" t="s">
        <v>44</v>
      </c>
      <c r="E83" t="s">
        <v>18</v>
      </c>
      <c r="F83" s="3">
        <v>45909</v>
      </c>
      <c r="G83" s="3">
        <v>46009</v>
      </c>
      <c r="H83" s="2">
        <v>25</v>
      </c>
      <c r="I83" s="1">
        <v>5574.5</v>
      </c>
      <c r="J83" s="1">
        <v>222.98</v>
      </c>
      <c r="K83" t="s">
        <v>25</v>
      </c>
      <c r="L83" t="s">
        <v>30</v>
      </c>
      <c r="M83" s="2">
        <v>9</v>
      </c>
      <c r="N83" t="s">
        <v>21</v>
      </c>
    </row>
    <row r="84" spans="1:14" x14ac:dyDescent="0.3">
      <c r="A84" t="s">
        <v>120</v>
      </c>
      <c r="B84" s="2">
        <v>21</v>
      </c>
      <c r="C84" t="s">
        <v>23</v>
      </c>
      <c r="D84" t="s">
        <v>44</v>
      </c>
      <c r="E84" t="s">
        <v>34</v>
      </c>
      <c r="F84" s="3">
        <v>45607</v>
      </c>
      <c r="G84" s="3">
        <v>45704</v>
      </c>
      <c r="H84" s="2">
        <v>24</v>
      </c>
      <c r="I84" s="1">
        <v>5559.12</v>
      </c>
      <c r="J84" s="1">
        <v>231.63</v>
      </c>
      <c r="K84" t="s">
        <v>25</v>
      </c>
      <c r="L84" t="s">
        <v>26</v>
      </c>
      <c r="M84" s="2">
        <v>3</v>
      </c>
      <c r="N84" t="s">
        <v>31</v>
      </c>
    </row>
    <row r="85" spans="1:14" x14ac:dyDescent="0.3">
      <c r="A85" t="s">
        <v>121</v>
      </c>
      <c r="B85" s="2">
        <v>29</v>
      </c>
      <c r="C85" t="s">
        <v>16</v>
      </c>
      <c r="D85" t="s">
        <v>17</v>
      </c>
      <c r="E85" t="s">
        <v>29</v>
      </c>
      <c r="F85" s="3">
        <v>45489</v>
      </c>
      <c r="G85" s="3">
        <v>45751</v>
      </c>
      <c r="H85" s="2">
        <v>21</v>
      </c>
      <c r="I85" s="1">
        <v>5555.34</v>
      </c>
      <c r="J85" s="1">
        <v>264.54000000000002</v>
      </c>
      <c r="K85" t="s">
        <v>45</v>
      </c>
      <c r="L85" t="s">
        <v>26</v>
      </c>
      <c r="M85" s="2">
        <v>3</v>
      </c>
      <c r="N85" t="s">
        <v>21</v>
      </c>
    </row>
    <row r="86" spans="1:14" x14ac:dyDescent="0.3">
      <c r="A86" t="s">
        <v>122</v>
      </c>
      <c r="B86" s="2">
        <v>21</v>
      </c>
      <c r="C86" t="s">
        <v>16</v>
      </c>
      <c r="D86" t="s">
        <v>24</v>
      </c>
      <c r="E86" t="s">
        <v>38</v>
      </c>
      <c r="F86" s="3">
        <v>45781</v>
      </c>
      <c r="G86" s="3">
        <v>45922</v>
      </c>
      <c r="H86" s="2">
        <v>21</v>
      </c>
      <c r="I86" s="1">
        <v>5523</v>
      </c>
      <c r="J86" s="1">
        <v>263</v>
      </c>
      <c r="K86" t="s">
        <v>35</v>
      </c>
      <c r="L86" t="s">
        <v>30</v>
      </c>
      <c r="M86" s="2">
        <v>4</v>
      </c>
      <c r="N86" t="s">
        <v>21</v>
      </c>
    </row>
    <row r="87" spans="1:14" x14ac:dyDescent="0.3">
      <c r="A87" t="s">
        <v>123</v>
      </c>
      <c r="B87" s="2">
        <v>52</v>
      </c>
      <c r="C87" t="s">
        <v>16</v>
      </c>
      <c r="D87" t="s">
        <v>42</v>
      </c>
      <c r="E87" t="s">
        <v>38</v>
      </c>
      <c r="F87" s="3">
        <v>45441</v>
      </c>
      <c r="G87" s="3">
        <v>45472</v>
      </c>
      <c r="H87" s="2">
        <v>23</v>
      </c>
      <c r="I87" s="1">
        <v>5511.26</v>
      </c>
      <c r="J87" s="1">
        <v>239.62</v>
      </c>
      <c r="K87" t="s">
        <v>39</v>
      </c>
      <c r="L87" t="s">
        <v>20</v>
      </c>
      <c r="M87" s="2">
        <v>9</v>
      </c>
      <c r="N87" t="s">
        <v>21</v>
      </c>
    </row>
    <row r="88" spans="1:14" x14ac:dyDescent="0.3">
      <c r="A88" t="s">
        <v>124</v>
      </c>
      <c r="B88" s="2">
        <v>59</v>
      </c>
      <c r="C88" t="s">
        <v>23</v>
      </c>
      <c r="D88" t="s">
        <v>50</v>
      </c>
      <c r="E88" t="s">
        <v>18</v>
      </c>
      <c r="F88" s="3">
        <v>45514</v>
      </c>
      <c r="G88" s="3">
        <v>45744</v>
      </c>
      <c r="H88" s="2">
        <v>23</v>
      </c>
      <c r="I88" s="1">
        <v>5510.8</v>
      </c>
      <c r="J88" s="1">
        <v>239.6</v>
      </c>
      <c r="K88" t="s">
        <v>25</v>
      </c>
      <c r="L88" t="s">
        <v>20</v>
      </c>
      <c r="M88" s="2">
        <v>8</v>
      </c>
      <c r="N88" t="s">
        <v>31</v>
      </c>
    </row>
    <row r="89" spans="1:14" x14ac:dyDescent="0.3">
      <c r="A89" t="s">
        <v>125</v>
      </c>
      <c r="B89" s="2">
        <v>57</v>
      </c>
      <c r="C89" t="s">
        <v>23</v>
      </c>
      <c r="D89" t="s">
        <v>17</v>
      </c>
      <c r="E89" t="s">
        <v>18</v>
      </c>
      <c r="F89" s="3">
        <v>45585</v>
      </c>
      <c r="G89" s="3">
        <v>45624</v>
      </c>
      <c r="H89" s="2">
        <v>21</v>
      </c>
      <c r="I89" s="1">
        <v>5501.79</v>
      </c>
      <c r="J89" s="1">
        <v>261.99</v>
      </c>
      <c r="K89" t="s">
        <v>35</v>
      </c>
      <c r="L89" t="s">
        <v>20</v>
      </c>
      <c r="M89" s="2">
        <v>4</v>
      </c>
      <c r="N89" t="s">
        <v>21</v>
      </c>
    </row>
    <row r="90" spans="1:14" x14ac:dyDescent="0.3">
      <c r="A90" t="s">
        <v>126</v>
      </c>
      <c r="B90" s="2">
        <v>30</v>
      </c>
      <c r="C90" t="s">
        <v>16</v>
      </c>
      <c r="D90" t="s">
        <v>42</v>
      </c>
      <c r="E90" t="s">
        <v>29</v>
      </c>
      <c r="F90" s="3">
        <v>45506</v>
      </c>
      <c r="G90" s="3">
        <v>45556</v>
      </c>
      <c r="H90" s="2">
        <v>22</v>
      </c>
      <c r="I90" s="1">
        <v>5489.66</v>
      </c>
      <c r="J90" s="1">
        <v>249.53</v>
      </c>
      <c r="K90" t="s">
        <v>25</v>
      </c>
      <c r="L90" t="s">
        <v>20</v>
      </c>
      <c r="M90" s="2">
        <v>9</v>
      </c>
      <c r="N90" t="s">
        <v>21</v>
      </c>
    </row>
    <row r="91" spans="1:14" x14ac:dyDescent="0.3">
      <c r="A91" t="s">
        <v>127</v>
      </c>
      <c r="B91" s="2">
        <v>55</v>
      </c>
      <c r="C91" t="s">
        <v>23</v>
      </c>
      <c r="D91" t="s">
        <v>50</v>
      </c>
      <c r="E91" t="s">
        <v>38</v>
      </c>
      <c r="F91" s="3">
        <v>45612</v>
      </c>
      <c r="G91" s="3">
        <v>45873</v>
      </c>
      <c r="H91" s="2">
        <v>23</v>
      </c>
      <c r="I91" s="1">
        <v>5488.7199999999993</v>
      </c>
      <c r="J91" s="1">
        <v>238.64</v>
      </c>
      <c r="K91" t="s">
        <v>19</v>
      </c>
      <c r="L91" t="s">
        <v>30</v>
      </c>
      <c r="M91" s="2">
        <v>3</v>
      </c>
      <c r="N91" t="s">
        <v>21</v>
      </c>
    </row>
    <row r="92" spans="1:14" x14ac:dyDescent="0.3">
      <c r="A92" t="s">
        <v>128</v>
      </c>
      <c r="B92" s="2">
        <v>27</v>
      </c>
      <c r="C92" t="s">
        <v>16</v>
      </c>
      <c r="D92" t="s">
        <v>28</v>
      </c>
      <c r="E92" t="s">
        <v>34</v>
      </c>
      <c r="F92" s="3">
        <v>45309</v>
      </c>
      <c r="G92" s="3">
        <v>45410</v>
      </c>
      <c r="H92" s="2">
        <v>24</v>
      </c>
      <c r="I92" s="1">
        <v>5483.76</v>
      </c>
      <c r="J92" s="1">
        <v>228.49</v>
      </c>
      <c r="K92" t="s">
        <v>19</v>
      </c>
      <c r="L92" t="s">
        <v>30</v>
      </c>
      <c r="M92" s="2">
        <v>9</v>
      </c>
      <c r="N92" t="s">
        <v>21</v>
      </c>
    </row>
    <row r="93" spans="1:14" x14ac:dyDescent="0.3">
      <c r="A93" t="s">
        <v>129</v>
      </c>
      <c r="B93" s="2">
        <v>58</v>
      </c>
      <c r="C93" t="s">
        <v>16</v>
      </c>
      <c r="D93" t="s">
        <v>44</v>
      </c>
      <c r="E93" t="s">
        <v>38</v>
      </c>
      <c r="F93" s="3">
        <v>45385</v>
      </c>
      <c r="G93" s="3">
        <v>45419</v>
      </c>
      <c r="H93" s="2">
        <v>23</v>
      </c>
      <c r="I93" s="1">
        <v>5477.68</v>
      </c>
      <c r="J93" s="1">
        <v>238.16</v>
      </c>
      <c r="K93" t="s">
        <v>35</v>
      </c>
      <c r="L93" t="s">
        <v>30</v>
      </c>
      <c r="M93" s="2">
        <v>7</v>
      </c>
      <c r="N93" t="s">
        <v>21</v>
      </c>
    </row>
    <row r="94" spans="1:14" x14ac:dyDescent="0.3">
      <c r="A94" t="s">
        <v>130</v>
      </c>
      <c r="B94" s="2">
        <v>31</v>
      </c>
      <c r="C94" t="s">
        <v>23</v>
      </c>
      <c r="D94" t="s">
        <v>50</v>
      </c>
      <c r="E94" t="s">
        <v>18</v>
      </c>
      <c r="F94" s="3">
        <v>45468</v>
      </c>
      <c r="G94" s="3">
        <v>45547</v>
      </c>
      <c r="H94" s="2">
        <v>19</v>
      </c>
      <c r="I94" s="1">
        <v>5461.55</v>
      </c>
      <c r="J94" s="1">
        <v>287.45</v>
      </c>
      <c r="K94" t="s">
        <v>35</v>
      </c>
      <c r="L94" t="s">
        <v>26</v>
      </c>
      <c r="M94" s="2">
        <v>10</v>
      </c>
      <c r="N94" t="s">
        <v>21</v>
      </c>
    </row>
    <row r="95" spans="1:14" x14ac:dyDescent="0.3">
      <c r="A95" t="s">
        <v>131</v>
      </c>
      <c r="B95" s="2">
        <v>25</v>
      </c>
      <c r="C95" t="s">
        <v>23</v>
      </c>
      <c r="D95" t="s">
        <v>24</v>
      </c>
      <c r="E95" t="s">
        <v>29</v>
      </c>
      <c r="F95" s="3">
        <v>45551</v>
      </c>
      <c r="G95" s="3">
        <v>45712</v>
      </c>
      <c r="H95" s="2">
        <v>23</v>
      </c>
      <c r="I95" s="1">
        <v>5441.11</v>
      </c>
      <c r="J95" s="1">
        <v>236.57</v>
      </c>
      <c r="K95" t="s">
        <v>19</v>
      </c>
      <c r="L95" t="s">
        <v>30</v>
      </c>
      <c r="M95" s="2">
        <v>8</v>
      </c>
      <c r="N95" t="s">
        <v>21</v>
      </c>
    </row>
    <row r="96" spans="1:14" x14ac:dyDescent="0.3">
      <c r="A96" t="s">
        <v>132</v>
      </c>
      <c r="B96" s="2">
        <v>29</v>
      </c>
      <c r="C96" t="s">
        <v>16</v>
      </c>
      <c r="D96" t="s">
        <v>61</v>
      </c>
      <c r="E96" t="s">
        <v>34</v>
      </c>
      <c r="F96" s="3">
        <v>45508</v>
      </c>
      <c r="G96" s="3">
        <v>45719</v>
      </c>
      <c r="H96" s="2">
        <v>21</v>
      </c>
      <c r="I96" s="1">
        <v>5426.6100000000006</v>
      </c>
      <c r="J96" s="1">
        <v>258.41000000000003</v>
      </c>
      <c r="K96" t="s">
        <v>25</v>
      </c>
      <c r="L96" t="s">
        <v>30</v>
      </c>
      <c r="M96" s="2">
        <v>3</v>
      </c>
      <c r="N96" t="s">
        <v>31</v>
      </c>
    </row>
    <row r="97" spans="1:14" x14ac:dyDescent="0.3">
      <c r="A97" t="s">
        <v>133</v>
      </c>
      <c r="B97" s="2">
        <v>18</v>
      </c>
      <c r="C97" t="s">
        <v>23</v>
      </c>
      <c r="D97" t="s">
        <v>24</v>
      </c>
      <c r="E97" t="s">
        <v>18</v>
      </c>
      <c r="F97" s="3">
        <v>45885</v>
      </c>
      <c r="G97" s="3">
        <v>45998</v>
      </c>
      <c r="H97" s="2">
        <v>19</v>
      </c>
      <c r="I97" s="1">
        <v>5414.05</v>
      </c>
      <c r="J97" s="1">
        <v>284.95</v>
      </c>
      <c r="K97" t="s">
        <v>35</v>
      </c>
      <c r="L97" t="s">
        <v>20</v>
      </c>
      <c r="M97" s="2">
        <v>9</v>
      </c>
      <c r="N97" t="s">
        <v>21</v>
      </c>
    </row>
    <row r="98" spans="1:14" x14ac:dyDescent="0.3">
      <c r="A98" t="s">
        <v>134</v>
      </c>
      <c r="B98" s="2">
        <v>46</v>
      </c>
      <c r="C98" t="s">
        <v>23</v>
      </c>
      <c r="D98" t="s">
        <v>61</v>
      </c>
      <c r="E98" t="s">
        <v>18</v>
      </c>
      <c r="F98" s="3">
        <v>45924</v>
      </c>
      <c r="G98" s="3">
        <v>46217</v>
      </c>
      <c r="H98" s="2">
        <v>21</v>
      </c>
      <c r="I98" s="1">
        <v>5394.06</v>
      </c>
      <c r="J98" s="1">
        <v>256.86</v>
      </c>
      <c r="K98" t="s">
        <v>45</v>
      </c>
      <c r="L98" t="s">
        <v>26</v>
      </c>
      <c r="M98" s="2">
        <v>3</v>
      </c>
      <c r="N98" t="s">
        <v>21</v>
      </c>
    </row>
    <row r="99" spans="1:14" x14ac:dyDescent="0.3">
      <c r="A99" t="s">
        <v>135</v>
      </c>
      <c r="B99" s="2">
        <v>28</v>
      </c>
      <c r="C99" t="s">
        <v>16</v>
      </c>
      <c r="D99" t="s">
        <v>42</v>
      </c>
      <c r="E99" t="s">
        <v>29</v>
      </c>
      <c r="F99" s="3">
        <v>45827</v>
      </c>
      <c r="G99" s="3">
        <v>45992</v>
      </c>
      <c r="H99" s="2">
        <v>20</v>
      </c>
      <c r="I99" s="1">
        <v>5381.4</v>
      </c>
      <c r="J99" s="1">
        <v>269.07</v>
      </c>
      <c r="K99" t="s">
        <v>19</v>
      </c>
      <c r="L99" t="s">
        <v>20</v>
      </c>
      <c r="M99" s="2">
        <v>6</v>
      </c>
      <c r="N99" t="s">
        <v>21</v>
      </c>
    </row>
    <row r="100" spans="1:14" x14ac:dyDescent="0.3">
      <c r="A100" t="s">
        <v>136</v>
      </c>
      <c r="B100" s="2">
        <v>39</v>
      </c>
      <c r="C100" t="s">
        <v>16</v>
      </c>
      <c r="D100" t="s">
        <v>28</v>
      </c>
      <c r="E100" t="s">
        <v>38</v>
      </c>
      <c r="F100" s="3">
        <v>45846</v>
      </c>
      <c r="G100" s="3">
        <v>46023</v>
      </c>
      <c r="H100" s="2">
        <v>21</v>
      </c>
      <c r="I100" s="1">
        <v>5356.68</v>
      </c>
      <c r="J100" s="1">
        <v>255.08</v>
      </c>
      <c r="K100" t="s">
        <v>45</v>
      </c>
      <c r="L100" t="s">
        <v>30</v>
      </c>
      <c r="M100" s="2">
        <v>4</v>
      </c>
      <c r="N100" t="s">
        <v>21</v>
      </c>
    </row>
    <row r="101" spans="1:14" x14ac:dyDescent="0.3">
      <c r="A101" t="s">
        <v>137</v>
      </c>
      <c r="B101" s="2">
        <v>45</v>
      </c>
      <c r="C101" t="s">
        <v>23</v>
      </c>
      <c r="D101" t="s">
        <v>17</v>
      </c>
      <c r="E101" t="s">
        <v>29</v>
      </c>
      <c r="F101" s="3">
        <v>45480</v>
      </c>
      <c r="G101" s="3">
        <v>45522</v>
      </c>
      <c r="H101" s="2">
        <v>25</v>
      </c>
      <c r="I101" s="1">
        <v>5355.25</v>
      </c>
      <c r="J101" s="1">
        <v>214.21</v>
      </c>
      <c r="K101" t="s">
        <v>35</v>
      </c>
      <c r="L101" t="s">
        <v>20</v>
      </c>
      <c r="M101" s="2">
        <v>1</v>
      </c>
      <c r="N101" t="s">
        <v>31</v>
      </c>
    </row>
    <row r="102" spans="1:14" x14ac:dyDescent="0.3">
      <c r="A102" t="s">
        <v>138</v>
      </c>
      <c r="B102" s="2">
        <v>57</v>
      </c>
      <c r="C102" t="s">
        <v>16</v>
      </c>
      <c r="D102" t="s">
        <v>44</v>
      </c>
      <c r="E102" t="s">
        <v>18</v>
      </c>
      <c r="F102" s="3">
        <v>45774</v>
      </c>
      <c r="G102" s="3">
        <v>45786</v>
      </c>
      <c r="H102" s="2">
        <v>20</v>
      </c>
      <c r="I102" s="1">
        <v>5351.7999999999993</v>
      </c>
      <c r="J102" s="1">
        <v>267.58999999999997</v>
      </c>
      <c r="K102" t="s">
        <v>35</v>
      </c>
      <c r="L102" t="s">
        <v>20</v>
      </c>
      <c r="M102" s="2">
        <v>5</v>
      </c>
      <c r="N102" t="s">
        <v>21</v>
      </c>
    </row>
    <row r="103" spans="1:14" x14ac:dyDescent="0.3">
      <c r="A103" t="s">
        <v>139</v>
      </c>
      <c r="B103" s="2">
        <v>54</v>
      </c>
      <c r="C103" t="s">
        <v>16</v>
      </c>
      <c r="D103" t="s">
        <v>44</v>
      </c>
      <c r="E103" t="s">
        <v>29</v>
      </c>
      <c r="F103" s="3">
        <v>45449</v>
      </c>
      <c r="G103" s="3">
        <v>45626</v>
      </c>
      <c r="H103" s="2">
        <v>18</v>
      </c>
      <c r="I103" s="1">
        <v>5351.58</v>
      </c>
      <c r="J103" s="1">
        <v>297.31</v>
      </c>
      <c r="K103" t="s">
        <v>25</v>
      </c>
      <c r="L103" t="s">
        <v>20</v>
      </c>
      <c r="M103" s="2">
        <v>6</v>
      </c>
      <c r="N103" t="s">
        <v>21</v>
      </c>
    </row>
    <row r="104" spans="1:14" x14ac:dyDescent="0.3">
      <c r="A104" t="s">
        <v>140</v>
      </c>
      <c r="B104" s="2">
        <v>21</v>
      </c>
      <c r="C104" t="s">
        <v>23</v>
      </c>
      <c r="D104" t="s">
        <v>28</v>
      </c>
      <c r="E104" t="s">
        <v>18</v>
      </c>
      <c r="F104" s="3">
        <v>45487</v>
      </c>
      <c r="G104" s="3">
        <v>45675</v>
      </c>
      <c r="H104" s="2">
        <v>18</v>
      </c>
      <c r="I104" s="1">
        <v>5347.44</v>
      </c>
      <c r="J104" s="1">
        <v>297.08</v>
      </c>
      <c r="K104" t="s">
        <v>39</v>
      </c>
      <c r="L104" t="s">
        <v>30</v>
      </c>
      <c r="M104" s="2">
        <v>5</v>
      </c>
      <c r="N104" t="s">
        <v>21</v>
      </c>
    </row>
    <row r="105" spans="1:14" x14ac:dyDescent="0.3">
      <c r="A105" t="s">
        <v>141</v>
      </c>
      <c r="B105" s="2">
        <v>32</v>
      </c>
      <c r="C105" t="s">
        <v>16</v>
      </c>
      <c r="D105" t="s">
        <v>28</v>
      </c>
      <c r="E105" t="s">
        <v>38</v>
      </c>
      <c r="F105" s="3">
        <v>45458</v>
      </c>
      <c r="G105" s="3">
        <v>45661</v>
      </c>
      <c r="H105" s="2">
        <v>19</v>
      </c>
      <c r="I105" s="1">
        <v>5339</v>
      </c>
      <c r="J105" s="1">
        <v>281</v>
      </c>
      <c r="K105" t="s">
        <v>25</v>
      </c>
      <c r="L105" t="s">
        <v>20</v>
      </c>
      <c r="M105" s="2">
        <v>10</v>
      </c>
      <c r="N105" t="s">
        <v>21</v>
      </c>
    </row>
    <row r="106" spans="1:14" x14ac:dyDescent="0.3">
      <c r="A106" t="s">
        <v>142</v>
      </c>
      <c r="B106" s="2">
        <v>27</v>
      </c>
      <c r="C106" t="s">
        <v>16</v>
      </c>
      <c r="D106" t="s">
        <v>24</v>
      </c>
      <c r="E106" t="s">
        <v>38</v>
      </c>
      <c r="F106" s="3">
        <v>45968</v>
      </c>
      <c r="G106" s="3">
        <v>46193</v>
      </c>
      <c r="H106" s="2">
        <v>24</v>
      </c>
      <c r="I106" s="1">
        <v>5335.4400000000014</v>
      </c>
      <c r="J106" s="1">
        <v>222.31</v>
      </c>
      <c r="K106" t="s">
        <v>45</v>
      </c>
      <c r="L106" t="s">
        <v>26</v>
      </c>
      <c r="M106" s="2">
        <v>4</v>
      </c>
      <c r="N106" t="s">
        <v>21</v>
      </c>
    </row>
    <row r="107" spans="1:14" x14ac:dyDescent="0.3">
      <c r="A107" t="s">
        <v>143</v>
      </c>
      <c r="B107" s="2">
        <v>21</v>
      </c>
      <c r="C107" t="s">
        <v>23</v>
      </c>
      <c r="D107" t="s">
        <v>24</v>
      </c>
      <c r="E107" t="s">
        <v>18</v>
      </c>
      <c r="F107" s="3">
        <v>45504</v>
      </c>
      <c r="G107" s="3">
        <v>45545</v>
      </c>
      <c r="H107" s="2">
        <v>20</v>
      </c>
      <c r="I107" s="1">
        <v>5332.7999999999993</v>
      </c>
      <c r="J107" s="1">
        <v>266.64</v>
      </c>
      <c r="K107" t="s">
        <v>35</v>
      </c>
      <c r="L107" t="s">
        <v>26</v>
      </c>
      <c r="M107" s="2">
        <v>8</v>
      </c>
      <c r="N107" t="s">
        <v>21</v>
      </c>
    </row>
    <row r="108" spans="1:14" x14ac:dyDescent="0.3">
      <c r="A108" t="s">
        <v>144</v>
      </c>
      <c r="B108" s="2">
        <v>45</v>
      </c>
      <c r="C108" t="s">
        <v>23</v>
      </c>
      <c r="D108" t="s">
        <v>17</v>
      </c>
      <c r="E108" t="s">
        <v>34</v>
      </c>
      <c r="F108" s="3">
        <v>45511</v>
      </c>
      <c r="G108" s="3">
        <v>45596</v>
      </c>
      <c r="H108" s="2">
        <v>21</v>
      </c>
      <c r="I108" s="1">
        <v>5321.61</v>
      </c>
      <c r="J108" s="1">
        <v>253.41</v>
      </c>
      <c r="K108" t="s">
        <v>39</v>
      </c>
      <c r="L108" t="s">
        <v>20</v>
      </c>
      <c r="M108" s="2">
        <v>7</v>
      </c>
      <c r="N108" t="s">
        <v>21</v>
      </c>
    </row>
    <row r="109" spans="1:14" x14ac:dyDescent="0.3">
      <c r="A109" t="s">
        <v>145</v>
      </c>
      <c r="B109" s="2">
        <v>31</v>
      </c>
      <c r="C109" t="s">
        <v>23</v>
      </c>
      <c r="D109" t="s">
        <v>17</v>
      </c>
      <c r="E109" t="s">
        <v>18</v>
      </c>
      <c r="F109" s="3">
        <v>45805</v>
      </c>
      <c r="G109" s="3">
        <v>46002</v>
      </c>
      <c r="H109" s="2">
        <v>22</v>
      </c>
      <c r="I109" s="1">
        <v>5303.98</v>
      </c>
      <c r="J109" s="1">
        <v>241.09</v>
      </c>
      <c r="K109" t="s">
        <v>19</v>
      </c>
      <c r="L109" t="s">
        <v>26</v>
      </c>
      <c r="M109" s="2">
        <v>2</v>
      </c>
      <c r="N109" t="s">
        <v>21</v>
      </c>
    </row>
    <row r="110" spans="1:14" x14ac:dyDescent="0.3">
      <c r="A110" t="s">
        <v>146</v>
      </c>
      <c r="B110" s="2">
        <v>30</v>
      </c>
      <c r="C110" t="s">
        <v>23</v>
      </c>
      <c r="D110" t="s">
        <v>44</v>
      </c>
      <c r="E110" t="s">
        <v>29</v>
      </c>
      <c r="F110" s="3">
        <v>45457</v>
      </c>
      <c r="G110" s="3">
        <v>45572</v>
      </c>
      <c r="H110" s="2">
        <v>23</v>
      </c>
      <c r="I110" s="1">
        <v>5302.42</v>
      </c>
      <c r="J110" s="1">
        <v>230.54</v>
      </c>
      <c r="K110" t="s">
        <v>39</v>
      </c>
      <c r="L110" t="s">
        <v>20</v>
      </c>
      <c r="M110" s="2">
        <v>10</v>
      </c>
      <c r="N110" t="s">
        <v>31</v>
      </c>
    </row>
    <row r="111" spans="1:14" x14ac:dyDescent="0.3">
      <c r="A111" t="s">
        <v>147</v>
      </c>
      <c r="B111" s="2">
        <v>42</v>
      </c>
      <c r="C111" t="s">
        <v>16</v>
      </c>
      <c r="D111" t="s">
        <v>24</v>
      </c>
      <c r="E111" t="s">
        <v>29</v>
      </c>
      <c r="F111" s="3">
        <v>45508</v>
      </c>
      <c r="G111" s="3">
        <v>45519</v>
      </c>
      <c r="H111" s="2">
        <v>25</v>
      </c>
      <c r="I111" s="1">
        <v>5285.75</v>
      </c>
      <c r="J111" s="1">
        <v>211.43</v>
      </c>
      <c r="K111" t="s">
        <v>39</v>
      </c>
      <c r="L111" t="s">
        <v>26</v>
      </c>
      <c r="M111" s="2">
        <v>7</v>
      </c>
      <c r="N111" t="s">
        <v>21</v>
      </c>
    </row>
    <row r="112" spans="1:14" x14ac:dyDescent="0.3">
      <c r="A112" t="s">
        <v>148</v>
      </c>
      <c r="B112" s="2">
        <v>26</v>
      </c>
      <c r="C112" t="s">
        <v>16</v>
      </c>
      <c r="D112" t="s">
        <v>50</v>
      </c>
      <c r="E112" t="s">
        <v>29</v>
      </c>
      <c r="F112" s="3">
        <v>45504</v>
      </c>
      <c r="G112" s="3">
        <v>45648</v>
      </c>
      <c r="H112" s="2">
        <v>23</v>
      </c>
      <c r="I112" s="1">
        <v>5285.17</v>
      </c>
      <c r="J112" s="1">
        <v>229.79</v>
      </c>
      <c r="K112" t="s">
        <v>19</v>
      </c>
      <c r="L112" t="s">
        <v>26</v>
      </c>
      <c r="M112" s="2">
        <v>2</v>
      </c>
      <c r="N112" t="s">
        <v>21</v>
      </c>
    </row>
    <row r="113" spans="1:14" x14ac:dyDescent="0.3">
      <c r="A113" t="s">
        <v>149</v>
      </c>
      <c r="B113" s="2">
        <v>25</v>
      </c>
      <c r="C113" t="s">
        <v>16</v>
      </c>
      <c r="D113" t="s">
        <v>17</v>
      </c>
      <c r="E113" t="s">
        <v>38</v>
      </c>
      <c r="F113" s="3">
        <v>45673</v>
      </c>
      <c r="G113" s="3">
        <v>45902</v>
      </c>
      <c r="H113" s="2">
        <v>18</v>
      </c>
      <c r="I113" s="1">
        <v>5276.34</v>
      </c>
      <c r="J113" s="1">
        <v>293.13</v>
      </c>
      <c r="K113" t="s">
        <v>25</v>
      </c>
      <c r="L113" t="s">
        <v>26</v>
      </c>
      <c r="M113" s="2">
        <v>6</v>
      </c>
      <c r="N113" t="s">
        <v>21</v>
      </c>
    </row>
    <row r="114" spans="1:14" x14ac:dyDescent="0.3">
      <c r="A114" t="s">
        <v>150</v>
      </c>
      <c r="B114" s="2">
        <v>46</v>
      </c>
      <c r="C114" t="s">
        <v>23</v>
      </c>
      <c r="D114" t="s">
        <v>61</v>
      </c>
      <c r="E114" t="s">
        <v>18</v>
      </c>
      <c r="F114" s="3">
        <v>45723</v>
      </c>
      <c r="G114" s="3">
        <v>45924</v>
      </c>
      <c r="H114" s="2">
        <v>23</v>
      </c>
      <c r="I114" s="1">
        <v>5253.43</v>
      </c>
      <c r="J114" s="1">
        <v>228.41</v>
      </c>
      <c r="K114" t="s">
        <v>35</v>
      </c>
      <c r="L114" t="s">
        <v>20</v>
      </c>
      <c r="M114" s="2">
        <v>7</v>
      </c>
      <c r="N114" t="s">
        <v>21</v>
      </c>
    </row>
    <row r="115" spans="1:14" x14ac:dyDescent="0.3">
      <c r="A115" t="s">
        <v>151</v>
      </c>
      <c r="B115" s="2">
        <v>38</v>
      </c>
      <c r="C115" t="s">
        <v>16</v>
      </c>
      <c r="D115" t="s">
        <v>17</v>
      </c>
      <c r="E115" t="s">
        <v>18</v>
      </c>
      <c r="F115" s="3">
        <v>45756</v>
      </c>
      <c r="G115" s="3">
        <v>46018</v>
      </c>
      <c r="H115" s="2">
        <v>22</v>
      </c>
      <c r="I115" s="1">
        <v>5226.54</v>
      </c>
      <c r="J115" s="1">
        <v>237.57</v>
      </c>
      <c r="K115" t="s">
        <v>19</v>
      </c>
      <c r="L115" t="s">
        <v>26</v>
      </c>
      <c r="M115" s="2">
        <v>4</v>
      </c>
      <c r="N115" t="s">
        <v>21</v>
      </c>
    </row>
    <row r="116" spans="1:14" x14ac:dyDescent="0.3">
      <c r="A116" t="s">
        <v>152</v>
      </c>
      <c r="B116" s="2">
        <v>65</v>
      </c>
      <c r="C116" t="s">
        <v>16</v>
      </c>
      <c r="D116" t="s">
        <v>61</v>
      </c>
      <c r="E116" t="s">
        <v>38</v>
      </c>
      <c r="F116" s="3">
        <v>45492</v>
      </c>
      <c r="G116" s="3">
        <v>45765</v>
      </c>
      <c r="H116" s="2">
        <v>20</v>
      </c>
      <c r="I116" s="1">
        <v>5217.6000000000004</v>
      </c>
      <c r="J116" s="1">
        <v>260.88</v>
      </c>
      <c r="K116" t="s">
        <v>39</v>
      </c>
      <c r="L116" t="s">
        <v>26</v>
      </c>
      <c r="M116" s="2">
        <v>7</v>
      </c>
      <c r="N116" t="s">
        <v>21</v>
      </c>
    </row>
    <row r="117" spans="1:14" x14ac:dyDescent="0.3">
      <c r="A117" t="s">
        <v>153</v>
      </c>
      <c r="B117" s="2">
        <v>22</v>
      </c>
      <c r="C117" t="s">
        <v>16</v>
      </c>
      <c r="D117" t="s">
        <v>17</v>
      </c>
      <c r="E117" t="s">
        <v>38</v>
      </c>
      <c r="F117" s="3">
        <v>45827</v>
      </c>
      <c r="G117" s="3">
        <v>45878</v>
      </c>
      <c r="H117" s="2">
        <v>21</v>
      </c>
      <c r="I117" s="1">
        <v>5201.7</v>
      </c>
      <c r="J117" s="1">
        <v>247.7</v>
      </c>
      <c r="K117" t="s">
        <v>35</v>
      </c>
      <c r="L117" t="s">
        <v>30</v>
      </c>
      <c r="M117" s="2">
        <v>8</v>
      </c>
      <c r="N117" t="s">
        <v>21</v>
      </c>
    </row>
    <row r="118" spans="1:14" x14ac:dyDescent="0.3">
      <c r="A118" t="s">
        <v>154</v>
      </c>
      <c r="B118" s="2">
        <v>32</v>
      </c>
      <c r="C118" t="s">
        <v>23</v>
      </c>
      <c r="D118" t="s">
        <v>42</v>
      </c>
      <c r="E118" t="s">
        <v>29</v>
      </c>
      <c r="F118" s="3">
        <v>45825</v>
      </c>
      <c r="G118" s="3">
        <v>46037</v>
      </c>
      <c r="H118" s="2">
        <v>21</v>
      </c>
      <c r="I118" s="1">
        <v>5198.76</v>
      </c>
      <c r="J118" s="1">
        <v>247.56</v>
      </c>
      <c r="K118" t="s">
        <v>25</v>
      </c>
      <c r="L118" t="s">
        <v>20</v>
      </c>
      <c r="M118" s="2">
        <v>1</v>
      </c>
      <c r="N118" t="s">
        <v>21</v>
      </c>
    </row>
    <row r="119" spans="1:14" x14ac:dyDescent="0.3">
      <c r="A119" t="s">
        <v>155</v>
      </c>
      <c r="B119" s="2">
        <v>59</v>
      </c>
      <c r="C119" t="s">
        <v>23</v>
      </c>
      <c r="D119" t="s">
        <v>61</v>
      </c>
      <c r="E119" t="s">
        <v>38</v>
      </c>
      <c r="F119" s="3">
        <v>45851</v>
      </c>
      <c r="G119" s="3">
        <v>46032</v>
      </c>
      <c r="H119" s="2">
        <v>22</v>
      </c>
      <c r="I119" s="1">
        <v>5195.5200000000004</v>
      </c>
      <c r="J119" s="1">
        <v>236.16</v>
      </c>
      <c r="K119" t="s">
        <v>25</v>
      </c>
      <c r="L119" t="s">
        <v>30</v>
      </c>
      <c r="M119" s="2">
        <v>5</v>
      </c>
      <c r="N119" t="s">
        <v>21</v>
      </c>
    </row>
    <row r="120" spans="1:14" x14ac:dyDescent="0.3">
      <c r="A120" t="s">
        <v>156</v>
      </c>
      <c r="B120" s="2">
        <v>39</v>
      </c>
      <c r="C120" t="s">
        <v>16</v>
      </c>
      <c r="D120" t="s">
        <v>42</v>
      </c>
      <c r="E120" t="s">
        <v>34</v>
      </c>
      <c r="F120" s="3">
        <v>45663</v>
      </c>
      <c r="G120" s="3">
        <v>45824</v>
      </c>
      <c r="H120" s="2">
        <v>19</v>
      </c>
      <c r="I120" s="1">
        <v>5191.9399999999996</v>
      </c>
      <c r="J120" s="1">
        <v>273.26</v>
      </c>
      <c r="K120" t="s">
        <v>39</v>
      </c>
      <c r="L120" t="s">
        <v>20</v>
      </c>
      <c r="M120" s="2">
        <v>3</v>
      </c>
      <c r="N120" t="s">
        <v>21</v>
      </c>
    </row>
    <row r="121" spans="1:14" x14ac:dyDescent="0.3">
      <c r="A121" t="s">
        <v>157</v>
      </c>
      <c r="B121" s="2">
        <v>28</v>
      </c>
      <c r="C121" t="s">
        <v>23</v>
      </c>
      <c r="D121" t="s">
        <v>24</v>
      </c>
      <c r="E121" t="s">
        <v>18</v>
      </c>
      <c r="F121" s="3">
        <v>45532</v>
      </c>
      <c r="G121" s="3">
        <v>45660</v>
      </c>
      <c r="H121" s="2">
        <v>24</v>
      </c>
      <c r="I121" s="1">
        <v>5188.7999999999993</v>
      </c>
      <c r="J121" s="1">
        <v>216.2</v>
      </c>
      <c r="K121" t="s">
        <v>39</v>
      </c>
      <c r="L121" t="s">
        <v>26</v>
      </c>
      <c r="M121" s="2">
        <v>9</v>
      </c>
      <c r="N121" t="s">
        <v>31</v>
      </c>
    </row>
    <row r="122" spans="1:14" x14ac:dyDescent="0.3">
      <c r="A122" t="s">
        <v>158</v>
      </c>
      <c r="B122" s="2">
        <v>47</v>
      </c>
      <c r="C122" t="s">
        <v>16</v>
      </c>
      <c r="D122" t="s">
        <v>42</v>
      </c>
      <c r="E122" t="s">
        <v>34</v>
      </c>
      <c r="F122" s="3">
        <v>45475</v>
      </c>
      <c r="G122" s="3">
        <v>45707</v>
      </c>
      <c r="H122" s="2">
        <v>19</v>
      </c>
      <c r="I122" s="1">
        <v>5149.95</v>
      </c>
      <c r="J122" s="1">
        <v>271.05</v>
      </c>
      <c r="K122" t="s">
        <v>25</v>
      </c>
      <c r="L122" t="s">
        <v>20</v>
      </c>
      <c r="M122" s="2">
        <v>2</v>
      </c>
      <c r="N122" t="s">
        <v>21</v>
      </c>
    </row>
    <row r="123" spans="1:14" x14ac:dyDescent="0.3">
      <c r="A123" t="s">
        <v>159</v>
      </c>
      <c r="B123" s="2">
        <v>54</v>
      </c>
      <c r="C123" t="s">
        <v>23</v>
      </c>
      <c r="D123" t="s">
        <v>50</v>
      </c>
      <c r="E123" t="s">
        <v>38</v>
      </c>
      <c r="F123" s="3">
        <v>45586</v>
      </c>
      <c r="G123" s="3">
        <v>45804</v>
      </c>
      <c r="H123" s="2">
        <v>20</v>
      </c>
      <c r="I123" s="1">
        <v>5147.6000000000004</v>
      </c>
      <c r="J123" s="1">
        <v>257.38</v>
      </c>
      <c r="K123" t="s">
        <v>19</v>
      </c>
      <c r="L123" t="s">
        <v>20</v>
      </c>
      <c r="M123" s="2">
        <v>8</v>
      </c>
      <c r="N123" t="s">
        <v>21</v>
      </c>
    </row>
    <row r="124" spans="1:14" x14ac:dyDescent="0.3">
      <c r="A124" t="s">
        <v>160</v>
      </c>
      <c r="B124" s="2">
        <v>20</v>
      </c>
      <c r="C124" t="s">
        <v>16</v>
      </c>
      <c r="D124" t="s">
        <v>17</v>
      </c>
      <c r="E124" t="s">
        <v>38</v>
      </c>
      <c r="F124" s="3">
        <v>45370</v>
      </c>
      <c r="G124" s="3">
        <v>45422</v>
      </c>
      <c r="H124" s="2">
        <v>19</v>
      </c>
      <c r="I124" s="1">
        <v>5146.34</v>
      </c>
      <c r="J124" s="1">
        <v>270.86</v>
      </c>
      <c r="K124" t="s">
        <v>19</v>
      </c>
      <c r="L124" t="s">
        <v>20</v>
      </c>
      <c r="M124" s="2">
        <v>2</v>
      </c>
      <c r="N124" t="s">
        <v>21</v>
      </c>
    </row>
    <row r="125" spans="1:14" x14ac:dyDescent="0.3">
      <c r="A125" t="s">
        <v>161</v>
      </c>
      <c r="B125" s="2">
        <v>26</v>
      </c>
      <c r="C125" t="s">
        <v>16</v>
      </c>
      <c r="D125" t="s">
        <v>24</v>
      </c>
      <c r="E125" t="s">
        <v>18</v>
      </c>
      <c r="F125" s="3">
        <v>45433</v>
      </c>
      <c r="G125" s="3">
        <v>45729</v>
      </c>
      <c r="H125" s="2">
        <v>18</v>
      </c>
      <c r="I125" s="1">
        <v>5126.9399999999996</v>
      </c>
      <c r="J125" s="1">
        <v>284.83</v>
      </c>
      <c r="K125" t="s">
        <v>25</v>
      </c>
      <c r="L125" t="s">
        <v>26</v>
      </c>
      <c r="M125" s="2">
        <v>7</v>
      </c>
      <c r="N125" t="s">
        <v>21</v>
      </c>
    </row>
    <row r="126" spans="1:14" x14ac:dyDescent="0.3">
      <c r="A126" t="s">
        <v>162</v>
      </c>
      <c r="B126" s="2">
        <v>32</v>
      </c>
      <c r="C126" t="s">
        <v>23</v>
      </c>
      <c r="D126" t="s">
        <v>44</v>
      </c>
      <c r="E126" t="s">
        <v>38</v>
      </c>
      <c r="F126" s="3">
        <v>45638</v>
      </c>
      <c r="G126" s="3">
        <v>45740</v>
      </c>
      <c r="H126" s="2">
        <v>20</v>
      </c>
      <c r="I126" s="1">
        <v>5126.5999999999995</v>
      </c>
      <c r="J126" s="1">
        <v>256.33</v>
      </c>
      <c r="K126" t="s">
        <v>45</v>
      </c>
      <c r="L126" t="s">
        <v>20</v>
      </c>
      <c r="M126" s="2">
        <v>10</v>
      </c>
      <c r="N126" t="s">
        <v>21</v>
      </c>
    </row>
    <row r="127" spans="1:14" x14ac:dyDescent="0.3">
      <c r="A127" t="s">
        <v>163</v>
      </c>
      <c r="B127" s="2">
        <v>58</v>
      </c>
      <c r="C127" t="s">
        <v>23</v>
      </c>
      <c r="D127" t="s">
        <v>28</v>
      </c>
      <c r="E127" t="s">
        <v>38</v>
      </c>
      <c r="F127" s="3">
        <v>45594</v>
      </c>
      <c r="G127" s="3">
        <v>45884</v>
      </c>
      <c r="H127" s="2">
        <v>22</v>
      </c>
      <c r="I127" s="1">
        <v>5104.88</v>
      </c>
      <c r="J127" s="1">
        <v>232.04</v>
      </c>
      <c r="K127" t="s">
        <v>19</v>
      </c>
      <c r="L127" t="s">
        <v>26</v>
      </c>
      <c r="M127" s="2">
        <v>2</v>
      </c>
      <c r="N127" t="s">
        <v>31</v>
      </c>
    </row>
    <row r="128" spans="1:14" x14ac:dyDescent="0.3">
      <c r="A128" t="s">
        <v>164</v>
      </c>
      <c r="B128" s="2">
        <v>45</v>
      </c>
      <c r="C128" t="s">
        <v>16</v>
      </c>
      <c r="D128" t="s">
        <v>28</v>
      </c>
      <c r="E128" t="s">
        <v>34</v>
      </c>
      <c r="F128" s="3">
        <v>45512</v>
      </c>
      <c r="G128" s="3">
        <v>45588</v>
      </c>
      <c r="H128" s="2">
        <v>18</v>
      </c>
      <c r="I128" s="1">
        <v>5098.68</v>
      </c>
      <c r="J128" s="1">
        <v>283.26</v>
      </c>
      <c r="K128" t="s">
        <v>25</v>
      </c>
      <c r="L128" t="s">
        <v>26</v>
      </c>
      <c r="M128" s="2">
        <v>2</v>
      </c>
      <c r="N128" t="s">
        <v>21</v>
      </c>
    </row>
    <row r="129" spans="1:14" x14ac:dyDescent="0.3">
      <c r="A129" t="s">
        <v>165</v>
      </c>
      <c r="B129" s="2">
        <v>64</v>
      </c>
      <c r="C129" t="s">
        <v>23</v>
      </c>
      <c r="D129" t="s">
        <v>28</v>
      </c>
      <c r="E129" t="s">
        <v>18</v>
      </c>
      <c r="F129" s="3">
        <v>45572</v>
      </c>
      <c r="G129" s="3">
        <v>45846</v>
      </c>
      <c r="H129" s="2">
        <v>18</v>
      </c>
      <c r="I129" s="1">
        <v>5097.24</v>
      </c>
      <c r="J129" s="1">
        <v>283.18</v>
      </c>
      <c r="K129" t="s">
        <v>35</v>
      </c>
      <c r="L129" t="s">
        <v>20</v>
      </c>
      <c r="M129" s="2">
        <v>4</v>
      </c>
      <c r="N129" t="s">
        <v>31</v>
      </c>
    </row>
    <row r="130" spans="1:14" x14ac:dyDescent="0.3">
      <c r="A130" t="s">
        <v>166</v>
      </c>
      <c r="B130" s="2">
        <v>25</v>
      </c>
      <c r="C130" t="s">
        <v>23</v>
      </c>
      <c r="D130" t="s">
        <v>44</v>
      </c>
      <c r="E130" t="s">
        <v>38</v>
      </c>
      <c r="F130" s="3">
        <v>45500</v>
      </c>
      <c r="G130" s="3">
        <v>45663</v>
      </c>
      <c r="H130" s="2">
        <v>18</v>
      </c>
      <c r="I130" s="1">
        <v>5096.16</v>
      </c>
      <c r="J130" s="1">
        <v>283.12</v>
      </c>
      <c r="K130" t="s">
        <v>35</v>
      </c>
      <c r="L130" t="s">
        <v>30</v>
      </c>
      <c r="M130" s="2">
        <v>3</v>
      </c>
      <c r="N130" t="s">
        <v>21</v>
      </c>
    </row>
    <row r="131" spans="1:14" x14ac:dyDescent="0.3">
      <c r="A131" t="s">
        <v>167</v>
      </c>
      <c r="B131" s="2">
        <v>28</v>
      </c>
      <c r="C131" t="s">
        <v>16</v>
      </c>
      <c r="D131" t="s">
        <v>44</v>
      </c>
      <c r="E131" t="s">
        <v>38</v>
      </c>
      <c r="F131" s="3">
        <v>45546</v>
      </c>
      <c r="G131" s="3">
        <v>45729</v>
      </c>
      <c r="H131" s="2">
        <v>22</v>
      </c>
      <c r="I131" s="1">
        <v>5093.88</v>
      </c>
      <c r="J131" s="1">
        <v>231.54</v>
      </c>
      <c r="K131" t="s">
        <v>39</v>
      </c>
      <c r="L131" t="s">
        <v>30</v>
      </c>
      <c r="M131" s="2">
        <v>4</v>
      </c>
      <c r="N131" t="s">
        <v>21</v>
      </c>
    </row>
    <row r="132" spans="1:14" x14ac:dyDescent="0.3">
      <c r="A132" t="s">
        <v>168</v>
      </c>
      <c r="B132" s="2">
        <v>54</v>
      </c>
      <c r="C132" t="s">
        <v>16</v>
      </c>
      <c r="D132" t="s">
        <v>24</v>
      </c>
      <c r="E132" t="s">
        <v>38</v>
      </c>
      <c r="F132" s="3">
        <v>45436</v>
      </c>
      <c r="G132" s="3">
        <v>45642</v>
      </c>
      <c r="H132" s="2">
        <v>20</v>
      </c>
      <c r="I132" s="1">
        <v>5093.2</v>
      </c>
      <c r="J132" s="1">
        <v>254.66</v>
      </c>
      <c r="K132" t="s">
        <v>45</v>
      </c>
      <c r="L132" t="s">
        <v>26</v>
      </c>
      <c r="M132" s="2">
        <v>5</v>
      </c>
      <c r="N132" t="s">
        <v>21</v>
      </c>
    </row>
    <row r="133" spans="1:14" x14ac:dyDescent="0.3">
      <c r="A133" t="s">
        <v>169</v>
      </c>
      <c r="B133" s="2">
        <v>44</v>
      </c>
      <c r="C133" t="s">
        <v>16</v>
      </c>
      <c r="D133" t="s">
        <v>50</v>
      </c>
      <c r="E133" t="s">
        <v>34</v>
      </c>
      <c r="F133" s="3">
        <v>45608</v>
      </c>
      <c r="G133" s="3">
        <v>45811</v>
      </c>
      <c r="H133" s="2">
        <v>23</v>
      </c>
      <c r="I133" s="1">
        <v>5089.4399999999996</v>
      </c>
      <c r="J133" s="1">
        <v>221.28</v>
      </c>
      <c r="K133" t="s">
        <v>39</v>
      </c>
      <c r="L133" t="s">
        <v>26</v>
      </c>
      <c r="M133" s="2">
        <v>8</v>
      </c>
      <c r="N133" t="s">
        <v>21</v>
      </c>
    </row>
    <row r="134" spans="1:14" x14ac:dyDescent="0.3">
      <c r="A134" t="s">
        <v>170</v>
      </c>
      <c r="B134" s="2">
        <v>28</v>
      </c>
      <c r="C134" t="s">
        <v>23</v>
      </c>
      <c r="D134" t="s">
        <v>50</v>
      </c>
      <c r="E134" t="s">
        <v>29</v>
      </c>
      <c r="F134" s="3">
        <v>45439</v>
      </c>
      <c r="G134" s="3">
        <v>45478</v>
      </c>
      <c r="H134" s="2">
        <v>20</v>
      </c>
      <c r="I134" s="1">
        <v>5086.8</v>
      </c>
      <c r="J134" s="1">
        <v>254.34</v>
      </c>
      <c r="K134" t="s">
        <v>45</v>
      </c>
      <c r="L134" t="s">
        <v>26</v>
      </c>
      <c r="M134" s="2">
        <v>7</v>
      </c>
      <c r="N134" t="s">
        <v>21</v>
      </c>
    </row>
    <row r="135" spans="1:14" x14ac:dyDescent="0.3">
      <c r="A135" t="s">
        <v>171</v>
      </c>
      <c r="B135" s="2">
        <v>51</v>
      </c>
      <c r="C135" t="s">
        <v>23</v>
      </c>
      <c r="D135" t="s">
        <v>17</v>
      </c>
      <c r="E135" t="s">
        <v>29</v>
      </c>
      <c r="F135" s="3">
        <v>45456</v>
      </c>
      <c r="G135" s="3">
        <v>45712</v>
      </c>
      <c r="H135" s="2">
        <v>17</v>
      </c>
      <c r="I135" s="1">
        <v>5063.28</v>
      </c>
      <c r="J135" s="1">
        <v>297.83999999999997</v>
      </c>
      <c r="K135" t="s">
        <v>45</v>
      </c>
      <c r="L135" t="s">
        <v>26</v>
      </c>
      <c r="M135" s="2">
        <v>6</v>
      </c>
      <c r="N135" t="s">
        <v>21</v>
      </c>
    </row>
    <row r="136" spans="1:14" x14ac:dyDescent="0.3">
      <c r="A136" t="s">
        <v>172</v>
      </c>
      <c r="B136" s="2">
        <v>62</v>
      </c>
      <c r="C136" t="s">
        <v>16</v>
      </c>
      <c r="D136" t="s">
        <v>28</v>
      </c>
      <c r="E136" t="s">
        <v>34</v>
      </c>
      <c r="F136" s="3">
        <v>45361</v>
      </c>
      <c r="G136" s="3">
        <v>45556</v>
      </c>
      <c r="H136" s="2">
        <v>21</v>
      </c>
      <c r="I136" s="1">
        <v>5057.22</v>
      </c>
      <c r="J136" s="1">
        <v>240.82</v>
      </c>
      <c r="K136" t="s">
        <v>35</v>
      </c>
      <c r="L136" t="s">
        <v>26</v>
      </c>
      <c r="M136" s="2">
        <v>9</v>
      </c>
      <c r="N136" t="s">
        <v>21</v>
      </c>
    </row>
    <row r="137" spans="1:14" x14ac:dyDescent="0.3">
      <c r="A137" t="s">
        <v>173</v>
      </c>
      <c r="B137" s="2">
        <v>48</v>
      </c>
      <c r="C137" t="s">
        <v>23</v>
      </c>
      <c r="D137" t="s">
        <v>61</v>
      </c>
      <c r="E137" t="s">
        <v>18</v>
      </c>
      <c r="F137" s="3">
        <v>45292</v>
      </c>
      <c r="G137" s="3">
        <v>45318</v>
      </c>
      <c r="H137" s="2">
        <v>22</v>
      </c>
      <c r="I137" s="1">
        <v>5027.66</v>
      </c>
      <c r="J137" s="1">
        <v>228.53</v>
      </c>
      <c r="K137" t="s">
        <v>35</v>
      </c>
      <c r="L137" t="s">
        <v>30</v>
      </c>
      <c r="M137" s="2">
        <v>5</v>
      </c>
      <c r="N137" t="s">
        <v>21</v>
      </c>
    </row>
    <row r="138" spans="1:14" x14ac:dyDescent="0.3">
      <c r="A138" t="s">
        <v>174</v>
      </c>
      <c r="B138" s="2">
        <v>61</v>
      </c>
      <c r="C138" t="s">
        <v>16</v>
      </c>
      <c r="D138" t="s">
        <v>42</v>
      </c>
      <c r="E138" t="s">
        <v>29</v>
      </c>
      <c r="F138" s="3">
        <v>45704</v>
      </c>
      <c r="G138" s="3">
        <v>45821</v>
      </c>
      <c r="H138" s="2">
        <v>24</v>
      </c>
      <c r="I138" s="1">
        <v>5021.04</v>
      </c>
      <c r="J138" s="1">
        <v>209.21</v>
      </c>
      <c r="K138" t="s">
        <v>39</v>
      </c>
      <c r="L138" t="s">
        <v>20</v>
      </c>
      <c r="M138" s="2">
        <v>2</v>
      </c>
      <c r="N138" t="s">
        <v>21</v>
      </c>
    </row>
    <row r="139" spans="1:14" x14ac:dyDescent="0.3">
      <c r="A139" t="s">
        <v>175</v>
      </c>
      <c r="B139" s="2">
        <v>46</v>
      </c>
      <c r="C139" t="s">
        <v>16</v>
      </c>
      <c r="D139" t="s">
        <v>50</v>
      </c>
      <c r="E139" t="s">
        <v>29</v>
      </c>
      <c r="F139" s="3">
        <v>45476</v>
      </c>
      <c r="G139" s="3">
        <v>45704</v>
      </c>
      <c r="H139" s="2">
        <v>20</v>
      </c>
      <c r="I139" s="1">
        <v>5019.2</v>
      </c>
      <c r="J139" s="1">
        <v>250.96</v>
      </c>
      <c r="K139" t="s">
        <v>35</v>
      </c>
      <c r="L139" t="s">
        <v>30</v>
      </c>
      <c r="M139" s="2">
        <v>3</v>
      </c>
      <c r="N139" t="s">
        <v>21</v>
      </c>
    </row>
    <row r="140" spans="1:14" x14ac:dyDescent="0.3">
      <c r="A140" t="s">
        <v>176</v>
      </c>
      <c r="B140" s="2">
        <v>35</v>
      </c>
      <c r="C140" t="s">
        <v>16</v>
      </c>
      <c r="D140" t="s">
        <v>28</v>
      </c>
      <c r="E140" t="s">
        <v>38</v>
      </c>
      <c r="F140" s="3">
        <v>45741</v>
      </c>
      <c r="G140" s="3">
        <v>45903</v>
      </c>
      <c r="H140" s="2">
        <v>25</v>
      </c>
      <c r="I140" s="1">
        <v>5011</v>
      </c>
      <c r="J140" s="1">
        <v>200.44</v>
      </c>
      <c r="K140" t="s">
        <v>35</v>
      </c>
      <c r="L140" t="s">
        <v>20</v>
      </c>
      <c r="M140" s="2">
        <v>7</v>
      </c>
      <c r="N140" t="s">
        <v>21</v>
      </c>
    </row>
    <row r="141" spans="1:14" x14ac:dyDescent="0.3">
      <c r="A141" t="s">
        <v>177</v>
      </c>
      <c r="B141" s="2">
        <v>25</v>
      </c>
      <c r="C141" t="s">
        <v>16</v>
      </c>
      <c r="D141" t="s">
        <v>44</v>
      </c>
      <c r="E141" t="s">
        <v>29</v>
      </c>
      <c r="F141" s="3">
        <v>45348</v>
      </c>
      <c r="G141" s="3">
        <v>45506</v>
      </c>
      <c r="H141" s="2">
        <v>22</v>
      </c>
      <c r="I141" s="1">
        <v>5008.74</v>
      </c>
      <c r="J141" s="1">
        <v>227.67</v>
      </c>
      <c r="K141" t="s">
        <v>39</v>
      </c>
      <c r="L141" t="s">
        <v>30</v>
      </c>
      <c r="M141" s="2">
        <v>8</v>
      </c>
      <c r="N141" t="s">
        <v>21</v>
      </c>
    </row>
    <row r="142" spans="1:14" x14ac:dyDescent="0.3">
      <c r="A142" t="s">
        <v>178</v>
      </c>
      <c r="B142" s="2">
        <v>46</v>
      </c>
      <c r="C142" t="s">
        <v>23</v>
      </c>
      <c r="D142" t="s">
        <v>17</v>
      </c>
      <c r="E142" t="s">
        <v>34</v>
      </c>
      <c r="F142" s="3">
        <v>45594</v>
      </c>
      <c r="G142" s="3">
        <v>45650</v>
      </c>
      <c r="H142" s="2">
        <v>23</v>
      </c>
      <c r="I142" s="1">
        <v>5008.71</v>
      </c>
      <c r="J142" s="1">
        <v>217.77</v>
      </c>
      <c r="K142" t="s">
        <v>39</v>
      </c>
      <c r="L142" t="s">
        <v>30</v>
      </c>
      <c r="M142" s="2">
        <v>5</v>
      </c>
      <c r="N142" t="s">
        <v>21</v>
      </c>
    </row>
    <row r="143" spans="1:14" x14ac:dyDescent="0.3">
      <c r="A143" t="s">
        <v>179</v>
      </c>
      <c r="B143" s="2">
        <v>33</v>
      </c>
      <c r="C143" t="s">
        <v>16</v>
      </c>
      <c r="D143" t="s">
        <v>42</v>
      </c>
      <c r="E143" t="s">
        <v>38</v>
      </c>
      <c r="F143" s="3">
        <v>45709</v>
      </c>
      <c r="G143" s="3">
        <v>45789</v>
      </c>
      <c r="H143" s="2">
        <v>22</v>
      </c>
      <c r="I143" s="1">
        <v>5003.68</v>
      </c>
      <c r="J143" s="1">
        <v>227.44</v>
      </c>
      <c r="K143" t="s">
        <v>45</v>
      </c>
      <c r="L143" t="s">
        <v>30</v>
      </c>
      <c r="M143" s="2">
        <v>5</v>
      </c>
      <c r="N143" t="s">
        <v>31</v>
      </c>
    </row>
    <row r="144" spans="1:14" x14ac:dyDescent="0.3">
      <c r="A144" t="s">
        <v>180</v>
      </c>
      <c r="B144" s="2">
        <v>44</v>
      </c>
      <c r="C144" t="s">
        <v>23</v>
      </c>
      <c r="D144" t="s">
        <v>17</v>
      </c>
      <c r="E144" t="s">
        <v>38</v>
      </c>
      <c r="F144" s="3">
        <v>45476</v>
      </c>
      <c r="G144" s="3">
        <v>45545</v>
      </c>
      <c r="H144" s="2">
        <v>25</v>
      </c>
      <c r="I144" s="1">
        <v>4990.75</v>
      </c>
      <c r="J144" s="1">
        <v>199.63</v>
      </c>
      <c r="K144" t="s">
        <v>35</v>
      </c>
      <c r="L144" t="s">
        <v>26</v>
      </c>
      <c r="M144" s="2">
        <v>2</v>
      </c>
      <c r="N144" t="s">
        <v>21</v>
      </c>
    </row>
    <row r="145" spans="1:14" x14ac:dyDescent="0.3">
      <c r="A145" t="s">
        <v>181</v>
      </c>
      <c r="B145" s="2">
        <v>21</v>
      </c>
      <c r="C145" t="s">
        <v>23</v>
      </c>
      <c r="D145" t="s">
        <v>28</v>
      </c>
      <c r="E145" t="s">
        <v>34</v>
      </c>
      <c r="F145" s="3">
        <v>45573</v>
      </c>
      <c r="G145" s="3">
        <v>45577</v>
      </c>
      <c r="H145" s="2">
        <v>19</v>
      </c>
      <c r="I145" s="1">
        <v>4982.18</v>
      </c>
      <c r="J145" s="1">
        <v>262.22000000000003</v>
      </c>
      <c r="K145" t="s">
        <v>25</v>
      </c>
      <c r="L145" t="s">
        <v>20</v>
      </c>
      <c r="M145" s="2">
        <v>6</v>
      </c>
      <c r="N145" t="s">
        <v>21</v>
      </c>
    </row>
    <row r="146" spans="1:14" x14ac:dyDescent="0.3">
      <c r="A146" t="s">
        <v>182</v>
      </c>
      <c r="B146" s="2">
        <v>51</v>
      </c>
      <c r="C146" t="s">
        <v>16</v>
      </c>
      <c r="D146" t="s">
        <v>17</v>
      </c>
      <c r="E146" t="s">
        <v>38</v>
      </c>
      <c r="F146" s="3">
        <v>45483</v>
      </c>
      <c r="G146" s="3">
        <v>45526</v>
      </c>
      <c r="H146" s="2">
        <v>17</v>
      </c>
      <c r="I146" s="1">
        <v>4979.2999999999993</v>
      </c>
      <c r="J146" s="1">
        <v>292.89999999999998</v>
      </c>
      <c r="K146" t="s">
        <v>39</v>
      </c>
      <c r="L146" t="s">
        <v>20</v>
      </c>
      <c r="M146" s="2">
        <v>7</v>
      </c>
      <c r="N146" t="s">
        <v>31</v>
      </c>
    </row>
    <row r="147" spans="1:14" x14ac:dyDescent="0.3">
      <c r="A147" t="s">
        <v>183</v>
      </c>
      <c r="B147" s="2">
        <v>50</v>
      </c>
      <c r="C147" t="s">
        <v>23</v>
      </c>
      <c r="D147" t="s">
        <v>44</v>
      </c>
      <c r="E147" t="s">
        <v>29</v>
      </c>
      <c r="F147" s="3">
        <v>45343</v>
      </c>
      <c r="G147" s="3">
        <v>45354</v>
      </c>
      <c r="H147" s="2">
        <v>20</v>
      </c>
      <c r="I147" s="1">
        <v>4969.2</v>
      </c>
      <c r="J147" s="1">
        <v>248.46</v>
      </c>
      <c r="K147" t="s">
        <v>25</v>
      </c>
      <c r="L147" t="s">
        <v>26</v>
      </c>
      <c r="M147" s="2">
        <v>2</v>
      </c>
      <c r="N147" t="s">
        <v>21</v>
      </c>
    </row>
    <row r="148" spans="1:14" x14ac:dyDescent="0.3">
      <c r="A148" t="s">
        <v>184</v>
      </c>
      <c r="B148" s="2">
        <v>63</v>
      </c>
      <c r="C148" t="s">
        <v>16</v>
      </c>
      <c r="D148" t="s">
        <v>24</v>
      </c>
      <c r="E148" t="s">
        <v>29</v>
      </c>
      <c r="F148" s="3">
        <v>45482</v>
      </c>
      <c r="G148" s="3">
        <v>45583</v>
      </c>
      <c r="H148" s="2">
        <v>17</v>
      </c>
      <c r="I148" s="1">
        <v>4941.8999999999996</v>
      </c>
      <c r="J148" s="1">
        <v>290.7</v>
      </c>
      <c r="K148" t="s">
        <v>19</v>
      </c>
      <c r="L148" t="s">
        <v>26</v>
      </c>
      <c r="M148" s="2">
        <v>6</v>
      </c>
      <c r="N148" t="s">
        <v>21</v>
      </c>
    </row>
    <row r="149" spans="1:14" x14ac:dyDescent="0.3">
      <c r="A149" t="s">
        <v>185</v>
      </c>
      <c r="B149" s="2">
        <v>25</v>
      </c>
      <c r="C149" t="s">
        <v>23</v>
      </c>
      <c r="D149" t="s">
        <v>24</v>
      </c>
      <c r="E149" t="s">
        <v>34</v>
      </c>
      <c r="F149" s="3">
        <v>45952</v>
      </c>
      <c r="G149" s="3">
        <v>45993</v>
      </c>
      <c r="H149" s="2">
        <v>19</v>
      </c>
      <c r="I149" s="1">
        <v>4929.55</v>
      </c>
      <c r="J149" s="1">
        <v>259.45</v>
      </c>
      <c r="K149" t="s">
        <v>25</v>
      </c>
      <c r="L149" t="s">
        <v>30</v>
      </c>
      <c r="M149" s="2">
        <v>10</v>
      </c>
      <c r="N149" t="s">
        <v>21</v>
      </c>
    </row>
    <row r="150" spans="1:14" x14ac:dyDescent="0.3">
      <c r="A150" t="s">
        <v>186</v>
      </c>
      <c r="B150" s="2">
        <v>54</v>
      </c>
      <c r="C150" t="s">
        <v>23</v>
      </c>
      <c r="D150" t="s">
        <v>17</v>
      </c>
      <c r="E150" t="s">
        <v>38</v>
      </c>
      <c r="F150" s="3">
        <v>45357</v>
      </c>
      <c r="G150" s="3">
        <v>45561</v>
      </c>
      <c r="H150" s="2">
        <v>20</v>
      </c>
      <c r="I150" s="1">
        <v>4922.3999999999996</v>
      </c>
      <c r="J150" s="1">
        <v>246.12</v>
      </c>
      <c r="K150" t="s">
        <v>19</v>
      </c>
      <c r="L150" t="s">
        <v>30</v>
      </c>
      <c r="M150" s="2">
        <v>2</v>
      </c>
      <c r="N150" t="s">
        <v>21</v>
      </c>
    </row>
    <row r="151" spans="1:14" x14ac:dyDescent="0.3">
      <c r="A151" t="s">
        <v>187</v>
      </c>
      <c r="B151" s="2">
        <v>60</v>
      </c>
      <c r="C151" t="s">
        <v>23</v>
      </c>
      <c r="D151" t="s">
        <v>50</v>
      </c>
      <c r="E151" t="s">
        <v>18</v>
      </c>
      <c r="F151" s="3">
        <v>45389</v>
      </c>
      <c r="G151" s="3">
        <v>45610</v>
      </c>
      <c r="H151" s="2">
        <v>22</v>
      </c>
      <c r="I151" s="1">
        <v>4916.12</v>
      </c>
      <c r="J151" s="1">
        <v>223.46</v>
      </c>
      <c r="K151" t="s">
        <v>39</v>
      </c>
      <c r="L151" t="s">
        <v>20</v>
      </c>
      <c r="M151" s="2">
        <v>3</v>
      </c>
      <c r="N151" t="s">
        <v>21</v>
      </c>
    </row>
    <row r="152" spans="1:14" x14ac:dyDescent="0.3">
      <c r="A152" t="s">
        <v>188</v>
      </c>
      <c r="B152" s="2">
        <v>58</v>
      </c>
      <c r="C152" t="s">
        <v>16</v>
      </c>
      <c r="D152" t="s">
        <v>17</v>
      </c>
      <c r="E152" t="s">
        <v>29</v>
      </c>
      <c r="F152" s="3">
        <v>45381</v>
      </c>
      <c r="G152" s="3">
        <v>45576</v>
      </c>
      <c r="H152" s="2">
        <v>17</v>
      </c>
      <c r="I152" s="1">
        <v>4912.4900000000007</v>
      </c>
      <c r="J152" s="1">
        <v>288.97000000000003</v>
      </c>
      <c r="K152" t="s">
        <v>19</v>
      </c>
      <c r="L152" t="s">
        <v>30</v>
      </c>
      <c r="M152" s="2">
        <v>7</v>
      </c>
      <c r="N152" t="s">
        <v>21</v>
      </c>
    </row>
    <row r="153" spans="1:14" x14ac:dyDescent="0.3">
      <c r="A153" t="s">
        <v>189</v>
      </c>
      <c r="B153" s="2">
        <v>44</v>
      </c>
      <c r="C153" t="s">
        <v>16</v>
      </c>
      <c r="D153" t="s">
        <v>28</v>
      </c>
      <c r="E153" t="s">
        <v>34</v>
      </c>
      <c r="F153" s="3">
        <v>45934</v>
      </c>
      <c r="G153" s="3">
        <v>46169</v>
      </c>
      <c r="H153" s="2">
        <v>18</v>
      </c>
      <c r="I153" s="1">
        <v>4875.4799999999996</v>
      </c>
      <c r="J153" s="1">
        <v>270.86</v>
      </c>
      <c r="K153" t="s">
        <v>19</v>
      </c>
      <c r="L153" t="s">
        <v>20</v>
      </c>
      <c r="M153" s="2">
        <v>6</v>
      </c>
      <c r="N153" t="s">
        <v>21</v>
      </c>
    </row>
    <row r="154" spans="1:14" x14ac:dyDescent="0.3">
      <c r="A154" t="s">
        <v>190</v>
      </c>
      <c r="B154" s="2">
        <v>60</v>
      </c>
      <c r="C154" t="s">
        <v>23</v>
      </c>
      <c r="D154" t="s">
        <v>28</v>
      </c>
      <c r="E154" t="s">
        <v>38</v>
      </c>
      <c r="F154" s="3">
        <v>45930</v>
      </c>
      <c r="G154" s="3">
        <v>46145</v>
      </c>
      <c r="H154" s="2">
        <v>25</v>
      </c>
      <c r="I154" s="1">
        <v>4871.5</v>
      </c>
      <c r="J154" s="1">
        <v>194.86</v>
      </c>
      <c r="K154" t="s">
        <v>39</v>
      </c>
      <c r="L154" t="s">
        <v>20</v>
      </c>
      <c r="M154" s="2">
        <v>5</v>
      </c>
      <c r="N154" t="s">
        <v>21</v>
      </c>
    </row>
    <row r="155" spans="1:14" x14ac:dyDescent="0.3">
      <c r="A155" t="s">
        <v>191</v>
      </c>
      <c r="B155" s="2">
        <v>42</v>
      </c>
      <c r="C155" t="s">
        <v>16</v>
      </c>
      <c r="D155" t="s">
        <v>50</v>
      </c>
      <c r="E155" t="s">
        <v>38</v>
      </c>
      <c r="F155" s="3">
        <v>45597</v>
      </c>
      <c r="G155" s="3">
        <v>45834</v>
      </c>
      <c r="H155" s="2">
        <v>22</v>
      </c>
      <c r="I155" s="1">
        <v>4869.7</v>
      </c>
      <c r="J155" s="1">
        <v>221.35</v>
      </c>
      <c r="K155" t="s">
        <v>45</v>
      </c>
      <c r="L155" t="s">
        <v>30</v>
      </c>
      <c r="M155" s="2">
        <v>5</v>
      </c>
      <c r="N155" t="s">
        <v>21</v>
      </c>
    </row>
    <row r="156" spans="1:14" x14ac:dyDescent="0.3">
      <c r="A156" t="s">
        <v>192</v>
      </c>
      <c r="B156" s="2">
        <v>22</v>
      </c>
      <c r="C156" t="s">
        <v>23</v>
      </c>
      <c r="D156" t="s">
        <v>44</v>
      </c>
      <c r="E156" t="s">
        <v>34</v>
      </c>
      <c r="F156" s="3">
        <v>45618</v>
      </c>
      <c r="G156" s="3">
        <v>45803</v>
      </c>
      <c r="H156" s="2">
        <v>23</v>
      </c>
      <c r="I156" s="1">
        <v>4846.0999999999995</v>
      </c>
      <c r="J156" s="1">
        <v>210.7</v>
      </c>
      <c r="K156" t="s">
        <v>35</v>
      </c>
      <c r="L156" t="s">
        <v>26</v>
      </c>
      <c r="M156" s="2">
        <v>8</v>
      </c>
      <c r="N156" t="s">
        <v>21</v>
      </c>
    </row>
    <row r="157" spans="1:14" x14ac:dyDescent="0.3">
      <c r="A157" t="s">
        <v>193</v>
      </c>
      <c r="B157" s="2">
        <v>43</v>
      </c>
      <c r="C157" t="s">
        <v>23</v>
      </c>
      <c r="D157" t="s">
        <v>50</v>
      </c>
      <c r="E157" t="s">
        <v>18</v>
      </c>
      <c r="F157" s="3">
        <v>45855</v>
      </c>
      <c r="G157" s="3">
        <v>46108</v>
      </c>
      <c r="H157" s="2">
        <v>22</v>
      </c>
      <c r="I157" s="1">
        <v>4840.2199999999993</v>
      </c>
      <c r="J157" s="1">
        <v>220.01</v>
      </c>
      <c r="K157" t="s">
        <v>39</v>
      </c>
      <c r="L157" t="s">
        <v>30</v>
      </c>
      <c r="M157" s="2">
        <v>3</v>
      </c>
      <c r="N157" t="s">
        <v>21</v>
      </c>
    </row>
    <row r="158" spans="1:14" x14ac:dyDescent="0.3">
      <c r="A158" t="s">
        <v>194</v>
      </c>
      <c r="B158" s="2">
        <v>24</v>
      </c>
      <c r="C158" t="s">
        <v>16</v>
      </c>
      <c r="D158" t="s">
        <v>24</v>
      </c>
      <c r="E158" t="s">
        <v>29</v>
      </c>
      <c r="F158" s="3">
        <v>45335</v>
      </c>
      <c r="G158" s="3">
        <v>45390</v>
      </c>
      <c r="H158" s="2">
        <v>19</v>
      </c>
      <c r="I158" s="1">
        <v>4839.3</v>
      </c>
      <c r="J158" s="1">
        <v>254.7</v>
      </c>
      <c r="K158" t="s">
        <v>45</v>
      </c>
      <c r="L158" t="s">
        <v>20</v>
      </c>
      <c r="M158" s="2">
        <v>10</v>
      </c>
      <c r="N158" t="s">
        <v>21</v>
      </c>
    </row>
    <row r="159" spans="1:14" x14ac:dyDescent="0.3">
      <c r="A159" t="s">
        <v>195</v>
      </c>
      <c r="B159" s="2">
        <v>57</v>
      </c>
      <c r="C159" t="s">
        <v>16</v>
      </c>
      <c r="D159" t="s">
        <v>42</v>
      </c>
      <c r="E159" t="s">
        <v>29</v>
      </c>
      <c r="F159" s="3">
        <v>45700</v>
      </c>
      <c r="G159" s="3">
        <v>45837</v>
      </c>
      <c r="H159" s="2">
        <v>25</v>
      </c>
      <c r="I159" s="1">
        <v>4830.25</v>
      </c>
      <c r="J159" s="1">
        <v>193.21</v>
      </c>
      <c r="K159" t="s">
        <v>35</v>
      </c>
      <c r="L159" t="s">
        <v>26</v>
      </c>
      <c r="M159" s="2">
        <v>9</v>
      </c>
      <c r="N159" t="s">
        <v>31</v>
      </c>
    </row>
    <row r="160" spans="1:14" x14ac:dyDescent="0.3">
      <c r="A160" t="s">
        <v>196</v>
      </c>
      <c r="B160" s="2">
        <v>62</v>
      </c>
      <c r="C160" t="s">
        <v>23</v>
      </c>
      <c r="D160" t="s">
        <v>28</v>
      </c>
      <c r="E160" t="s">
        <v>29</v>
      </c>
      <c r="F160" s="3">
        <v>45293</v>
      </c>
      <c r="G160" s="3">
        <v>45315</v>
      </c>
      <c r="H160" s="2">
        <v>19</v>
      </c>
      <c r="I160" s="1">
        <v>4824.29</v>
      </c>
      <c r="J160" s="1">
        <v>253.91</v>
      </c>
      <c r="K160" t="s">
        <v>39</v>
      </c>
      <c r="L160" t="s">
        <v>26</v>
      </c>
      <c r="M160" s="2">
        <v>6</v>
      </c>
      <c r="N160" t="s">
        <v>21</v>
      </c>
    </row>
    <row r="161" spans="1:14" x14ac:dyDescent="0.3">
      <c r="A161" t="s">
        <v>197</v>
      </c>
      <c r="B161" s="2">
        <v>44</v>
      </c>
      <c r="C161" t="s">
        <v>23</v>
      </c>
      <c r="D161" t="s">
        <v>17</v>
      </c>
      <c r="E161" t="s">
        <v>18</v>
      </c>
      <c r="F161" s="3">
        <v>45667</v>
      </c>
      <c r="G161" s="3">
        <v>45874</v>
      </c>
      <c r="H161" s="2">
        <v>18</v>
      </c>
      <c r="I161" s="1">
        <v>4819.32</v>
      </c>
      <c r="J161" s="1">
        <v>267.74</v>
      </c>
      <c r="K161" t="s">
        <v>35</v>
      </c>
      <c r="L161" t="s">
        <v>30</v>
      </c>
      <c r="M161" s="2">
        <v>7</v>
      </c>
      <c r="N161" t="s">
        <v>21</v>
      </c>
    </row>
    <row r="162" spans="1:14" x14ac:dyDescent="0.3">
      <c r="A162" t="s">
        <v>198</v>
      </c>
      <c r="B162" s="2">
        <v>19</v>
      </c>
      <c r="C162" t="s">
        <v>23</v>
      </c>
      <c r="D162" t="s">
        <v>50</v>
      </c>
      <c r="E162" t="s">
        <v>18</v>
      </c>
      <c r="F162" s="3">
        <v>45501</v>
      </c>
      <c r="G162" s="3">
        <v>45562</v>
      </c>
      <c r="H162" s="2">
        <v>21</v>
      </c>
      <c r="I162" s="1">
        <v>4796.1899999999996</v>
      </c>
      <c r="J162" s="1">
        <v>228.39</v>
      </c>
      <c r="K162" t="s">
        <v>39</v>
      </c>
      <c r="L162" t="s">
        <v>30</v>
      </c>
      <c r="M162" s="2">
        <v>4</v>
      </c>
      <c r="N162" t="s">
        <v>21</v>
      </c>
    </row>
    <row r="163" spans="1:14" x14ac:dyDescent="0.3">
      <c r="A163" t="s">
        <v>199</v>
      </c>
      <c r="B163" s="2">
        <v>42</v>
      </c>
      <c r="C163" t="s">
        <v>16</v>
      </c>
      <c r="D163" t="s">
        <v>42</v>
      </c>
      <c r="E163" t="s">
        <v>29</v>
      </c>
      <c r="F163" s="3">
        <v>45918</v>
      </c>
      <c r="G163" s="3">
        <v>46099</v>
      </c>
      <c r="H163" s="2">
        <v>19</v>
      </c>
      <c r="I163" s="1">
        <v>4792.5600000000004</v>
      </c>
      <c r="J163" s="1">
        <v>252.24</v>
      </c>
      <c r="K163" t="s">
        <v>45</v>
      </c>
      <c r="L163" t="s">
        <v>26</v>
      </c>
      <c r="M163" s="2">
        <v>4</v>
      </c>
      <c r="N163" t="s">
        <v>31</v>
      </c>
    </row>
    <row r="164" spans="1:14" x14ac:dyDescent="0.3">
      <c r="A164" t="s">
        <v>200</v>
      </c>
      <c r="B164" s="2">
        <v>37</v>
      </c>
      <c r="C164" t="s">
        <v>23</v>
      </c>
      <c r="D164" t="s">
        <v>24</v>
      </c>
      <c r="E164" t="s">
        <v>18</v>
      </c>
      <c r="F164" s="3">
        <v>45486</v>
      </c>
      <c r="G164" s="3">
        <v>45567</v>
      </c>
      <c r="H164" s="2">
        <v>16</v>
      </c>
      <c r="I164" s="1">
        <v>4781.92</v>
      </c>
      <c r="J164" s="1">
        <v>298.87</v>
      </c>
      <c r="K164" t="s">
        <v>35</v>
      </c>
      <c r="L164" t="s">
        <v>20</v>
      </c>
      <c r="M164" s="2">
        <v>8</v>
      </c>
      <c r="N164" t="s">
        <v>21</v>
      </c>
    </row>
    <row r="165" spans="1:14" x14ac:dyDescent="0.3">
      <c r="A165" t="s">
        <v>201</v>
      </c>
      <c r="B165" s="2">
        <v>59</v>
      </c>
      <c r="C165" t="s">
        <v>23</v>
      </c>
      <c r="D165" t="s">
        <v>44</v>
      </c>
      <c r="E165" t="s">
        <v>18</v>
      </c>
      <c r="F165" s="3">
        <v>45882</v>
      </c>
      <c r="G165" s="3">
        <v>45982</v>
      </c>
      <c r="H165" s="2">
        <v>16</v>
      </c>
      <c r="I165" s="1">
        <v>4773.92</v>
      </c>
      <c r="J165" s="1">
        <v>298.37</v>
      </c>
      <c r="K165" t="s">
        <v>35</v>
      </c>
      <c r="L165" t="s">
        <v>20</v>
      </c>
      <c r="M165" s="2">
        <v>3</v>
      </c>
      <c r="N165" t="s">
        <v>31</v>
      </c>
    </row>
    <row r="166" spans="1:14" x14ac:dyDescent="0.3">
      <c r="A166" t="s">
        <v>202</v>
      </c>
      <c r="B166" s="2">
        <v>19</v>
      </c>
      <c r="C166" t="s">
        <v>16</v>
      </c>
      <c r="D166" t="s">
        <v>61</v>
      </c>
      <c r="E166" t="s">
        <v>34</v>
      </c>
      <c r="F166" s="3">
        <v>45786</v>
      </c>
      <c r="G166" s="3">
        <v>46000</v>
      </c>
      <c r="H166" s="2">
        <v>17</v>
      </c>
      <c r="I166" s="1">
        <v>4773.09</v>
      </c>
      <c r="J166" s="1">
        <v>280.77</v>
      </c>
      <c r="K166" t="s">
        <v>25</v>
      </c>
      <c r="L166" t="s">
        <v>26</v>
      </c>
      <c r="M166" s="2">
        <v>1</v>
      </c>
      <c r="N166" t="s">
        <v>21</v>
      </c>
    </row>
    <row r="167" spans="1:14" x14ac:dyDescent="0.3">
      <c r="A167" t="s">
        <v>203</v>
      </c>
      <c r="B167" s="2">
        <v>61</v>
      </c>
      <c r="C167" t="s">
        <v>16</v>
      </c>
      <c r="D167" t="s">
        <v>61</v>
      </c>
      <c r="E167" t="s">
        <v>18</v>
      </c>
      <c r="F167" s="3">
        <v>45690</v>
      </c>
      <c r="G167" s="3">
        <v>45846</v>
      </c>
      <c r="H167" s="2">
        <v>16</v>
      </c>
      <c r="I167" s="1">
        <v>4765.4399999999996</v>
      </c>
      <c r="J167" s="1">
        <v>297.83999999999997</v>
      </c>
      <c r="K167" t="s">
        <v>25</v>
      </c>
      <c r="L167" t="s">
        <v>30</v>
      </c>
      <c r="M167" s="2">
        <v>5</v>
      </c>
      <c r="N167" t="s">
        <v>21</v>
      </c>
    </row>
    <row r="168" spans="1:14" x14ac:dyDescent="0.3">
      <c r="A168" t="s">
        <v>204</v>
      </c>
      <c r="B168" s="2">
        <v>64</v>
      </c>
      <c r="C168" t="s">
        <v>23</v>
      </c>
      <c r="D168" t="s">
        <v>24</v>
      </c>
      <c r="E168" t="s">
        <v>34</v>
      </c>
      <c r="F168" s="3">
        <v>45535</v>
      </c>
      <c r="G168" s="3">
        <v>45760</v>
      </c>
      <c r="H168" s="2">
        <v>24</v>
      </c>
      <c r="I168" s="1">
        <v>4764.4799999999996</v>
      </c>
      <c r="J168" s="1">
        <v>198.52</v>
      </c>
      <c r="K168" t="s">
        <v>39</v>
      </c>
      <c r="L168" t="s">
        <v>30</v>
      </c>
      <c r="M168" s="2">
        <v>3</v>
      </c>
      <c r="N168" t="s">
        <v>21</v>
      </c>
    </row>
    <row r="169" spans="1:14" x14ac:dyDescent="0.3">
      <c r="A169" t="s">
        <v>205</v>
      </c>
      <c r="B169" s="2">
        <v>34</v>
      </c>
      <c r="C169" t="s">
        <v>23</v>
      </c>
      <c r="D169" t="s">
        <v>61</v>
      </c>
      <c r="E169" t="s">
        <v>38</v>
      </c>
      <c r="F169" s="3">
        <v>45895</v>
      </c>
      <c r="G169" s="3">
        <v>46020</v>
      </c>
      <c r="H169" s="2">
        <v>25</v>
      </c>
      <c r="I169" s="1">
        <v>4752.25</v>
      </c>
      <c r="J169" s="1">
        <v>190.09</v>
      </c>
      <c r="K169" t="s">
        <v>45</v>
      </c>
      <c r="L169" t="s">
        <v>30</v>
      </c>
      <c r="M169" s="2">
        <v>10</v>
      </c>
      <c r="N169" t="s">
        <v>21</v>
      </c>
    </row>
    <row r="170" spans="1:14" x14ac:dyDescent="0.3">
      <c r="A170" t="s">
        <v>206</v>
      </c>
      <c r="B170" s="2">
        <v>28</v>
      </c>
      <c r="C170" t="s">
        <v>16</v>
      </c>
      <c r="D170" t="s">
        <v>61</v>
      </c>
      <c r="E170" t="s">
        <v>38</v>
      </c>
      <c r="F170" s="3">
        <v>45658</v>
      </c>
      <c r="G170" s="3">
        <v>45892</v>
      </c>
      <c r="H170" s="2">
        <v>23</v>
      </c>
      <c r="I170" s="1">
        <v>4744.21</v>
      </c>
      <c r="J170" s="1">
        <v>206.27</v>
      </c>
      <c r="K170" t="s">
        <v>19</v>
      </c>
      <c r="L170" t="s">
        <v>26</v>
      </c>
      <c r="M170" s="2">
        <v>3</v>
      </c>
      <c r="N170" t="s">
        <v>21</v>
      </c>
    </row>
    <row r="171" spans="1:14" x14ac:dyDescent="0.3">
      <c r="A171" t="s">
        <v>207</v>
      </c>
      <c r="B171" s="2">
        <v>64</v>
      </c>
      <c r="C171" t="s">
        <v>16</v>
      </c>
      <c r="D171" t="s">
        <v>44</v>
      </c>
      <c r="E171" t="s">
        <v>18</v>
      </c>
      <c r="F171" s="3">
        <v>45576</v>
      </c>
      <c r="G171" s="3">
        <v>45718</v>
      </c>
      <c r="H171" s="2">
        <v>16</v>
      </c>
      <c r="I171" s="1">
        <v>4743.5200000000004</v>
      </c>
      <c r="J171" s="1">
        <v>296.47000000000003</v>
      </c>
      <c r="K171" t="s">
        <v>39</v>
      </c>
      <c r="L171" t="s">
        <v>26</v>
      </c>
      <c r="M171" s="2">
        <v>6</v>
      </c>
      <c r="N171" t="s">
        <v>21</v>
      </c>
    </row>
    <row r="172" spans="1:14" x14ac:dyDescent="0.3">
      <c r="A172" t="s">
        <v>208</v>
      </c>
      <c r="B172" s="2">
        <v>21</v>
      </c>
      <c r="C172" t="s">
        <v>16</v>
      </c>
      <c r="D172" t="s">
        <v>61</v>
      </c>
      <c r="E172" t="s">
        <v>34</v>
      </c>
      <c r="F172" s="3">
        <v>45597</v>
      </c>
      <c r="G172" s="3">
        <v>45706</v>
      </c>
      <c r="H172" s="2">
        <v>19</v>
      </c>
      <c r="I172" s="1">
        <v>4731</v>
      </c>
      <c r="J172" s="1">
        <v>249</v>
      </c>
      <c r="K172" t="s">
        <v>25</v>
      </c>
      <c r="L172" t="s">
        <v>20</v>
      </c>
      <c r="M172" s="2">
        <v>1</v>
      </c>
      <c r="N172" t="s">
        <v>21</v>
      </c>
    </row>
    <row r="173" spans="1:14" x14ac:dyDescent="0.3">
      <c r="A173" t="s">
        <v>209</v>
      </c>
      <c r="B173" s="2">
        <v>42</v>
      </c>
      <c r="C173" t="s">
        <v>23</v>
      </c>
      <c r="D173" t="s">
        <v>50</v>
      </c>
      <c r="E173" t="s">
        <v>38</v>
      </c>
      <c r="F173" s="3">
        <v>45972</v>
      </c>
      <c r="G173" s="3">
        <v>46099</v>
      </c>
      <c r="H173" s="2">
        <v>22</v>
      </c>
      <c r="I173" s="1">
        <v>4729.12</v>
      </c>
      <c r="J173" s="1">
        <v>214.96</v>
      </c>
      <c r="K173" t="s">
        <v>39</v>
      </c>
      <c r="L173" t="s">
        <v>30</v>
      </c>
      <c r="M173" s="2">
        <v>8</v>
      </c>
      <c r="N173" t="s">
        <v>21</v>
      </c>
    </row>
    <row r="174" spans="1:14" x14ac:dyDescent="0.3">
      <c r="A174" t="s">
        <v>210</v>
      </c>
      <c r="B174" s="2">
        <v>58</v>
      </c>
      <c r="C174" t="s">
        <v>23</v>
      </c>
      <c r="D174" t="s">
        <v>50</v>
      </c>
      <c r="E174" t="s">
        <v>34</v>
      </c>
      <c r="F174" s="3">
        <v>45473</v>
      </c>
      <c r="G174" s="3">
        <v>45764</v>
      </c>
      <c r="H174" s="2">
        <v>17</v>
      </c>
      <c r="I174" s="1">
        <v>4698.12</v>
      </c>
      <c r="J174" s="1">
        <v>276.36</v>
      </c>
      <c r="K174" t="s">
        <v>19</v>
      </c>
      <c r="L174" t="s">
        <v>26</v>
      </c>
      <c r="M174" s="2">
        <v>7</v>
      </c>
      <c r="N174" t="s">
        <v>21</v>
      </c>
    </row>
    <row r="175" spans="1:14" x14ac:dyDescent="0.3">
      <c r="A175" t="s">
        <v>211</v>
      </c>
      <c r="B175" s="2">
        <v>25</v>
      </c>
      <c r="C175" t="s">
        <v>16</v>
      </c>
      <c r="D175" t="s">
        <v>28</v>
      </c>
      <c r="E175" t="s">
        <v>29</v>
      </c>
      <c r="F175" s="3">
        <v>45865</v>
      </c>
      <c r="G175" s="3">
        <v>46107</v>
      </c>
      <c r="H175" s="2">
        <v>23</v>
      </c>
      <c r="I175" s="1">
        <v>4692.2299999999996</v>
      </c>
      <c r="J175" s="1">
        <v>204.01</v>
      </c>
      <c r="K175" t="s">
        <v>39</v>
      </c>
      <c r="L175" t="s">
        <v>26</v>
      </c>
      <c r="M175" s="2">
        <v>6</v>
      </c>
      <c r="N175" t="s">
        <v>21</v>
      </c>
    </row>
    <row r="176" spans="1:14" x14ac:dyDescent="0.3">
      <c r="A176" t="s">
        <v>212</v>
      </c>
      <c r="B176" s="2">
        <v>49</v>
      </c>
      <c r="C176" t="s">
        <v>16</v>
      </c>
      <c r="D176" t="s">
        <v>17</v>
      </c>
      <c r="E176" t="s">
        <v>38</v>
      </c>
      <c r="F176" s="3">
        <v>45584</v>
      </c>
      <c r="G176" s="3">
        <v>45859</v>
      </c>
      <c r="H176" s="2">
        <v>20</v>
      </c>
      <c r="I176" s="1">
        <v>4686</v>
      </c>
      <c r="J176" s="1">
        <v>234.3</v>
      </c>
      <c r="K176" t="s">
        <v>35</v>
      </c>
      <c r="L176" t="s">
        <v>30</v>
      </c>
      <c r="M176" s="2">
        <v>4</v>
      </c>
      <c r="N176" t="s">
        <v>21</v>
      </c>
    </row>
    <row r="177" spans="1:14" x14ac:dyDescent="0.3">
      <c r="A177" t="s">
        <v>213</v>
      </c>
      <c r="B177" s="2">
        <v>42</v>
      </c>
      <c r="C177" t="s">
        <v>16</v>
      </c>
      <c r="D177" t="s">
        <v>50</v>
      </c>
      <c r="E177" t="s">
        <v>18</v>
      </c>
      <c r="F177" s="3">
        <v>45386</v>
      </c>
      <c r="G177" s="3">
        <v>45637</v>
      </c>
      <c r="H177" s="2">
        <v>24</v>
      </c>
      <c r="I177" s="1">
        <v>4682.6400000000003</v>
      </c>
      <c r="J177" s="1">
        <v>195.11</v>
      </c>
      <c r="K177" t="s">
        <v>45</v>
      </c>
      <c r="L177" t="s">
        <v>30</v>
      </c>
      <c r="M177" s="2">
        <v>7</v>
      </c>
      <c r="N177" t="s">
        <v>21</v>
      </c>
    </row>
    <row r="178" spans="1:14" x14ac:dyDescent="0.3">
      <c r="A178" t="s">
        <v>214</v>
      </c>
      <c r="B178" s="2">
        <v>44</v>
      </c>
      <c r="C178" t="s">
        <v>23</v>
      </c>
      <c r="D178" t="s">
        <v>44</v>
      </c>
      <c r="E178" t="s">
        <v>29</v>
      </c>
      <c r="F178" s="3">
        <v>45475</v>
      </c>
      <c r="G178" s="3">
        <v>45520</v>
      </c>
      <c r="H178" s="2">
        <v>23</v>
      </c>
      <c r="I178" s="1">
        <v>4657.2700000000004</v>
      </c>
      <c r="J178" s="1">
        <v>202.49</v>
      </c>
      <c r="K178" t="s">
        <v>25</v>
      </c>
      <c r="L178" t="s">
        <v>30</v>
      </c>
      <c r="M178" s="2">
        <v>5</v>
      </c>
      <c r="N178" t="s">
        <v>21</v>
      </c>
    </row>
    <row r="179" spans="1:14" x14ac:dyDescent="0.3">
      <c r="A179" t="s">
        <v>215</v>
      </c>
      <c r="B179" s="2">
        <v>49</v>
      </c>
      <c r="C179" t="s">
        <v>16</v>
      </c>
      <c r="D179" t="s">
        <v>24</v>
      </c>
      <c r="E179" t="s">
        <v>29</v>
      </c>
      <c r="F179" s="3">
        <v>45518</v>
      </c>
      <c r="G179" s="3">
        <v>45637</v>
      </c>
      <c r="H179" s="2">
        <v>16</v>
      </c>
      <c r="I179" s="1">
        <v>4653.4399999999996</v>
      </c>
      <c r="J179" s="1">
        <v>290.83999999999997</v>
      </c>
      <c r="K179" t="s">
        <v>35</v>
      </c>
      <c r="L179" t="s">
        <v>30</v>
      </c>
      <c r="M179" s="2">
        <v>5</v>
      </c>
      <c r="N179" t="s">
        <v>31</v>
      </c>
    </row>
    <row r="180" spans="1:14" x14ac:dyDescent="0.3">
      <c r="A180" t="s">
        <v>216</v>
      </c>
      <c r="B180" s="2">
        <v>58</v>
      </c>
      <c r="C180" t="s">
        <v>23</v>
      </c>
      <c r="D180" t="s">
        <v>28</v>
      </c>
      <c r="E180" t="s">
        <v>18</v>
      </c>
      <c r="F180" s="3">
        <v>45418</v>
      </c>
      <c r="G180" s="3">
        <v>45605</v>
      </c>
      <c r="H180" s="2">
        <v>23</v>
      </c>
      <c r="I180" s="1">
        <v>4649.45</v>
      </c>
      <c r="J180" s="1">
        <v>202.15</v>
      </c>
      <c r="K180" t="s">
        <v>19</v>
      </c>
      <c r="L180" t="s">
        <v>30</v>
      </c>
      <c r="M180" s="2">
        <v>2</v>
      </c>
      <c r="N180" t="s">
        <v>31</v>
      </c>
    </row>
    <row r="181" spans="1:14" x14ac:dyDescent="0.3">
      <c r="A181" t="s">
        <v>217</v>
      </c>
      <c r="B181" s="2">
        <v>40</v>
      </c>
      <c r="C181" t="s">
        <v>16</v>
      </c>
      <c r="D181" t="s">
        <v>42</v>
      </c>
      <c r="E181" t="s">
        <v>34</v>
      </c>
      <c r="F181" s="3">
        <v>45809</v>
      </c>
      <c r="G181" s="3">
        <v>45955</v>
      </c>
      <c r="H181" s="2">
        <v>17</v>
      </c>
      <c r="I181" s="1">
        <v>4647.7999999999993</v>
      </c>
      <c r="J181" s="1">
        <v>273.39999999999998</v>
      </c>
      <c r="K181" t="s">
        <v>45</v>
      </c>
      <c r="L181" t="s">
        <v>20</v>
      </c>
      <c r="M181" s="2">
        <v>6</v>
      </c>
      <c r="N181" t="s">
        <v>21</v>
      </c>
    </row>
    <row r="182" spans="1:14" x14ac:dyDescent="0.3">
      <c r="A182" t="s">
        <v>218</v>
      </c>
      <c r="B182" s="2">
        <v>21</v>
      </c>
      <c r="C182" t="s">
        <v>16</v>
      </c>
      <c r="D182" t="s">
        <v>42</v>
      </c>
      <c r="E182" t="s">
        <v>29</v>
      </c>
      <c r="F182" s="3">
        <v>45822</v>
      </c>
      <c r="G182" s="3">
        <v>46007</v>
      </c>
      <c r="H182" s="2">
        <v>20</v>
      </c>
      <c r="I182" s="1">
        <v>4636</v>
      </c>
      <c r="J182" s="1">
        <v>231.8</v>
      </c>
      <c r="K182" t="s">
        <v>45</v>
      </c>
      <c r="L182" t="s">
        <v>26</v>
      </c>
      <c r="M182" s="2">
        <v>8</v>
      </c>
      <c r="N182" t="s">
        <v>21</v>
      </c>
    </row>
    <row r="183" spans="1:14" x14ac:dyDescent="0.3">
      <c r="A183" t="s">
        <v>219</v>
      </c>
      <c r="B183" s="2">
        <v>32</v>
      </c>
      <c r="C183" t="s">
        <v>23</v>
      </c>
      <c r="D183" t="s">
        <v>17</v>
      </c>
      <c r="E183" t="s">
        <v>38</v>
      </c>
      <c r="F183" s="3">
        <v>45794</v>
      </c>
      <c r="G183" s="3">
        <v>45867</v>
      </c>
      <c r="H183" s="2">
        <v>16</v>
      </c>
      <c r="I183" s="1">
        <v>4634.72</v>
      </c>
      <c r="J183" s="1">
        <v>289.67</v>
      </c>
      <c r="K183" t="s">
        <v>45</v>
      </c>
      <c r="L183" t="s">
        <v>20</v>
      </c>
      <c r="M183" s="2">
        <v>7</v>
      </c>
      <c r="N183" t="s">
        <v>21</v>
      </c>
    </row>
    <row r="184" spans="1:14" x14ac:dyDescent="0.3">
      <c r="A184" t="s">
        <v>220</v>
      </c>
      <c r="B184" s="2">
        <v>55</v>
      </c>
      <c r="C184" t="s">
        <v>23</v>
      </c>
      <c r="D184" t="s">
        <v>42</v>
      </c>
      <c r="E184" t="s">
        <v>34</v>
      </c>
      <c r="F184" s="3">
        <v>45546</v>
      </c>
      <c r="G184" s="3">
        <v>45756</v>
      </c>
      <c r="H184" s="2">
        <v>23</v>
      </c>
      <c r="I184" s="1">
        <v>4630.59</v>
      </c>
      <c r="J184" s="1">
        <v>201.33</v>
      </c>
      <c r="K184" t="s">
        <v>19</v>
      </c>
      <c r="L184" t="s">
        <v>30</v>
      </c>
      <c r="M184" s="2">
        <v>7</v>
      </c>
      <c r="N184" t="s">
        <v>31</v>
      </c>
    </row>
    <row r="185" spans="1:14" x14ac:dyDescent="0.3">
      <c r="A185" t="s">
        <v>221</v>
      </c>
      <c r="B185" s="2">
        <v>42</v>
      </c>
      <c r="C185" t="s">
        <v>23</v>
      </c>
      <c r="D185" t="s">
        <v>61</v>
      </c>
      <c r="E185" t="s">
        <v>38</v>
      </c>
      <c r="F185" s="3">
        <v>45846</v>
      </c>
      <c r="G185" s="3">
        <v>46057</v>
      </c>
      <c r="H185" s="2">
        <v>25</v>
      </c>
      <c r="I185" s="1">
        <v>4628</v>
      </c>
      <c r="J185" s="1">
        <v>185.12</v>
      </c>
      <c r="K185" t="s">
        <v>19</v>
      </c>
      <c r="L185" t="s">
        <v>30</v>
      </c>
      <c r="M185" s="2">
        <v>8</v>
      </c>
      <c r="N185" t="s">
        <v>21</v>
      </c>
    </row>
    <row r="186" spans="1:14" x14ac:dyDescent="0.3">
      <c r="A186" t="s">
        <v>222</v>
      </c>
      <c r="B186" s="2">
        <v>44</v>
      </c>
      <c r="C186" t="s">
        <v>16</v>
      </c>
      <c r="D186" t="s">
        <v>28</v>
      </c>
      <c r="E186" t="s">
        <v>34</v>
      </c>
      <c r="F186" s="3">
        <v>45630</v>
      </c>
      <c r="G186" s="3">
        <v>45749</v>
      </c>
      <c r="H186" s="2">
        <v>19</v>
      </c>
      <c r="I186" s="1">
        <v>4627.6400000000003</v>
      </c>
      <c r="J186" s="1">
        <v>243.56</v>
      </c>
      <c r="K186" t="s">
        <v>39</v>
      </c>
      <c r="L186" t="s">
        <v>20</v>
      </c>
      <c r="M186" s="2">
        <v>1</v>
      </c>
      <c r="N186" t="s">
        <v>21</v>
      </c>
    </row>
    <row r="187" spans="1:14" x14ac:dyDescent="0.3">
      <c r="A187" t="s">
        <v>223</v>
      </c>
      <c r="B187" s="2">
        <v>44</v>
      </c>
      <c r="C187" t="s">
        <v>16</v>
      </c>
      <c r="D187" t="s">
        <v>24</v>
      </c>
      <c r="E187" t="s">
        <v>18</v>
      </c>
      <c r="F187" s="3">
        <v>45306</v>
      </c>
      <c r="G187" s="3">
        <v>45441</v>
      </c>
      <c r="H187" s="2">
        <v>23</v>
      </c>
      <c r="I187" s="1">
        <v>4618.17</v>
      </c>
      <c r="J187" s="1">
        <v>200.79</v>
      </c>
      <c r="K187" t="s">
        <v>39</v>
      </c>
      <c r="L187" t="s">
        <v>30</v>
      </c>
      <c r="M187" s="2">
        <v>5</v>
      </c>
      <c r="N187" t="s">
        <v>21</v>
      </c>
    </row>
    <row r="188" spans="1:14" x14ac:dyDescent="0.3">
      <c r="A188" t="s">
        <v>224</v>
      </c>
      <c r="B188" s="2">
        <v>21</v>
      </c>
      <c r="C188" t="s">
        <v>23</v>
      </c>
      <c r="D188" t="s">
        <v>42</v>
      </c>
      <c r="E188" t="s">
        <v>29</v>
      </c>
      <c r="F188" s="3">
        <v>45663</v>
      </c>
      <c r="G188" s="3">
        <v>45948</v>
      </c>
      <c r="H188" s="2">
        <v>16</v>
      </c>
      <c r="I188" s="1">
        <v>4610.08</v>
      </c>
      <c r="J188" s="1">
        <v>288.13</v>
      </c>
      <c r="K188" t="s">
        <v>45</v>
      </c>
      <c r="L188" t="s">
        <v>26</v>
      </c>
      <c r="M188" s="2">
        <v>3</v>
      </c>
      <c r="N188" t="s">
        <v>21</v>
      </c>
    </row>
    <row r="189" spans="1:14" x14ac:dyDescent="0.3">
      <c r="A189" t="s">
        <v>225</v>
      </c>
      <c r="B189" s="2">
        <v>39</v>
      </c>
      <c r="C189" t="s">
        <v>23</v>
      </c>
      <c r="D189" t="s">
        <v>28</v>
      </c>
      <c r="E189" t="s">
        <v>29</v>
      </c>
      <c r="F189" s="3">
        <v>45489</v>
      </c>
      <c r="G189" s="3">
        <v>45635</v>
      </c>
      <c r="H189" s="2">
        <v>21</v>
      </c>
      <c r="I189" s="1">
        <v>4593.33</v>
      </c>
      <c r="J189" s="1">
        <v>218.73</v>
      </c>
      <c r="K189" t="s">
        <v>25</v>
      </c>
      <c r="L189" t="s">
        <v>30</v>
      </c>
      <c r="M189" s="2">
        <v>4</v>
      </c>
      <c r="N189" t="s">
        <v>21</v>
      </c>
    </row>
    <row r="190" spans="1:14" x14ac:dyDescent="0.3">
      <c r="A190" t="s">
        <v>226</v>
      </c>
      <c r="B190" s="2">
        <v>41</v>
      </c>
      <c r="C190" t="s">
        <v>23</v>
      </c>
      <c r="D190" t="s">
        <v>50</v>
      </c>
      <c r="E190" t="s">
        <v>38</v>
      </c>
      <c r="F190" s="3">
        <v>45945</v>
      </c>
      <c r="G190" s="3">
        <v>45981</v>
      </c>
      <c r="H190" s="2">
        <v>17</v>
      </c>
      <c r="I190" s="1">
        <v>4570.28</v>
      </c>
      <c r="J190" s="1">
        <v>268.83999999999997</v>
      </c>
      <c r="K190" t="s">
        <v>19</v>
      </c>
      <c r="L190" t="s">
        <v>26</v>
      </c>
      <c r="M190" s="2">
        <v>6</v>
      </c>
      <c r="N190" t="s">
        <v>31</v>
      </c>
    </row>
    <row r="191" spans="1:14" x14ac:dyDescent="0.3">
      <c r="A191" t="s">
        <v>227</v>
      </c>
      <c r="B191" s="2">
        <v>33</v>
      </c>
      <c r="C191" t="s">
        <v>16</v>
      </c>
      <c r="D191" t="s">
        <v>44</v>
      </c>
      <c r="E191" t="s">
        <v>18</v>
      </c>
      <c r="F191" s="3">
        <v>45733</v>
      </c>
      <c r="G191" s="3">
        <v>45955</v>
      </c>
      <c r="H191" s="2">
        <v>19</v>
      </c>
      <c r="I191" s="1">
        <v>4568.55</v>
      </c>
      <c r="J191" s="1">
        <v>240.45</v>
      </c>
      <c r="K191" t="s">
        <v>19</v>
      </c>
      <c r="L191" t="s">
        <v>26</v>
      </c>
      <c r="M191" s="2">
        <v>2</v>
      </c>
      <c r="N191" t="s">
        <v>21</v>
      </c>
    </row>
    <row r="192" spans="1:14" x14ac:dyDescent="0.3">
      <c r="A192" t="s">
        <v>228</v>
      </c>
      <c r="B192" s="2">
        <v>31</v>
      </c>
      <c r="C192" t="s">
        <v>23</v>
      </c>
      <c r="D192" t="s">
        <v>28</v>
      </c>
      <c r="E192" t="s">
        <v>34</v>
      </c>
      <c r="F192" s="3">
        <v>45600</v>
      </c>
      <c r="G192" s="3">
        <v>45807</v>
      </c>
      <c r="H192" s="2">
        <v>18</v>
      </c>
      <c r="I192" s="1">
        <v>4561.92</v>
      </c>
      <c r="J192" s="1">
        <v>253.44</v>
      </c>
      <c r="K192" t="s">
        <v>35</v>
      </c>
      <c r="L192" t="s">
        <v>26</v>
      </c>
      <c r="M192" s="2">
        <v>8</v>
      </c>
      <c r="N192" t="s">
        <v>21</v>
      </c>
    </row>
    <row r="193" spans="1:14" x14ac:dyDescent="0.3">
      <c r="A193" t="s">
        <v>229</v>
      </c>
      <c r="B193" s="2">
        <v>18</v>
      </c>
      <c r="C193" t="s">
        <v>23</v>
      </c>
      <c r="D193" t="s">
        <v>28</v>
      </c>
      <c r="E193" t="s">
        <v>29</v>
      </c>
      <c r="F193" s="3">
        <v>45767</v>
      </c>
      <c r="G193" s="3">
        <v>45978</v>
      </c>
      <c r="H193" s="2">
        <v>21</v>
      </c>
      <c r="I193" s="1">
        <v>4558.47</v>
      </c>
      <c r="J193" s="1">
        <v>217.07</v>
      </c>
      <c r="K193" t="s">
        <v>19</v>
      </c>
      <c r="L193" t="s">
        <v>26</v>
      </c>
      <c r="M193" s="2">
        <v>5</v>
      </c>
      <c r="N193" t="s">
        <v>21</v>
      </c>
    </row>
    <row r="194" spans="1:14" x14ac:dyDescent="0.3">
      <c r="A194" t="s">
        <v>230</v>
      </c>
      <c r="B194" s="2">
        <v>20</v>
      </c>
      <c r="C194" t="s">
        <v>16</v>
      </c>
      <c r="D194" t="s">
        <v>17</v>
      </c>
      <c r="E194" t="s">
        <v>18</v>
      </c>
      <c r="F194" s="3">
        <v>45438</v>
      </c>
      <c r="G194" s="3">
        <v>45704</v>
      </c>
      <c r="H194" s="2">
        <v>19</v>
      </c>
      <c r="I194" s="1">
        <v>4555.4399999999996</v>
      </c>
      <c r="J194" s="1">
        <v>239.76</v>
      </c>
      <c r="K194" t="s">
        <v>45</v>
      </c>
      <c r="L194" t="s">
        <v>20</v>
      </c>
      <c r="M194" s="2">
        <v>9</v>
      </c>
      <c r="N194" t="s">
        <v>21</v>
      </c>
    </row>
    <row r="195" spans="1:14" x14ac:dyDescent="0.3">
      <c r="A195" t="s">
        <v>231</v>
      </c>
      <c r="B195" s="2">
        <v>47</v>
      </c>
      <c r="C195" t="s">
        <v>16</v>
      </c>
      <c r="D195" t="s">
        <v>44</v>
      </c>
      <c r="E195" t="s">
        <v>18</v>
      </c>
      <c r="F195" s="3">
        <v>45915</v>
      </c>
      <c r="G195" s="3">
        <v>46103</v>
      </c>
      <c r="H195" s="2">
        <v>19</v>
      </c>
      <c r="I195" s="1">
        <v>4546.32</v>
      </c>
      <c r="J195" s="1">
        <v>239.28</v>
      </c>
      <c r="K195" t="s">
        <v>25</v>
      </c>
      <c r="L195" t="s">
        <v>30</v>
      </c>
      <c r="M195" s="2">
        <v>10</v>
      </c>
      <c r="N195" t="s">
        <v>21</v>
      </c>
    </row>
    <row r="196" spans="1:14" x14ac:dyDescent="0.3">
      <c r="A196" t="s">
        <v>232</v>
      </c>
      <c r="B196" s="2">
        <v>59</v>
      </c>
      <c r="C196" t="s">
        <v>16</v>
      </c>
      <c r="D196" t="s">
        <v>44</v>
      </c>
      <c r="E196" t="s">
        <v>18</v>
      </c>
      <c r="F196" s="3">
        <v>45587</v>
      </c>
      <c r="G196" s="3">
        <v>45588</v>
      </c>
      <c r="H196" s="2">
        <v>18</v>
      </c>
      <c r="I196" s="1">
        <v>4542.4799999999996</v>
      </c>
      <c r="J196" s="1">
        <v>252.36</v>
      </c>
      <c r="K196" t="s">
        <v>35</v>
      </c>
      <c r="L196" t="s">
        <v>20</v>
      </c>
      <c r="M196" s="2">
        <v>7</v>
      </c>
      <c r="N196" t="s">
        <v>21</v>
      </c>
    </row>
    <row r="197" spans="1:14" x14ac:dyDescent="0.3">
      <c r="A197" t="s">
        <v>233</v>
      </c>
      <c r="B197" s="2">
        <v>63</v>
      </c>
      <c r="C197" t="s">
        <v>16</v>
      </c>
      <c r="D197" t="s">
        <v>17</v>
      </c>
      <c r="E197" t="s">
        <v>18</v>
      </c>
      <c r="F197" s="3">
        <v>45981</v>
      </c>
      <c r="G197" s="3">
        <v>46253</v>
      </c>
      <c r="H197" s="2">
        <v>25</v>
      </c>
      <c r="I197" s="1">
        <v>4540.25</v>
      </c>
      <c r="J197" s="1">
        <v>181.61</v>
      </c>
      <c r="K197" t="s">
        <v>19</v>
      </c>
      <c r="L197" t="s">
        <v>20</v>
      </c>
      <c r="M197" s="2">
        <v>6</v>
      </c>
      <c r="N197" t="s">
        <v>21</v>
      </c>
    </row>
    <row r="198" spans="1:14" x14ac:dyDescent="0.3">
      <c r="A198" t="s">
        <v>234</v>
      </c>
      <c r="B198" s="2">
        <v>60</v>
      </c>
      <c r="C198" t="s">
        <v>23</v>
      </c>
      <c r="D198" t="s">
        <v>24</v>
      </c>
      <c r="E198" t="s">
        <v>18</v>
      </c>
      <c r="F198" s="3">
        <v>45348</v>
      </c>
      <c r="G198" s="3">
        <v>45429</v>
      </c>
      <c r="H198" s="2">
        <v>22</v>
      </c>
      <c r="I198" s="1">
        <v>4538.6000000000004</v>
      </c>
      <c r="J198" s="1">
        <v>206.3</v>
      </c>
      <c r="K198" t="s">
        <v>25</v>
      </c>
      <c r="L198" t="s">
        <v>26</v>
      </c>
      <c r="M198" s="2">
        <v>10</v>
      </c>
      <c r="N198" t="s">
        <v>31</v>
      </c>
    </row>
    <row r="199" spans="1:14" x14ac:dyDescent="0.3">
      <c r="A199" t="s">
        <v>235</v>
      </c>
      <c r="B199" s="2">
        <v>56</v>
      </c>
      <c r="C199" t="s">
        <v>16</v>
      </c>
      <c r="D199" t="s">
        <v>42</v>
      </c>
      <c r="E199" t="s">
        <v>38</v>
      </c>
      <c r="F199" s="3">
        <v>45912</v>
      </c>
      <c r="G199" s="3">
        <v>46076</v>
      </c>
      <c r="H199" s="2">
        <v>17</v>
      </c>
      <c r="I199" s="1">
        <v>4535.43</v>
      </c>
      <c r="J199" s="1">
        <v>266.79000000000002</v>
      </c>
      <c r="K199" t="s">
        <v>45</v>
      </c>
      <c r="L199" t="s">
        <v>26</v>
      </c>
      <c r="M199" s="2">
        <v>8</v>
      </c>
      <c r="N199" t="s">
        <v>21</v>
      </c>
    </row>
    <row r="200" spans="1:14" x14ac:dyDescent="0.3">
      <c r="A200" t="s">
        <v>236</v>
      </c>
      <c r="B200" s="2">
        <v>46</v>
      </c>
      <c r="C200" t="s">
        <v>16</v>
      </c>
      <c r="D200" t="s">
        <v>61</v>
      </c>
      <c r="E200" t="s">
        <v>38</v>
      </c>
      <c r="F200" s="3">
        <v>45582</v>
      </c>
      <c r="G200" s="3">
        <v>45815</v>
      </c>
      <c r="H200" s="2">
        <v>20</v>
      </c>
      <c r="I200" s="1">
        <v>4522.6000000000004</v>
      </c>
      <c r="J200" s="1">
        <v>226.13</v>
      </c>
      <c r="K200" t="s">
        <v>45</v>
      </c>
      <c r="L200" t="s">
        <v>26</v>
      </c>
      <c r="M200" s="2">
        <v>4</v>
      </c>
      <c r="N200" t="s">
        <v>21</v>
      </c>
    </row>
    <row r="201" spans="1:14" x14ac:dyDescent="0.3">
      <c r="A201" t="s">
        <v>237</v>
      </c>
      <c r="B201" s="2">
        <v>32</v>
      </c>
      <c r="C201" t="s">
        <v>16</v>
      </c>
      <c r="D201" t="s">
        <v>50</v>
      </c>
      <c r="E201" t="s">
        <v>34</v>
      </c>
      <c r="F201" s="3">
        <v>45723</v>
      </c>
      <c r="G201" s="3">
        <v>45992</v>
      </c>
      <c r="H201" s="2">
        <v>19</v>
      </c>
      <c r="I201" s="1">
        <v>4511.55</v>
      </c>
      <c r="J201" s="1">
        <v>237.45</v>
      </c>
      <c r="K201" t="s">
        <v>39</v>
      </c>
      <c r="L201" t="s">
        <v>30</v>
      </c>
      <c r="M201" s="2">
        <v>1</v>
      </c>
      <c r="N201" t="s">
        <v>21</v>
      </c>
    </row>
    <row r="202" spans="1:14" x14ac:dyDescent="0.3">
      <c r="A202" t="s">
        <v>238</v>
      </c>
      <c r="B202" s="2">
        <v>64</v>
      </c>
      <c r="C202" t="s">
        <v>23</v>
      </c>
      <c r="D202" t="s">
        <v>61</v>
      </c>
      <c r="E202" t="s">
        <v>29</v>
      </c>
      <c r="F202" s="3">
        <v>45848</v>
      </c>
      <c r="G202" s="3">
        <v>46035</v>
      </c>
      <c r="H202" s="2">
        <v>18</v>
      </c>
      <c r="I202" s="1">
        <v>4505.9400000000014</v>
      </c>
      <c r="J202" s="1">
        <v>250.33</v>
      </c>
      <c r="K202" t="s">
        <v>35</v>
      </c>
      <c r="L202" t="s">
        <v>30</v>
      </c>
      <c r="M202" s="2">
        <v>4</v>
      </c>
      <c r="N202" t="s">
        <v>31</v>
      </c>
    </row>
    <row r="203" spans="1:14" x14ac:dyDescent="0.3">
      <c r="A203" t="s">
        <v>239</v>
      </c>
      <c r="B203" s="2">
        <v>42</v>
      </c>
      <c r="C203" t="s">
        <v>23</v>
      </c>
      <c r="D203" t="s">
        <v>44</v>
      </c>
      <c r="E203" t="s">
        <v>38</v>
      </c>
      <c r="F203" s="3">
        <v>45319</v>
      </c>
      <c r="G203" s="3">
        <v>45356</v>
      </c>
      <c r="H203" s="2">
        <v>21</v>
      </c>
      <c r="I203" s="1">
        <v>4503.66</v>
      </c>
      <c r="J203" s="1">
        <v>214.46</v>
      </c>
      <c r="K203" t="s">
        <v>25</v>
      </c>
      <c r="L203" t="s">
        <v>26</v>
      </c>
      <c r="M203" s="2">
        <v>1</v>
      </c>
      <c r="N203" t="s">
        <v>21</v>
      </c>
    </row>
    <row r="204" spans="1:14" x14ac:dyDescent="0.3">
      <c r="A204" t="s">
        <v>240</v>
      </c>
      <c r="B204" s="2">
        <v>45</v>
      </c>
      <c r="C204" t="s">
        <v>23</v>
      </c>
      <c r="D204" t="s">
        <v>50</v>
      </c>
      <c r="E204" t="s">
        <v>38</v>
      </c>
      <c r="F204" s="3">
        <v>45366</v>
      </c>
      <c r="G204" s="3">
        <v>45433</v>
      </c>
      <c r="H204" s="2">
        <v>17</v>
      </c>
      <c r="I204" s="1">
        <v>4466.41</v>
      </c>
      <c r="J204" s="1">
        <v>262.73</v>
      </c>
      <c r="K204" t="s">
        <v>19</v>
      </c>
      <c r="L204" t="s">
        <v>30</v>
      </c>
      <c r="M204" s="2">
        <v>5</v>
      </c>
      <c r="N204" t="s">
        <v>21</v>
      </c>
    </row>
    <row r="205" spans="1:14" x14ac:dyDescent="0.3">
      <c r="A205" t="s">
        <v>241</v>
      </c>
      <c r="B205" s="2">
        <v>23</v>
      </c>
      <c r="C205" t="s">
        <v>16</v>
      </c>
      <c r="D205" t="s">
        <v>42</v>
      </c>
      <c r="E205" t="s">
        <v>18</v>
      </c>
      <c r="F205" s="3">
        <v>45820</v>
      </c>
      <c r="G205" s="3">
        <v>46086</v>
      </c>
      <c r="H205" s="2">
        <v>19</v>
      </c>
      <c r="I205" s="1">
        <v>4466.33</v>
      </c>
      <c r="J205" s="1">
        <v>235.07</v>
      </c>
      <c r="K205" t="s">
        <v>35</v>
      </c>
      <c r="L205" t="s">
        <v>30</v>
      </c>
      <c r="M205" s="2">
        <v>1</v>
      </c>
      <c r="N205" t="s">
        <v>21</v>
      </c>
    </row>
    <row r="206" spans="1:14" x14ac:dyDescent="0.3">
      <c r="A206" t="s">
        <v>242</v>
      </c>
      <c r="B206" s="2">
        <v>24</v>
      </c>
      <c r="C206" t="s">
        <v>16</v>
      </c>
      <c r="D206" t="s">
        <v>28</v>
      </c>
      <c r="E206" t="s">
        <v>18</v>
      </c>
      <c r="F206" s="3">
        <v>45941</v>
      </c>
      <c r="G206" s="3">
        <v>46086</v>
      </c>
      <c r="H206" s="2">
        <v>23</v>
      </c>
      <c r="I206" s="1">
        <v>4455.33</v>
      </c>
      <c r="J206" s="1">
        <v>193.71</v>
      </c>
      <c r="K206" t="s">
        <v>39</v>
      </c>
      <c r="L206" t="s">
        <v>20</v>
      </c>
      <c r="M206" s="2">
        <v>1</v>
      </c>
      <c r="N206" t="s">
        <v>21</v>
      </c>
    </row>
    <row r="207" spans="1:14" x14ac:dyDescent="0.3">
      <c r="A207" t="s">
        <v>243</v>
      </c>
      <c r="B207" s="2">
        <v>23</v>
      </c>
      <c r="C207" t="s">
        <v>16</v>
      </c>
      <c r="D207" t="s">
        <v>61</v>
      </c>
      <c r="E207" t="s">
        <v>38</v>
      </c>
      <c r="F207" s="3">
        <v>45506</v>
      </c>
      <c r="G207" s="3">
        <v>45592</v>
      </c>
      <c r="H207" s="2">
        <v>19</v>
      </c>
      <c r="I207" s="1">
        <v>4447.1400000000003</v>
      </c>
      <c r="J207" s="1">
        <v>234.06</v>
      </c>
      <c r="K207" t="s">
        <v>35</v>
      </c>
      <c r="L207" t="s">
        <v>26</v>
      </c>
      <c r="M207" s="2">
        <v>7</v>
      </c>
      <c r="N207" t="s">
        <v>21</v>
      </c>
    </row>
    <row r="208" spans="1:14" x14ac:dyDescent="0.3">
      <c r="A208" t="s">
        <v>244</v>
      </c>
      <c r="B208" s="2">
        <v>29</v>
      </c>
      <c r="C208" t="s">
        <v>23</v>
      </c>
      <c r="D208" t="s">
        <v>44</v>
      </c>
      <c r="E208" t="s">
        <v>34</v>
      </c>
      <c r="F208" s="3">
        <v>45572</v>
      </c>
      <c r="G208" s="3">
        <v>45850</v>
      </c>
      <c r="H208" s="2">
        <v>15</v>
      </c>
      <c r="I208" s="1">
        <v>4446.75</v>
      </c>
      <c r="J208" s="1">
        <v>296.45</v>
      </c>
      <c r="K208" t="s">
        <v>45</v>
      </c>
      <c r="L208" t="s">
        <v>26</v>
      </c>
      <c r="M208" s="2">
        <v>10</v>
      </c>
      <c r="N208" t="s">
        <v>21</v>
      </c>
    </row>
    <row r="209" spans="1:14" x14ac:dyDescent="0.3">
      <c r="A209" t="s">
        <v>245</v>
      </c>
      <c r="B209" s="2">
        <v>40</v>
      </c>
      <c r="C209" t="s">
        <v>23</v>
      </c>
      <c r="D209" t="s">
        <v>17</v>
      </c>
      <c r="E209" t="s">
        <v>38</v>
      </c>
      <c r="F209" s="3">
        <v>45927</v>
      </c>
      <c r="G209" s="3">
        <v>46213</v>
      </c>
      <c r="H209" s="2">
        <v>19</v>
      </c>
      <c r="I209" s="1">
        <v>4441.63</v>
      </c>
      <c r="J209" s="1">
        <v>233.77</v>
      </c>
      <c r="K209" t="s">
        <v>25</v>
      </c>
      <c r="L209" t="s">
        <v>26</v>
      </c>
      <c r="M209" s="2">
        <v>6</v>
      </c>
      <c r="N209" t="s">
        <v>21</v>
      </c>
    </row>
    <row r="210" spans="1:14" x14ac:dyDescent="0.3">
      <c r="A210" t="s">
        <v>246</v>
      </c>
      <c r="B210" s="2">
        <v>64</v>
      </c>
      <c r="C210" t="s">
        <v>23</v>
      </c>
      <c r="D210" t="s">
        <v>24</v>
      </c>
      <c r="E210" t="s">
        <v>18</v>
      </c>
      <c r="F210" s="3">
        <v>45645</v>
      </c>
      <c r="G210" s="3">
        <v>45879</v>
      </c>
      <c r="H210" s="2">
        <v>23</v>
      </c>
      <c r="I210" s="1">
        <v>4435.09</v>
      </c>
      <c r="J210" s="1">
        <v>192.83</v>
      </c>
      <c r="K210" t="s">
        <v>45</v>
      </c>
      <c r="L210" t="s">
        <v>26</v>
      </c>
      <c r="M210" s="2">
        <v>1</v>
      </c>
      <c r="N210" t="s">
        <v>21</v>
      </c>
    </row>
    <row r="211" spans="1:14" x14ac:dyDescent="0.3">
      <c r="A211" t="s">
        <v>247</v>
      </c>
      <c r="B211" s="2">
        <v>33</v>
      </c>
      <c r="C211" t="s">
        <v>16</v>
      </c>
      <c r="D211" t="s">
        <v>50</v>
      </c>
      <c r="E211" t="s">
        <v>34</v>
      </c>
      <c r="F211" s="3">
        <v>45406</v>
      </c>
      <c r="G211" s="3">
        <v>45578</v>
      </c>
      <c r="H211" s="2">
        <v>20</v>
      </c>
      <c r="I211" s="1">
        <v>4429.5999999999995</v>
      </c>
      <c r="J211" s="1">
        <v>221.48</v>
      </c>
      <c r="K211" t="s">
        <v>19</v>
      </c>
      <c r="L211" t="s">
        <v>26</v>
      </c>
      <c r="M211" s="2">
        <v>4</v>
      </c>
      <c r="N211" t="s">
        <v>21</v>
      </c>
    </row>
    <row r="212" spans="1:14" x14ac:dyDescent="0.3">
      <c r="A212" t="s">
        <v>248</v>
      </c>
      <c r="B212" s="2">
        <v>31</v>
      </c>
      <c r="C212" t="s">
        <v>23</v>
      </c>
      <c r="D212" t="s">
        <v>44</v>
      </c>
      <c r="E212" t="s">
        <v>18</v>
      </c>
      <c r="F212" s="3">
        <v>45417</v>
      </c>
      <c r="G212" s="3">
        <v>45699</v>
      </c>
      <c r="H212" s="2">
        <v>24</v>
      </c>
      <c r="I212" s="1">
        <v>4429.2000000000007</v>
      </c>
      <c r="J212" s="1">
        <v>184.55</v>
      </c>
      <c r="K212" t="s">
        <v>45</v>
      </c>
      <c r="L212" t="s">
        <v>30</v>
      </c>
      <c r="M212" s="2">
        <v>7</v>
      </c>
      <c r="N212" t="s">
        <v>21</v>
      </c>
    </row>
    <row r="213" spans="1:14" x14ac:dyDescent="0.3">
      <c r="A213" t="s">
        <v>249</v>
      </c>
      <c r="B213" s="2">
        <v>22</v>
      </c>
      <c r="C213" t="s">
        <v>16</v>
      </c>
      <c r="D213" t="s">
        <v>61</v>
      </c>
      <c r="E213" t="s">
        <v>18</v>
      </c>
      <c r="F213" s="3">
        <v>45538</v>
      </c>
      <c r="G213" s="3">
        <v>45563</v>
      </c>
      <c r="H213" s="2">
        <v>17</v>
      </c>
      <c r="I213" s="1">
        <v>4425.4399999999996</v>
      </c>
      <c r="J213" s="1">
        <v>260.32</v>
      </c>
      <c r="K213" t="s">
        <v>45</v>
      </c>
      <c r="L213" t="s">
        <v>20</v>
      </c>
      <c r="M213" s="2">
        <v>9</v>
      </c>
      <c r="N213" t="s">
        <v>21</v>
      </c>
    </row>
    <row r="214" spans="1:14" x14ac:dyDescent="0.3">
      <c r="A214" t="s">
        <v>250</v>
      </c>
      <c r="B214" s="2">
        <v>62</v>
      </c>
      <c r="C214" t="s">
        <v>23</v>
      </c>
      <c r="D214" t="s">
        <v>24</v>
      </c>
      <c r="E214" t="s">
        <v>18</v>
      </c>
      <c r="F214" s="3">
        <v>45455</v>
      </c>
      <c r="G214" s="3">
        <v>45503</v>
      </c>
      <c r="H214" s="2">
        <v>25</v>
      </c>
      <c r="I214" s="1">
        <v>4420</v>
      </c>
      <c r="J214" s="1">
        <v>176.8</v>
      </c>
      <c r="K214" t="s">
        <v>35</v>
      </c>
      <c r="L214" t="s">
        <v>30</v>
      </c>
      <c r="M214" s="2">
        <v>3</v>
      </c>
      <c r="N214" t="s">
        <v>31</v>
      </c>
    </row>
    <row r="215" spans="1:14" x14ac:dyDescent="0.3">
      <c r="A215" t="s">
        <v>251</v>
      </c>
      <c r="B215" s="2">
        <v>46</v>
      </c>
      <c r="C215" t="s">
        <v>23</v>
      </c>
      <c r="D215" t="s">
        <v>17</v>
      </c>
      <c r="E215" t="s">
        <v>18</v>
      </c>
      <c r="F215" s="3">
        <v>45605</v>
      </c>
      <c r="G215" s="3">
        <v>45833</v>
      </c>
      <c r="H215" s="2">
        <v>20</v>
      </c>
      <c r="I215" s="1">
        <v>4419</v>
      </c>
      <c r="J215" s="1">
        <v>220.95</v>
      </c>
      <c r="K215" t="s">
        <v>45</v>
      </c>
      <c r="L215" t="s">
        <v>20</v>
      </c>
      <c r="M215" s="2">
        <v>7</v>
      </c>
      <c r="N215" t="s">
        <v>31</v>
      </c>
    </row>
    <row r="216" spans="1:14" x14ac:dyDescent="0.3">
      <c r="A216" t="s">
        <v>252</v>
      </c>
      <c r="B216" s="2">
        <v>22</v>
      </c>
      <c r="C216" t="s">
        <v>16</v>
      </c>
      <c r="D216" t="s">
        <v>17</v>
      </c>
      <c r="E216" t="s">
        <v>18</v>
      </c>
      <c r="F216" s="3">
        <v>45697</v>
      </c>
      <c r="G216" s="3">
        <v>45764</v>
      </c>
      <c r="H216" s="2">
        <v>22</v>
      </c>
      <c r="I216" s="1">
        <v>4416.2800000000007</v>
      </c>
      <c r="J216" s="1">
        <v>200.74</v>
      </c>
      <c r="K216" t="s">
        <v>39</v>
      </c>
      <c r="L216" t="s">
        <v>20</v>
      </c>
      <c r="M216" s="2">
        <v>4</v>
      </c>
      <c r="N216" t="s">
        <v>21</v>
      </c>
    </row>
    <row r="217" spans="1:14" x14ac:dyDescent="0.3">
      <c r="A217" t="s">
        <v>253</v>
      </c>
      <c r="B217" s="2">
        <v>58</v>
      </c>
      <c r="C217" t="s">
        <v>23</v>
      </c>
      <c r="D217" t="s">
        <v>17</v>
      </c>
      <c r="E217" t="s">
        <v>18</v>
      </c>
      <c r="F217" s="3">
        <v>45667</v>
      </c>
      <c r="G217" s="3">
        <v>45845</v>
      </c>
      <c r="H217" s="2">
        <v>24</v>
      </c>
      <c r="I217" s="1">
        <v>4404.24</v>
      </c>
      <c r="J217" s="1">
        <v>183.51</v>
      </c>
      <c r="K217" t="s">
        <v>35</v>
      </c>
      <c r="L217" t="s">
        <v>26</v>
      </c>
      <c r="M217" s="2">
        <v>6</v>
      </c>
      <c r="N217" t="s">
        <v>21</v>
      </c>
    </row>
    <row r="218" spans="1:14" x14ac:dyDescent="0.3">
      <c r="A218" t="s">
        <v>254</v>
      </c>
      <c r="B218" s="2">
        <v>61</v>
      </c>
      <c r="C218" t="s">
        <v>16</v>
      </c>
      <c r="D218" t="s">
        <v>44</v>
      </c>
      <c r="E218" t="s">
        <v>29</v>
      </c>
      <c r="F218" s="3">
        <v>45497</v>
      </c>
      <c r="G218" s="3">
        <v>45604</v>
      </c>
      <c r="H218" s="2">
        <v>20</v>
      </c>
      <c r="I218" s="1">
        <v>4400.6000000000004</v>
      </c>
      <c r="J218" s="1">
        <v>220.03</v>
      </c>
      <c r="K218" t="s">
        <v>19</v>
      </c>
      <c r="L218" t="s">
        <v>20</v>
      </c>
      <c r="M218" s="2">
        <v>6</v>
      </c>
      <c r="N218" t="s">
        <v>21</v>
      </c>
    </row>
    <row r="219" spans="1:14" x14ac:dyDescent="0.3">
      <c r="A219" t="s">
        <v>255</v>
      </c>
      <c r="B219" s="2">
        <v>35</v>
      </c>
      <c r="C219" t="s">
        <v>23</v>
      </c>
      <c r="D219" t="s">
        <v>50</v>
      </c>
      <c r="E219" t="s">
        <v>29</v>
      </c>
      <c r="F219" s="3">
        <v>45625</v>
      </c>
      <c r="G219" s="3">
        <v>45868</v>
      </c>
      <c r="H219" s="2">
        <v>15</v>
      </c>
      <c r="I219" s="1">
        <v>4394.8500000000004</v>
      </c>
      <c r="J219" s="1">
        <v>292.99</v>
      </c>
      <c r="K219" t="s">
        <v>19</v>
      </c>
      <c r="L219" t="s">
        <v>20</v>
      </c>
      <c r="M219" s="2">
        <v>8</v>
      </c>
      <c r="N219" t="s">
        <v>21</v>
      </c>
    </row>
    <row r="220" spans="1:14" x14ac:dyDescent="0.3">
      <c r="A220" t="s">
        <v>256</v>
      </c>
      <c r="B220" s="2">
        <v>30</v>
      </c>
      <c r="C220" t="s">
        <v>16</v>
      </c>
      <c r="D220" t="s">
        <v>44</v>
      </c>
      <c r="E220" t="s">
        <v>34</v>
      </c>
      <c r="F220" s="3">
        <v>45397</v>
      </c>
      <c r="G220" s="3">
        <v>45403</v>
      </c>
      <c r="H220" s="2">
        <v>20</v>
      </c>
      <c r="I220" s="1">
        <v>4394.3999999999996</v>
      </c>
      <c r="J220" s="1">
        <v>219.72</v>
      </c>
      <c r="K220" t="s">
        <v>45</v>
      </c>
      <c r="L220" t="s">
        <v>26</v>
      </c>
      <c r="M220" s="2">
        <v>8</v>
      </c>
      <c r="N220" t="s">
        <v>21</v>
      </c>
    </row>
    <row r="221" spans="1:14" x14ac:dyDescent="0.3">
      <c r="A221" t="s">
        <v>257</v>
      </c>
      <c r="B221" s="2">
        <v>24</v>
      </c>
      <c r="C221" t="s">
        <v>23</v>
      </c>
      <c r="D221" t="s">
        <v>28</v>
      </c>
      <c r="E221" t="s">
        <v>29</v>
      </c>
      <c r="F221" s="3">
        <v>45309</v>
      </c>
      <c r="G221" s="3">
        <v>45409</v>
      </c>
      <c r="H221" s="2">
        <v>20</v>
      </c>
      <c r="I221" s="1">
        <v>4390.2</v>
      </c>
      <c r="J221" s="1">
        <v>219.51</v>
      </c>
      <c r="K221" t="s">
        <v>19</v>
      </c>
      <c r="L221" t="s">
        <v>30</v>
      </c>
      <c r="M221" s="2">
        <v>8</v>
      </c>
      <c r="N221" t="s">
        <v>31</v>
      </c>
    </row>
    <row r="222" spans="1:14" x14ac:dyDescent="0.3">
      <c r="A222" t="s">
        <v>258</v>
      </c>
      <c r="B222" s="2">
        <v>60</v>
      </c>
      <c r="C222" t="s">
        <v>16</v>
      </c>
      <c r="D222" t="s">
        <v>24</v>
      </c>
      <c r="E222" t="s">
        <v>34</v>
      </c>
      <c r="F222" s="3">
        <v>45632</v>
      </c>
      <c r="G222" s="3">
        <v>45752</v>
      </c>
      <c r="H222" s="2">
        <v>16</v>
      </c>
      <c r="I222" s="1">
        <v>4388.8</v>
      </c>
      <c r="J222" s="1">
        <v>274.3</v>
      </c>
      <c r="K222" t="s">
        <v>19</v>
      </c>
      <c r="L222" t="s">
        <v>20</v>
      </c>
      <c r="M222" s="2">
        <v>7</v>
      </c>
      <c r="N222" t="s">
        <v>21</v>
      </c>
    </row>
    <row r="223" spans="1:14" x14ac:dyDescent="0.3">
      <c r="A223" t="s">
        <v>259</v>
      </c>
      <c r="B223" s="2">
        <v>52</v>
      </c>
      <c r="C223" t="s">
        <v>16</v>
      </c>
      <c r="D223" t="s">
        <v>28</v>
      </c>
      <c r="E223" t="s">
        <v>38</v>
      </c>
      <c r="F223" s="3">
        <v>45556</v>
      </c>
      <c r="G223" s="3">
        <v>45831</v>
      </c>
      <c r="H223" s="2">
        <v>19</v>
      </c>
      <c r="I223" s="1">
        <v>4385.96</v>
      </c>
      <c r="J223" s="1">
        <v>230.84</v>
      </c>
      <c r="K223" t="s">
        <v>35</v>
      </c>
      <c r="L223" t="s">
        <v>20</v>
      </c>
      <c r="M223" s="2">
        <v>3</v>
      </c>
      <c r="N223" t="s">
        <v>21</v>
      </c>
    </row>
    <row r="224" spans="1:14" x14ac:dyDescent="0.3">
      <c r="A224" t="s">
        <v>260</v>
      </c>
      <c r="B224" s="2">
        <v>33</v>
      </c>
      <c r="C224" t="s">
        <v>16</v>
      </c>
      <c r="D224" t="s">
        <v>24</v>
      </c>
      <c r="E224" t="s">
        <v>29</v>
      </c>
      <c r="F224" s="3">
        <v>45792</v>
      </c>
      <c r="G224" s="3">
        <v>45801</v>
      </c>
      <c r="H224" s="2">
        <v>16</v>
      </c>
      <c r="I224" s="1">
        <v>4384.16</v>
      </c>
      <c r="J224" s="1">
        <v>274.01</v>
      </c>
      <c r="K224" t="s">
        <v>39</v>
      </c>
      <c r="L224" t="s">
        <v>26</v>
      </c>
      <c r="M224" s="2">
        <v>2</v>
      </c>
      <c r="N224" t="s">
        <v>21</v>
      </c>
    </row>
    <row r="225" spans="1:14" x14ac:dyDescent="0.3">
      <c r="A225" t="s">
        <v>261</v>
      </c>
      <c r="B225" s="2">
        <v>18</v>
      </c>
      <c r="C225" t="s">
        <v>16</v>
      </c>
      <c r="D225" t="s">
        <v>50</v>
      </c>
      <c r="E225" t="s">
        <v>29</v>
      </c>
      <c r="F225" s="3">
        <v>45804</v>
      </c>
      <c r="G225" s="3">
        <v>46012</v>
      </c>
      <c r="H225" s="2">
        <v>25</v>
      </c>
      <c r="I225" s="1">
        <v>4367.75</v>
      </c>
      <c r="J225" s="1">
        <v>174.71</v>
      </c>
      <c r="K225" t="s">
        <v>39</v>
      </c>
      <c r="L225" t="s">
        <v>30</v>
      </c>
      <c r="M225" s="2">
        <v>10</v>
      </c>
      <c r="N225" t="s">
        <v>21</v>
      </c>
    </row>
    <row r="226" spans="1:14" x14ac:dyDescent="0.3">
      <c r="A226" t="s">
        <v>262</v>
      </c>
      <c r="B226" s="2">
        <v>41</v>
      </c>
      <c r="C226" t="s">
        <v>16</v>
      </c>
      <c r="D226" t="s">
        <v>44</v>
      </c>
      <c r="E226" t="s">
        <v>38</v>
      </c>
      <c r="F226" s="3">
        <v>45743</v>
      </c>
      <c r="G226" s="3">
        <v>45930</v>
      </c>
      <c r="H226" s="2">
        <v>17</v>
      </c>
      <c r="I226" s="1">
        <v>4361.3500000000004</v>
      </c>
      <c r="J226" s="1">
        <v>256.55</v>
      </c>
      <c r="K226" t="s">
        <v>19</v>
      </c>
      <c r="L226" t="s">
        <v>26</v>
      </c>
      <c r="M226" s="2">
        <v>5</v>
      </c>
      <c r="N226" t="s">
        <v>21</v>
      </c>
    </row>
    <row r="227" spans="1:14" x14ac:dyDescent="0.3">
      <c r="A227" t="s">
        <v>263</v>
      </c>
      <c r="B227" s="2">
        <v>39</v>
      </c>
      <c r="C227" t="s">
        <v>16</v>
      </c>
      <c r="D227" t="s">
        <v>42</v>
      </c>
      <c r="E227" t="s">
        <v>18</v>
      </c>
      <c r="F227" s="3">
        <v>45803</v>
      </c>
      <c r="G227" s="3">
        <v>46076</v>
      </c>
      <c r="H227" s="2">
        <v>15</v>
      </c>
      <c r="I227" s="1">
        <v>4359.5999999999995</v>
      </c>
      <c r="J227" s="1">
        <v>290.64</v>
      </c>
      <c r="K227" t="s">
        <v>35</v>
      </c>
      <c r="L227" t="s">
        <v>30</v>
      </c>
      <c r="M227" s="2">
        <v>4</v>
      </c>
      <c r="N227" t="s">
        <v>31</v>
      </c>
    </row>
    <row r="228" spans="1:14" x14ac:dyDescent="0.3">
      <c r="A228" t="s">
        <v>264</v>
      </c>
      <c r="B228" s="2">
        <v>54</v>
      </c>
      <c r="C228" t="s">
        <v>23</v>
      </c>
      <c r="D228" t="s">
        <v>44</v>
      </c>
      <c r="E228" t="s">
        <v>29</v>
      </c>
      <c r="F228" s="3">
        <v>45837</v>
      </c>
      <c r="G228" s="3">
        <v>46071</v>
      </c>
      <c r="H228" s="2">
        <v>21</v>
      </c>
      <c r="I228" s="1">
        <v>4332.51</v>
      </c>
      <c r="J228" s="1">
        <v>206.31</v>
      </c>
      <c r="K228" t="s">
        <v>25</v>
      </c>
      <c r="L228" t="s">
        <v>30</v>
      </c>
      <c r="M228" s="2">
        <v>4</v>
      </c>
      <c r="N228" t="s">
        <v>21</v>
      </c>
    </row>
    <row r="229" spans="1:14" x14ac:dyDescent="0.3">
      <c r="A229" t="s">
        <v>265</v>
      </c>
      <c r="B229" s="2">
        <v>60</v>
      </c>
      <c r="C229" t="s">
        <v>23</v>
      </c>
      <c r="D229" t="s">
        <v>28</v>
      </c>
      <c r="E229" t="s">
        <v>29</v>
      </c>
      <c r="F229" s="3">
        <v>45853</v>
      </c>
      <c r="G229" s="3">
        <v>46022</v>
      </c>
      <c r="H229" s="2">
        <v>21</v>
      </c>
      <c r="I229" s="1">
        <v>4329.78</v>
      </c>
      <c r="J229" s="1">
        <v>206.18</v>
      </c>
      <c r="K229" t="s">
        <v>25</v>
      </c>
      <c r="L229" t="s">
        <v>30</v>
      </c>
      <c r="M229" s="2">
        <v>7</v>
      </c>
      <c r="N229" t="s">
        <v>21</v>
      </c>
    </row>
    <row r="230" spans="1:14" x14ac:dyDescent="0.3">
      <c r="A230" t="s">
        <v>266</v>
      </c>
      <c r="B230" s="2">
        <v>41</v>
      </c>
      <c r="C230" t="s">
        <v>16</v>
      </c>
      <c r="D230" t="s">
        <v>44</v>
      </c>
      <c r="E230" t="s">
        <v>18</v>
      </c>
      <c r="F230" s="3">
        <v>45323</v>
      </c>
      <c r="G230" s="3">
        <v>45448</v>
      </c>
      <c r="H230" s="2">
        <v>19</v>
      </c>
      <c r="I230" s="1">
        <v>4322.12</v>
      </c>
      <c r="J230" s="1">
        <v>227.48</v>
      </c>
      <c r="K230" t="s">
        <v>25</v>
      </c>
      <c r="L230" t="s">
        <v>26</v>
      </c>
      <c r="M230" s="2">
        <v>2</v>
      </c>
      <c r="N230" t="s">
        <v>21</v>
      </c>
    </row>
    <row r="231" spans="1:14" x14ac:dyDescent="0.3">
      <c r="A231" t="s">
        <v>267</v>
      </c>
      <c r="B231" s="2">
        <v>40</v>
      </c>
      <c r="C231" t="s">
        <v>23</v>
      </c>
      <c r="D231" t="s">
        <v>44</v>
      </c>
      <c r="E231" t="s">
        <v>29</v>
      </c>
      <c r="F231" s="3">
        <v>45410</v>
      </c>
      <c r="G231" s="3">
        <v>45500</v>
      </c>
      <c r="H231" s="2">
        <v>15</v>
      </c>
      <c r="I231" s="1">
        <v>4316.5499999999993</v>
      </c>
      <c r="J231" s="1">
        <v>287.77</v>
      </c>
      <c r="K231" t="s">
        <v>35</v>
      </c>
      <c r="L231" t="s">
        <v>26</v>
      </c>
      <c r="M231" s="2">
        <v>10</v>
      </c>
      <c r="N231" t="s">
        <v>21</v>
      </c>
    </row>
    <row r="232" spans="1:14" x14ac:dyDescent="0.3">
      <c r="A232" t="s">
        <v>268</v>
      </c>
      <c r="B232" s="2">
        <v>52</v>
      </c>
      <c r="C232" t="s">
        <v>16</v>
      </c>
      <c r="D232" t="s">
        <v>50</v>
      </c>
      <c r="E232" t="s">
        <v>29</v>
      </c>
      <c r="F232" s="3">
        <v>45770</v>
      </c>
      <c r="G232" s="3">
        <v>45856</v>
      </c>
      <c r="H232" s="2">
        <v>15</v>
      </c>
      <c r="I232" s="1">
        <v>4311.1500000000005</v>
      </c>
      <c r="J232" s="1">
        <v>287.41000000000003</v>
      </c>
      <c r="K232" t="s">
        <v>25</v>
      </c>
      <c r="L232" t="s">
        <v>20</v>
      </c>
      <c r="M232" s="2">
        <v>2</v>
      </c>
      <c r="N232" t="s">
        <v>21</v>
      </c>
    </row>
    <row r="233" spans="1:14" x14ac:dyDescent="0.3">
      <c r="A233" t="s">
        <v>269</v>
      </c>
      <c r="B233" s="2">
        <v>22</v>
      </c>
      <c r="C233" t="s">
        <v>16</v>
      </c>
      <c r="D233" t="s">
        <v>42</v>
      </c>
      <c r="E233" t="s">
        <v>34</v>
      </c>
      <c r="F233" s="3">
        <v>45690</v>
      </c>
      <c r="G233" s="3">
        <v>45695</v>
      </c>
      <c r="H233" s="2">
        <v>18</v>
      </c>
      <c r="I233" s="1">
        <v>4306.68</v>
      </c>
      <c r="J233" s="1">
        <v>239.26</v>
      </c>
      <c r="K233" t="s">
        <v>39</v>
      </c>
      <c r="L233" t="s">
        <v>30</v>
      </c>
      <c r="M233" s="2">
        <v>8</v>
      </c>
      <c r="N233" t="s">
        <v>21</v>
      </c>
    </row>
    <row r="234" spans="1:14" x14ac:dyDescent="0.3">
      <c r="A234" t="s">
        <v>270</v>
      </c>
      <c r="B234" s="2">
        <v>59</v>
      </c>
      <c r="C234" t="s">
        <v>23</v>
      </c>
      <c r="D234" t="s">
        <v>17</v>
      </c>
      <c r="E234" t="s">
        <v>29</v>
      </c>
      <c r="F234" s="3">
        <v>45924</v>
      </c>
      <c r="G234" s="3">
        <v>45939</v>
      </c>
      <c r="H234" s="2">
        <v>16</v>
      </c>
      <c r="I234" s="1">
        <v>4302.72</v>
      </c>
      <c r="J234" s="1">
        <v>268.92</v>
      </c>
      <c r="K234" t="s">
        <v>35</v>
      </c>
      <c r="L234" t="s">
        <v>26</v>
      </c>
      <c r="M234" s="2">
        <v>8</v>
      </c>
      <c r="N234" t="s">
        <v>21</v>
      </c>
    </row>
    <row r="235" spans="1:14" x14ac:dyDescent="0.3">
      <c r="A235" t="s">
        <v>271</v>
      </c>
      <c r="B235" s="2">
        <v>65</v>
      </c>
      <c r="C235" t="s">
        <v>16</v>
      </c>
      <c r="D235" t="s">
        <v>17</v>
      </c>
      <c r="E235" t="s">
        <v>29</v>
      </c>
      <c r="F235" s="3">
        <v>45612</v>
      </c>
      <c r="G235" s="3">
        <v>45780</v>
      </c>
      <c r="H235" s="2">
        <v>19</v>
      </c>
      <c r="I235" s="1">
        <v>4302.17</v>
      </c>
      <c r="J235" s="1">
        <v>226.43</v>
      </c>
      <c r="K235" t="s">
        <v>25</v>
      </c>
      <c r="L235" t="s">
        <v>30</v>
      </c>
      <c r="M235" s="2">
        <v>3</v>
      </c>
      <c r="N235" t="s">
        <v>21</v>
      </c>
    </row>
    <row r="236" spans="1:14" x14ac:dyDescent="0.3">
      <c r="A236" t="s">
        <v>272</v>
      </c>
      <c r="B236" s="2">
        <v>55</v>
      </c>
      <c r="C236" t="s">
        <v>16</v>
      </c>
      <c r="D236" t="s">
        <v>28</v>
      </c>
      <c r="E236" t="s">
        <v>38</v>
      </c>
      <c r="F236" s="3">
        <v>45612</v>
      </c>
      <c r="G236" s="3">
        <v>45806</v>
      </c>
      <c r="H236" s="2">
        <v>19</v>
      </c>
      <c r="I236" s="1">
        <v>4300.46</v>
      </c>
      <c r="J236" s="1">
        <v>226.34</v>
      </c>
      <c r="K236" t="s">
        <v>35</v>
      </c>
      <c r="L236" t="s">
        <v>26</v>
      </c>
      <c r="M236" s="2">
        <v>6</v>
      </c>
      <c r="N236" t="s">
        <v>21</v>
      </c>
    </row>
    <row r="237" spans="1:14" x14ac:dyDescent="0.3">
      <c r="A237" t="s">
        <v>273</v>
      </c>
      <c r="B237" s="2">
        <v>65</v>
      </c>
      <c r="C237" t="s">
        <v>23</v>
      </c>
      <c r="D237" t="s">
        <v>28</v>
      </c>
      <c r="E237" t="s">
        <v>18</v>
      </c>
      <c r="F237" s="3">
        <v>45792</v>
      </c>
      <c r="G237" s="3">
        <v>45946</v>
      </c>
      <c r="H237" s="2">
        <v>23</v>
      </c>
      <c r="I237" s="1">
        <v>4299.16</v>
      </c>
      <c r="J237" s="1">
        <v>186.92</v>
      </c>
      <c r="K237" t="s">
        <v>35</v>
      </c>
      <c r="L237" t="s">
        <v>20</v>
      </c>
      <c r="M237" s="2">
        <v>7</v>
      </c>
      <c r="N237" t="s">
        <v>31</v>
      </c>
    </row>
    <row r="238" spans="1:14" x14ac:dyDescent="0.3">
      <c r="A238" t="s">
        <v>274</v>
      </c>
      <c r="B238" s="2">
        <v>62</v>
      </c>
      <c r="C238" t="s">
        <v>23</v>
      </c>
      <c r="D238" t="s">
        <v>61</v>
      </c>
      <c r="E238" t="s">
        <v>34</v>
      </c>
      <c r="F238" s="3">
        <v>45693</v>
      </c>
      <c r="G238" s="3">
        <v>45784</v>
      </c>
      <c r="H238" s="2">
        <v>23</v>
      </c>
      <c r="I238" s="1">
        <v>4298.93</v>
      </c>
      <c r="J238" s="1">
        <v>186.91</v>
      </c>
      <c r="K238" t="s">
        <v>45</v>
      </c>
      <c r="L238" t="s">
        <v>26</v>
      </c>
      <c r="M238" s="2">
        <v>4</v>
      </c>
      <c r="N238" t="s">
        <v>21</v>
      </c>
    </row>
    <row r="239" spans="1:14" x14ac:dyDescent="0.3">
      <c r="A239" t="s">
        <v>275</v>
      </c>
      <c r="B239" s="2">
        <v>65</v>
      </c>
      <c r="C239" t="s">
        <v>23</v>
      </c>
      <c r="D239" t="s">
        <v>44</v>
      </c>
      <c r="E239" t="s">
        <v>18</v>
      </c>
      <c r="F239" s="3">
        <v>45969</v>
      </c>
      <c r="G239" s="3">
        <v>46043</v>
      </c>
      <c r="H239" s="2">
        <v>19</v>
      </c>
      <c r="I239" s="1">
        <v>4297.6099999999997</v>
      </c>
      <c r="J239" s="1">
        <v>226.19</v>
      </c>
      <c r="K239" t="s">
        <v>25</v>
      </c>
      <c r="L239" t="s">
        <v>30</v>
      </c>
      <c r="M239" s="2">
        <v>1</v>
      </c>
      <c r="N239" t="s">
        <v>21</v>
      </c>
    </row>
    <row r="240" spans="1:14" x14ac:dyDescent="0.3">
      <c r="A240" t="s">
        <v>276</v>
      </c>
      <c r="B240" s="2">
        <v>26</v>
      </c>
      <c r="C240" t="s">
        <v>23</v>
      </c>
      <c r="D240" t="s">
        <v>50</v>
      </c>
      <c r="E240" t="s">
        <v>29</v>
      </c>
      <c r="F240" s="3">
        <v>45645</v>
      </c>
      <c r="G240" s="3">
        <v>45894</v>
      </c>
      <c r="H240" s="2">
        <v>16</v>
      </c>
      <c r="I240" s="1">
        <v>4294.5600000000004</v>
      </c>
      <c r="J240" s="1">
        <v>268.41000000000003</v>
      </c>
      <c r="K240" t="s">
        <v>39</v>
      </c>
      <c r="L240" t="s">
        <v>20</v>
      </c>
      <c r="M240" s="2">
        <v>5</v>
      </c>
      <c r="N240" t="s">
        <v>31</v>
      </c>
    </row>
    <row r="241" spans="1:14" x14ac:dyDescent="0.3">
      <c r="A241" t="s">
        <v>277</v>
      </c>
      <c r="B241" s="2">
        <v>51</v>
      </c>
      <c r="C241" t="s">
        <v>23</v>
      </c>
      <c r="D241" t="s">
        <v>17</v>
      </c>
      <c r="E241" t="s">
        <v>18</v>
      </c>
      <c r="F241" s="3">
        <v>45533</v>
      </c>
      <c r="G241" s="3">
        <v>45590</v>
      </c>
      <c r="H241" s="2">
        <v>19</v>
      </c>
      <c r="I241" s="1">
        <v>4287.3500000000004</v>
      </c>
      <c r="J241" s="1">
        <v>225.65</v>
      </c>
      <c r="K241" t="s">
        <v>25</v>
      </c>
      <c r="L241" t="s">
        <v>20</v>
      </c>
      <c r="M241" s="2">
        <v>2</v>
      </c>
      <c r="N241" t="s">
        <v>21</v>
      </c>
    </row>
    <row r="242" spans="1:14" x14ac:dyDescent="0.3">
      <c r="A242" t="s">
        <v>278</v>
      </c>
      <c r="B242" s="2">
        <v>63</v>
      </c>
      <c r="C242" t="s">
        <v>23</v>
      </c>
      <c r="D242" t="s">
        <v>17</v>
      </c>
      <c r="E242" t="s">
        <v>18</v>
      </c>
      <c r="F242" s="3">
        <v>45598</v>
      </c>
      <c r="G242" s="3">
        <v>45770</v>
      </c>
      <c r="H242" s="2">
        <v>17</v>
      </c>
      <c r="I242" s="1">
        <v>4282.6399999999994</v>
      </c>
      <c r="J242" s="1">
        <v>251.92</v>
      </c>
      <c r="K242" t="s">
        <v>45</v>
      </c>
      <c r="L242" t="s">
        <v>26</v>
      </c>
      <c r="M242" s="2">
        <v>2</v>
      </c>
      <c r="N242" t="s">
        <v>21</v>
      </c>
    </row>
    <row r="243" spans="1:14" x14ac:dyDescent="0.3">
      <c r="A243" t="s">
        <v>279</v>
      </c>
      <c r="B243" s="2">
        <v>51</v>
      </c>
      <c r="C243" t="s">
        <v>16</v>
      </c>
      <c r="D243" t="s">
        <v>44</v>
      </c>
      <c r="E243" t="s">
        <v>34</v>
      </c>
      <c r="F243" s="3">
        <v>45395</v>
      </c>
      <c r="G243" s="3">
        <v>45654</v>
      </c>
      <c r="H243" s="2">
        <v>25</v>
      </c>
      <c r="I243" s="1">
        <v>4278.5</v>
      </c>
      <c r="J243" s="1">
        <v>171.14</v>
      </c>
      <c r="K243" t="s">
        <v>19</v>
      </c>
      <c r="L243" t="s">
        <v>30</v>
      </c>
      <c r="M243" s="2">
        <v>10</v>
      </c>
      <c r="N243" t="s">
        <v>21</v>
      </c>
    </row>
    <row r="244" spans="1:14" x14ac:dyDescent="0.3">
      <c r="A244" t="s">
        <v>280</v>
      </c>
      <c r="B244" s="2">
        <v>27</v>
      </c>
      <c r="C244" t="s">
        <v>23</v>
      </c>
      <c r="D244" t="s">
        <v>44</v>
      </c>
      <c r="E244" t="s">
        <v>34</v>
      </c>
      <c r="F244" s="3">
        <v>45522</v>
      </c>
      <c r="G244" s="3">
        <v>45580</v>
      </c>
      <c r="H244" s="2">
        <v>15</v>
      </c>
      <c r="I244" s="1">
        <v>4277.7</v>
      </c>
      <c r="J244" s="1">
        <v>285.18</v>
      </c>
      <c r="K244" t="s">
        <v>19</v>
      </c>
      <c r="L244" t="s">
        <v>20</v>
      </c>
      <c r="M244" s="2">
        <v>5</v>
      </c>
      <c r="N244" t="s">
        <v>21</v>
      </c>
    </row>
    <row r="245" spans="1:14" x14ac:dyDescent="0.3">
      <c r="A245" t="s">
        <v>281</v>
      </c>
      <c r="B245" s="2">
        <v>42</v>
      </c>
      <c r="C245" t="s">
        <v>16</v>
      </c>
      <c r="D245" t="s">
        <v>28</v>
      </c>
      <c r="E245" t="s">
        <v>38</v>
      </c>
      <c r="F245" s="3">
        <v>45462</v>
      </c>
      <c r="G245" s="3">
        <v>45673</v>
      </c>
      <c r="H245" s="2">
        <v>16</v>
      </c>
      <c r="I245" s="1">
        <v>4270.3999999999996</v>
      </c>
      <c r="J245" s="1">
        <v>266.89999999999998</v>
      </c>
      <c r="K245" t="s">
        <v>19</v>
      </c>
      <c r="L245" t="s">
        <v>20</v>
      </c>
      <c r="M245" s="2">
        <v>4</v>
      </c>
      <c r="N245" t="s">
        <v>21</v>
      </c>
    </row>
    <row r="246" spans="1:14" x14ac:dyDescent="0.3">
      <c r="A246" t="s">
        <v>282</v>
      </c>
      <c r="B246" s="2">
        <v>37</v>
      </c>
      <c r="C246" t="s">
        <v>23</v>
      </c>
      <c r="D246" t="s">
        <v>44</v>
      </c>
      <c r="E246" t="s">
        <v>34</v>
      </c>
      <c r="F246" s="3">
        <v>45453</v>
      </c>
      <c r="G246" s="3">
        <v>45490</v>
      </c>
      <c r="H246" s="2">
        <v>15</v>
      </c>
      <c r="I246" s="1">
        <v>4270.05</v>
      </c>
      <c r="J246" s="1">
        <v>284.67</v>
      </c>
      <c r="K246" t="s">
        <v>35</v>
      </c>
      <c r="L246" t="s">
        <v>26</v>
      </c>
      <c r="M246" s="2">
        <v>4</v>
      </c>
      <c r="N246" t="s">
        <v>21</v>
      </c>
    </row>
    <row r="247" spans="1:14" x14ac:dyDescent="0.3">
      <c r="A247" t="s">
        <v>283</v>
      </c>
      <c r="B247" s="2">
        <v>37</v>
      </c>
      <c r="C247" t="s">
        <v>23</v>
      </c>
      <c r="D247" t="s">
        <v>42</v>
      </c>
      <c r="E247" t="s">
        <v>34</v>
      </c>
      <c r="F247" s="3">
        <v>45610</v>
      </c>
      <c r="G247" s="3">
        <v>45908</v>
      </c>
      <c r="H247" s="2">
        <v>18</v>
      </c>
      <c r="I247" s="1">
        <v>4268.5200000000004</v>
      </c>
      <c r="J247" s="1">
        <v>237.14</v>
      </c>
      <c r="K247" t="s">
        <v>39</v>
      </c>
      <c r="L247" t="s">
        <v>20</v>
      </c>
      <c r="M247" s="2">
        <v>10</v>
      </c>
      <c r="N247" t="s">
        <v>31</v>
      </c>
    </row>
    <row r="248" spans="1:14" x14ac:dyDescent="0.3">
      <c r="A248" t="s">
        <v>284</v>
      </c>
      <c r="B248" s="2">
        <v>50</v>
      </c>
      <c r="C248" t="s">
        <v>23</v>
      </c>
      <c r="D248" t="s">
        <v>17</v>
      </c>
      <c r="E248" t="s">
        <v>18</v>
      </c>
      <c r="F248" s="3">
        <v>45581</v>
      </c>
      <c r="G248" s="3">
        <v>45593</v>
      </c>
      <c r="H248" s="2">
        <v>17</v>
      </c>
      <c r="I248" s="1">
        <v>4253.2299999999996</v>
      </c>
      <c r="J248" s="1">
        <v>250.19</v>
      </c>
      <c r="K248" t="s">
        <v>45</v>
      </c>
      <c r="L248" t="s">
        <v>20</v>
      </c>
      <c r="M248" s="2">
        <v>4</v>
      </c>
      <c r="N248" t="s">
        <v>21</v>
      </c>
    </row>
    <row r="249" spans="1:14" x14ac:dyDescent="0.3">
      <c r="A249" t="s">
        <v>285</v>
      </c>
      <c r="B249" s="2">
        <v>52</v>
      </c>
      <c r="C249" t="s">
        <v>16</v>
      </c>
      <c r="D249" t="s">
        <v>44</v>
      </c>
      <c r="E249" t="s">
        <v>29</v>
      </c>
      <c r="F249" s="3">
        <v>45961</v>
      </c>
      <c r="G249" s="3">
        <v>46228</v>
      </c>
      <c r="H249" s="2">
        <v>15</v>
      </c>
      <c r="I249" s="1">
        <v>4248.4500000000007</v>
      </c>
      <c r="J249" s="1">
        <v>283.23</v>
      </c>
      <c r="K249" t="s">
        <v>39</v>
      </c>
      <c r="L249" t="s">
        <v>30</v>
      </c>
      <c r="M249" s="2">
        <v>3</v>
      </c>
      <c r="N249" t="s">
        <v>21</v>
      </c>
    </row>
    <row r="250" spans="1:14" x14ac:dyDescent="0.3">
      <c r="A250" t="s">
        <v>286</v>
      </c>
      <c r="B250" s="2">
        <v>38</v>
      </c>
      <c r="C250" t="s">
        <v>23</v>
      </c>
      <c r="D250" t="s">
        <v>28</v>
      </c>
      <c r="E250" t="s">
        <v>34</v>
      </c>
      <c r="F250" s="3">
        <v>45456</v>
      </c>
      <c r="G250" s="3">
        <v>45563</v>
      </c>
      <c r="H250" s="2">
        <v>18</v>
      </c>
      <c r="I250" s="1">
        <v>4244.9400000000014</v>
      </c>
      <c r="J250" s="1">
        <v>235.83</v>
      </c>
      <c r="K250" t="s">
        <v>25</v>
      </c>
      <c r="L250" t="s">
        <v>26</v>
      </c>
      <c r="M250" s="2">
        <v>2</v>
      </c>
      <c r="N250" t="s">
        <v>21</v>
      </c>
    </row>
    <row r="251" spans="1:14" x14ac:dyDescent="0.3">
      <c r="A251" t="s">
        <v>287</v>
      </c>
      <c r="B251" s="2">
        <v>42</v>
      </c>
      <c r="C251" t="s">
        <v>23</v>
      </c>
      <c r="D251" t="s">
        <v>50</v>
      </c>
      <c r="E251" t="s">
        <v>34</v>
      </c>
      <c r="F251" s="3">
        <v>45319</v>
      </c>
      <c r="G251" s="3">
        <v>45414</v>
      </c>
      <c r="H251" s="2">
        <v>19</v>
      </c>
      <c r="I251" s="1">
        <v>4243.6499999999996</v>
      </c>
      <c r="J251" s="1">
        <v>223.35</v>
      </c>
      <c r="K251" t="s">
        <v>19</v>
      </c>
      <c r="L251" t="s">
        <v>26</v>
      </c>
      <c r="M251" s="2">
        <v>4</v>
      </c>
      <c r="N251" t="s">
        <v>21</v>
      </c>
    </row>
    <row r="252" spans="1:14" x14ac:dyDescent="0.3">
      <c r="A252" t="s">
        <v>288</v>
      </c>
      <c r="B252" s="2">
        <v>39</v>
      </c>
      <c r="C252" t="s">
        <v>16</v>
      </c>
      <c r="D252" t="s">
        <v>61</v>
      </c>
      <c r="E252" t="s">
        <v>38</v>
      </c>
      <c r="F252" s="3">
        <v>45449</v>
      </c>
      <c r="G252" s="3">
        <v>45640</v>
      </c>
      <c r="H252" s="2">
        <v>17</v>
      </c>
      <c r="I252" s="1">
        <v>4243.37</v>
      </c>
      <c r="J252" s="1">
        <v>249.61</v>
      </c>
      <c r="K252" t="s">
        <v>25</v>
      </c>
      <c r="L252" t="s">
        <v>20</v>
      </c>
      <c r="M252" s="2">
        <v>7</v>
      </c>
      <c r="N252" t="s">
        <v>21</v>
      </c>
    </row>
    <row r="253" spans="1:14" x14ac:dyDescent="0.3">
      <c r="A253" t="s">
        <v>289</v>
      </c>
      <c r="B253" s="2">
        <v>50</v>
      </c>
      <c r="C253" t="s">
        <v>23</v>
      </c>
      <c r="D253" t="s">
        <v>44</v>
      </c>
      <c r="E253" t="s">
        <v>29</v>
      </c>
      <c r="F253" s="3">
        <v>45669</v>
      </c>
      <c r="G253" s="3">
        <v>45900</v>
      </c>
      <c r="H253" s="2">
        <v>20</v>
      </c>
      <c r="I253" s="1">
        <v>4242.6000000000004</v>
      </c>
      <c r="J253" s="1">
        <v>212.13</v>
      </c>
      <c r="K253" t="s">
        <v>39</v>
      </c>
      <c r="L253" t="s">
        <v>20</v>
      </c>
      <c r="M253" s="2">
        <v>6</v>
      </c>
      <c r="N253" t="s">
        <v>21</v>
      </c>
    </row>
    <row r="254" spans="1:14" x14ac:dyDescent="0.3">
      <c r="A254" t="s">
        <v>290</v>
      </c>
      <c r="B254" s="2">
        <v>58</v>
      </c>
      <c r="C254" t="s">
        <v>16</v>
      </c>
      <c r="D254" t="s">
        <v>50</v>
      </c>
      <c r="E254" t="s">
        <v>29</v>
      </c>
      <c r="F254" s="3">
        <v>45989</v>
      </c>
      <c r="G254" s="3">
        <v>46213</v>
      </c>
      <c r="H254" s="2">
        <v>22</v>
      </c>
      <c r="I254" s="1">
        <v>4241.6000000000004</v>
      </c>
      <c r="J254" s="1">
        <v>192.8</v>
      </c>
      <c r="K254" t="s">
        <v>25</v>
      </c>
      <c r="L254" t="s">
        <v>30</v>
      </c>
      <c r="M254" s="2">
        <v>9</v>
      </c>
      <c r="N254" t="s">
        <v>21</v>
      </c>
    </row>
    <row r="255" spans="1:14" x14ac:dyDescent="0.3">
      <c r="A255" t="s">
        <v>291</v>
      </c>
      <c r="B255" s="2">
        <v>61</v>
      </c>
      <c r="C255" t="s">
        <v>23</v>
      </c>
      <c r="D255" t="s">
        <v>24</v>
      </c>
      <c r="E255" t="s">
        <v>38</v>
      </c>
      <c r="F255" s="3">
        <v>45392</v>
      </c>
      <c r="G255" s="3">
        <v>45608</v>
      </c>
      <c r="H255" s="2">
        <v>23</v>
      </c>
      <c r="I255" s="1">
        <v>4240.9699999999993</v>
      </c>
      <c r="J255" s="1">
        <v>184.39</v>
      </c>
      <c r="K255" t="s">
        <v>39</v>
      </c>
      <c r="L255" t="s">
        <v>26</v>
      </c>
      <c r="M255" s="2">
        <v>2</v>
      </c>
      <c r="N255" t="s">
        <v>21</v>
      </c>
    </row>
    <row r="256" spans="1:14" x14ac:dyDescent="0.3">
      <c r="A256" t="s">
        <v>292</v>
      </c>
      <c r="B256" s="2">
        <v>50</v>
      </c>
      <c r="C256" t="s">
        <v>16</v>
      </c>
      <c r="D256" t="s">
        <v>50</v>
      </c>
      <c r="E256" t="s">
        <v>38</v>
      </c>
      <c r="F256" s="3">
        <v>45686</v>
      </c>
      <c r="G256" s="3">
        <v>45887</v>
      </c>
      <c r="H256" s="2">
        <v>25</v>
      </c>
      <c r="I256" s="1">
        <v>4236.5</v>
      </c>
      <c r="J256" s="1">
        <v>169.46</v>
      </c>
      <c r="K256" t="s">
        <v>25</v>
      </c>
      <c r="L256" t="s">
        <v>20</v>
      </c>
      <c r="M256" s="2">
        <v>4</v>
      </c>
      <c r="N256" t="s">
        <v>21</v>
      </c>
    </row>
    <row r="257" spans="1:14" x14ac:dyDescent="0.3">
      <c r="A257" t="s">
        <v>293</v>
      </c>
      <c r="B257" s="2">
        <v>46</v>
      </c>
      <c r="C257" t="s">
        <v>23</v>
      </c>
      <c r="D257" t="s">
        <v>42</v>
      </c>
      <c r="E257" t="s">
        <v>29</v>
      </c>
      <c r="F257" s="3">
        <v>45596</v>
      </c>
      <c r="G257" s="3">
        <v>45756</v>
      </c>
      <c r="H257" s="2">
        <v>19</v>
      </c>
      <c r="I257" s="1">
        <v>4232.25</v>
      </c>
      <c r="J257" s="1">
        <v>222.75</v>
      </c>
      <c r="K257" t="s">
        <v>25</v>
      </c>
      <c r="L257" t="s">
        <v>30</v>
      </c>
      <c r="M257" s="2">
        <v>2</v>
      </c>
      <c r="N257" t="s">
        <v>21</v>
      </c>
    </row>
    <row r="258" spans="1:14" x14ac:dyDescent="0.3">
      <c r="A258" t="s">
        <v>294</v>
      </c>
      <c r="B258" s="2">
        <v>24</v>
      </c>
      <c r="C258" t="s">
        <v>23</v>
      </c>
      <c r="D258" t="s">
        <v>42</v>
      </c>
      <c r="E258" t="s">
        <v>34</v>
      </c>
      <c r="F258" s="3">
        <v>45638</v>
      </c>
      <c r="G258" s="3">
        <v>45664</v>
      </c>
      <c r="H258" s="2">
        <v>21</v>
      </c>
      <c r="I258" s="1">
        <v>4226.25</v>
      </c>
      <c r="J258" s="1">
        <v>201.25</v>
      </c>
      <c r="K258" t="s">
        <v>19</v>
      </c>
      <c r="L258" t="s">
        <v>30</v>
      </c>
      <c r="M258" s="2">
        <v>6</v>
      </c>
      <c r="N258" t="s">
        <v>31</v>
      </c>
    </row>
    <row r="259" spans="1:14" x14ac:dyDescent="0.3">
      <c r="A259" t="s">
        <v>295</v>
      </c>
      <c r="B259" s="2">
        <v>35</v>
      </c>
      <c r="C259" t="s">
        <v>23</v>
      </c>
      <c r="D259" t="s">
        <v>50</v>
      </c>
      <c r="E259" t="s">
        <v>34</v>
      </c>
      <c r="F259" s="3">
        <v>45552</v>
      </c>
      <c r="G259" s="3">
        <v>45805</v>
      </c>
      <c r="H259" s="2">
        <v>15</v>
      </c>
      <c r="I259" s="1">
        <v>4225.9500000000007</v>
      </c>
      <c r="J259" s="1">
        <v>281.73</v>
      </c>
      <c r="K259" t="s">
        <v>39</v>
      </c>
      <c r="L259" t="s">
        <v>26</v>
      </c>
      <c r="M259" s="2">
        <v>8</v>
      </c>
      <c r="N259" t="s">
        <v>21</v>
      </c>
    </row>
    <row r="260" spans="1:14" x14ac:dyDescent="0.3">
      <c r="A260" t="s">
        <v>296</v>
      </c>
      <c r="B260" s="2">
        <v>59</v>
      </c>
      <c r="C260" t="s">
        <v>23</v>
      </c>
      <c r="D260" t="s">
        <v>44</v>
      </c>
      <c r="E260" t="s">
        <v>29</v>
      </c>
      <c r="F260" s="3">
        <v>45629</v>
      </c>
      <c r="G260" s="3">
        <v>45783</v>
      </c>
      <c r="H260" s="2">
        <v>19</v>
      </c>
      <c r="I260" s="1">
        <v>4225.79</v>
      </c>
      <c r="J260" s="1">
        <v>222.41</v>
      </c>
      <c r="K260" t="s">
        <v>39</v>
      </c>
      <c r="L260" t="s">
        <v>20</v>
      </c>
      <c r="M260" s="2">
        <v>2</v>
      </c>
      <c r="N260" t="s">
        <v>31</v>
      </c>
    </row>
    <row r="261" spans="1:14" x14ac:dyDescent="0.3">
      <c r="A261" t="s">
        <v>297</v>
      </c>
      <c r="B261" s="2">
        <v>48</v>
      </c>
      <c r="C261" t="s">
        <v>23</v>
      </c>
      <c r="D261" t="s">
        <v>61</v>
      </c>
      <c r="E261" t="s">
        <v>34</v>
      </c>
      <c r="F261" s="3">
        <v>45900</v>
      </c>
      <c r="G261" s="3">
        <v>46166</v>
      </c>
      <c r="H261" s="2">
        <v>18</v>
      </c>
      <c r="I261" s="1">
        <v>4221.3600000000006</v>
      </c>
      <c r="J261" s="1">
        <v>234.52</v>
      </c>
      <c r="K261" t="s">
        <v>39</v>
      </c>
      <c r="L261" t="s">
        <v>20</v>
      </c>
      <c r="M261" s="2">
        <v>1</v>
      </c>
      <c r="N261" t="s">
        <v>21</v>
      </c>
    </row>
    <row r="262" spans="1:14" x14ac:dyDescent="0.3">
      <c r="A262" t="s">
        <v>298</v>
      </c>
      <c r="B262" s="2">
        <v>48</v>
      </c>
      <c r="C262" t="s">
        <v>23</v>
      </c>
      <c r="D262" t="s">
        <v>24</v>
      </c>
      <c r="E262" t="s">
        <v>34</v>
      </c>
      <c r="F262" s="3">
        <v>45642</v>
      </c>
      <c r="G262" s="3">
        <v>45724</v>
      </c>
      <c r="H262" s="2">
        <v>17</v>
      </c>
      <c r="I262" s="1">
        <v>4220.42</v>
      </c>
      <c r="J262" s="1">
        <v>248.26</v>
      </c>
      <c r="K262" t="s">
        <v>35</v>
      </c>
      <c r="L262" t="s">
        <v>26</v>
      </c>
      <c r="M262" s="2">
        <v>2</v>
      </c>
      <c r="N262" t="s">
        <v>21</v>
      </c>
    </row>
    <row r="263" spans="1:14" x14ac:dyDescent="0.3">
      <c r="A263" t="s">
        <v>299</v>
      </c>
      <c r="B263" s="2">
        <v>31</v>
      </c>
      <c r="C263" t="s">
        <v>23</v>
      </c>
      <c r="D263" t="s">
        <v>17</v>
      </c>
      <c r="E263" t="s">
        <v>38</v>
      </c>
      <c r="F263" s="3">
        <v>45978</v>
      </c>
      <c r="G263" s="3">
        <v>46024</v>
      </c>
      <c r="H263" s="2">
        <v>19</v>
      </c>
      <c r="I263" s="1">
        <v>4215.1499999999996</v>
      </c>
      <c r="J263" s="1">
        <v>221.85</v>
      </c>
      <c r="K263" t="s">
        <v>45</v>
      </c>
      <c r="L263" t="s">
        <v>30</v>
      </c>
      <c r="M263" s="2">
        <v>1</v>
      </c>
      <c r="N263" t="s">
        <v>21</v>
      </c>
    </row>
    <row r="264" spans="1:14" x14ac:dyDescent="0.3">
      <c r="A264" t="s">
        <v>300</v>
      </c>
      <c r="B264" s="2">
        <v>49</v>
      </c>
      <c r="C264" t="s">
        <v>23</v>
      </c>
      <c r="D264" t="s">
        <v>50</v>
      </c>
      <c r="E264" t="s">
        <v>34</v>
      </c>
      <c r="F264" s="3">
        <v>45809</v>
      </c>
      <c r="G264" s="3">
        <v>46049</v>
      </c>
      <c r="H264" s="2">
        <v>16</v>
      </c>
      <c r="I264" s="1">
        <v>4215.04</v>
      </c>
      <c r="J264" s="1">
        <v>263.44</v>
      </c>
      <c r="K264" t="s">
        <v>45</v>
      </c>
      <c r="L264" t="s">
        <v>30</v>
      </c>
      <c r="M264" s="2">
        <v>9</v>
      </c>
      <c r="N264" t="s">
        <v>31</v>
      </c>
    </row>
    <row r="265" spans="1:14" x14ac:dyDescent="0.3">
      <c r="A265" t="s">
        <v>301</v>
      </c>
      <c r="B265" s="2">
        <v>38</v>
      </c>
      <c r="C265" t="s">
        <v>16</v>
      </c>
      <c r="D265" t="s">
        <v>44</v>
      </c>
      <c r="E265" t="s">
        <v>29</v>
      </c>
      <c r="F265" s="3">
        <v>45645</v>
      </c>
      <c r="G265" s="3">
        <v>45815</v>
      </c>
      <c r="H265" s="2">
        <v>18</v>
      </c>
      <c r="I265" s="1">
        <v>4204.8</v>
      </c>
      <c r="J265" s="1">
        <v>233.6</v>
      </c>
      <c r="K265" t="s">
        <v>19</v>
      </c>
      <c r="L265" t="s">
        <v>26</v>
      </c>
      <c r="M265" s="2">
        <v>4</v>
      </c>
      <c r="N265" t="s">
        <v>21</v>
      </c>
    </row>
    <row r="266" spans="1:14" x14ac:dyDescent="0.3">
      <c r="A266" t="s">
        <v>302</v>
      </c>
      <c r="B266" s="2">
        <v>28</v>
      </c>
      <c r="C266" t="s">
        <v>23</v>
      </c>
      <c r="D266" t="s">
        <v>42</v>
      </c>
      <c r="E266" t="s">
        <v>38</v>
      </c>
      <c r="F266" s="3">
        <v>45636</v>
      </c>
      <c r="G266" s="3">
        <v>45890</v>
      </c>
      <c r="H266" s="2">
        <v>17</v>
      </c>
      <c r="I266" s="1">
        <v>4202.57</v>
      </c>
      <c r="J266" s="1">
        <v>247.21</v>
      </c>
      <c r="K266" t="s">
        <v>25</v>
      </c>
      <c r="L266" t="s">
        <v>26</v>
      </c>
      <c r="M266" s="2">
        <v>2</v>
      </c>
      <c r="N266" t="s">
        <v>21</v>
      </c>
    </row>
    <row r="267" spans="1:14" x14ac:dyDescent="0.3">
      <c r="A267" t="s">
        <v>303</v>
      </c>
      <c r="B267" s="2">
        <v>51</v>
      </c>
      <c r="C267" t="s">
        <v>23</v>
      </c>
      <c r="D267" t="s">
        <v>17</v>
      </c>
      <c r="E267" t="s">
        <v>34</v>
      </c>
      <c r="F267" s="3">
        <v>45436</v>
      </c>
      <c r="G267" s="3">
        <v>45640</v>
      </c>
      <c r="H267" s="2">
        <v>20</v>
      </c>
      <c r="I267" s="1">
        <v>4196.2</v>
      </c>
      <c r="J267" s="1">
        <v>209.81</v>
      </c>
      <c r="K267" t="s">
        <v>25</v>
      </c>
      <c r="L267" t="s">
        <v>30</v>
      </c>
      <c r="M267" s="2">
        <v>4</v>
      </c>
      <c r="N267" t="s">
        <v>21</v>
      </c>
    </row>
    <row r="268" spans="1:14" x14ac:dyDescent="0.3">
      <c r="A268" t="s">
        <v>304</v>
      </c>
      <c r="B268" s="2">
        <v>28</v>
      </c>
      <c r="C268" t="s">
        <v>16</v>
      </c>
      <c r="D268" t="s">
        <v>50</v>
      </c>
      <c r="E268" t="s">
        <v>18</v>
      </c>
      <c r="F268" s="3">
        <v>45542</v>
      </c>
      <c r="G268" s="3">
        <v>45812</v>
      </c>
      <c r="H268" s="2">
        <v>22</v>
      </c>
      <c r="I268" s="1">
        <v>4192.54</v>
      </c>
      <c r="J268" s="1">
        <v>190.57</v>
      </c>
      <c r="K268" t="s">
        <v>45</v>
      </c>
      <c r="L268" t="s">
        <v>30</v>
      </c>
      <c r="M268" s="2">
        <v>9</v>
      </c>
      <c r="N268" t="s">
        <v>21</v>
      </c>
    </row>
    <row r="269" spans="1:14" x14ac:dyDescent="0.3">
      <c r="A269" t="s">
        <v>305</v>
      </c>
      <c r="B269" s="2">
        <v>49</v>
      </c>
      <c r="C269" t="s">
        <v>16</v>
      </c>
      <c r="D269" t="s">
        <v>24</v>
      </c>
      <c r="E269" t="s">
        <v>29</v>
      </c>
      <c r="F269" s="3">
        <v>45972</v>
      </c>
      <c r="G269" s="3">
        <v>46122</v>
      </c>
      <c r="H269" s="2">
        <v>21</v>
      </c>
      <c r="I269" s="1">
        <v>4192.0200000000004</v>
      </c>
      <c r="J269" s="1">
        <v>199.62</v>
      </c>
      <c r="K269" t="s">
        <v>19</v>
      </c>
      <c r="L269" t="s">
        <v>20</v>
      </c>
      <c r="M269" s="2">
        <v>7</v>
      </c>
      <c r="N269" t="s">
        <v>21</v>
      </c>
    </row>
    <row r="270" spans="1:14" x14ac:dyDescent="0.3">
      <c r="A270" t="s">
        <v>306</v>
      </c>
      <c r="B270" s="2">
        <v>36</v>
      </c>
      <c r="C270" t="s">
        <v>23</v>
      </c>
      <c r="D270" t="s">
        <v>24</v>
      </c>
      <c r="E270" t="s">
        <v>18</v>
      </c>
      <c r="F270" s="3">
        <v>45897</v>
      </c>
      <c r="G270" s="3">
        <v>46090</v>
      </c>
      <c r="H270" s="2">
        <v>20</v>
      </c>
      <c r="I270" s="1">
        <v>4188.3999999999996</v>
      </c>
      <c r="J270" s="1">
        <v>209.42</v>
      </c>
      <c r="K270" t="s">
        <v>19</v>
      </c>
      <c r="L270" t="s">
        <v>30</v>
      </c>
      <c r="M270" s="2">
        <v>3</v>
      </c>
      <c r="N270" t="s">
        <v>21</v>
      </c>
    </row>
    <row r="271" spans="1:14" x14ac:dyDescent="0.3">
      <c r="A271" t="s">
        <v>307</v>
      </c>
      <c r="B271" s="2">
        <v>53</v>
      </c>
      <c r="C271" t="s">
        <v>23</v>
      </c>
      <c r="D271" t="s">
        <v>42</v>
      </c>
      <c r="E271" t="s">
        <v>29</v>
      </c>
      <c r="F271" s="3">
        <v>45373</v>
      </c>
      <c r="G271" s="3">
        <v>45561</v>
      </c>
      <c r="H271" s="2">
        <v>24</v>
      </c>
      <c r="I271" s="1">
        <v>4169.28</v>
      </c>
      <c r="J271" s="1">
        <v>173.72</v>
      </c>
      <c r="K271" t="s">
        <v>25</v>
      </c>
      <c r="L271" t="s">
        <v>26</v>
      </c>
      <c r="M271" s="2">
        <v>5</v>
      </c>
      <c r="N271" t="s">
        <v>31</v>
      </c>
    </row>
    <row r="272" spans="1:14" x14ac:dyDescent="0.3">
      <c r="A272" t="s">
        <v>308</v>
      </c>
      <c r="B272" s="2">
        <v>46</v>
      </c>
      <c r="C272" t="s">
        <v>23</v>
      </c>
      <c r="D272" t="s">
        <v>28</v>
      </c>
      <c r="E272" t="s">
        <v>38</v>
      </c>
      <c r="F272" s="3">
        <v>45912</v>
      </c>
      <c r="G272" s="3">
        <v>46027</v>
      </c>
      <c r="H272" s="2">
        <v>25</v>
      </c>
      <c r="I272" s="1">
        <v>4158</v>
      </c>
      <c r="J272" s="1">
        <v>166.32</v>
      </c>
      <c r="K272" t="s">
        <v>45</v>
      </c>
      <c r="L272" t="s">
        <v>20</v>
      </c>
      <c r="M272" s="2">
        <v>10</v>
      </c>
      <c r="N272" t="s">
        <v>21</v>
      </c>
    </row>
    <row r="273" spans="1:14" x14ac:dyDescent="0.3">
      <c r="A273" t="s">
        <v>309</v>
      </c>
      <c r="B273" s="2">
        <v>58</v>
      </c>
      <c r="C273" t="s">
        <v>23</v>
      </c>
      <c r="D273" t="s">
        <v>50</v>
      </c>
      <c r="E273" t="s">
        <v>38</v>
      </c>
      <c r="F273" s="3">
        <v>45751</v>
      </c>
      <c r="G273" s="3">
        <v>46040</v>
      </c>
      <c r="H273" s="2">
        <v>21</v>
      </c>
      <c r="I273" s="1">
        <v>4155.4799999999996</v>
      </c>
      <c r="J273" s="1">
        <v>197.88</v>
      </c>
      <c r="K273" t="s">
        <v>39</v>
      </c>
      <c r="L273" t="s">
        <v>26</v>
      </c>
      <c r="M273" s="2">
        <v>8</v>
      </c>
      <c r="N273" t="s">
        <v>21</v>
      </c>
    </row>
    <row r="274" spans="1:14" x14ac:dyDescent="0.3">
      <c r="A274" t="s">
        <v>310</v>
      </c>
      <c r="B274" s="2">
        <v>59</v>
      </c>
      <c r="C274" t="s">
        <v>23</v>
      </c>
      <c r="D274" t="s">
        <v>17</v>
      </c>
      <c r="E274" t="s">
        <v>34</v>
      </c>
      <c r="F274" s="3">
        <v>45451</v>
      </c>
      <c r="G274" s="3">
        <v>45453</v>
      </c>
      <c r="H274" s="2">
        <v>24</v>
      </c>
      <c r="I274" s="1">
        <v>4150.08</v>
      </c>
      <c r="J274" s="1">
        <v>172.92</v>
      </c>
      <c r="K274" t="s">
        <v>19</v>
      </c>
      <c r="L274" t="s">
        <v>20</v>
      </c>
      <c r="M274" s="2">
        <v>3</v>
      </c>
      <c r="N274" t="s">
        <v>21</v>
      </c>
    </row>
    <row r="275" spans="1:14" x14ac:dyDescent="0.3">
      <c r="A275" t="s">
        <v>311</v>
      </c>
      <c r="B275" s="2">
        <v>60</v>
      </c>
      <c r="C275" t="s">
        <v>23</v>
      </c>
      <c r="D275" t="s">
        <v>50</v>
      </c>
      <c r="E275" t="s">
        <v>34</v>
      </c>
      <c r="F275" s="3">
        <v>45912</v>
      </c>
      <c r="G275" s="3">
        <v>46004</v>
      </c>
      <c r="H275" s="2">
        <v>19</v>
      </c>
      <c r="I275" s="1">
        <v>4149.22</v>
      </c>
      <c r="J275" s="1">
        <v>218.38</v>
      </c>
      <c r="K275" t="s">
        <v>19</v>
      </c>
      <c r="L275" t="s">
        <v>20</v>
      </c>
      <c r="M275" s="2">
        <v>6</v>
      </c>
      <c r="N275" t="s">
        <v>21</v>
      </c>
    </row>
    <row r="276" spans="1:14" x14ac:dyDescent="0.3">
      <c r="A276" t="s">
        <v>312</v>
      </c>
      <c r="B276" s="2">
        <v>36</v>
      </c>
      <c r="C276" t="s">
        <v>23</v>
      </c>
      <c r="D276" t="s">
        <v>61</v>
      </c>
      <c r="E276" t="s">
        <v>18</v>
      </c>
      <c r="F276" s="3">
        <v>45850</v>
      </c>
      <c r="G276" s="3">
        <v>45925</v>
      </c>
      <c r="H276" s="2">
        <v>20</v>
      </c>
      <c r="I276" s="1">
        <v>4141.6000000000004</v>
      </c>
      <c r="J276" s="1">
        <v>207.08</v>
      </c>
      <c r="K276" t="s">
        <v>25</v>
      </c>
      <c r="L276" t="s">
        <v>30</v>
      </c>
      <c r="M276" s="2">
        <v>5</v>
      </c>
      <c r="N276" t="s">
        <v>21</v>
      </c>
    </row>
    <row r="277" spans="1:14" x14ac:dyDescent="0.3">
      <c r="A277" t="s">
        <v>313</v>
      </c>
      <c r="B277" s="2">
        <v>61</v>
      </c>
      <c r="C277" t="s">
        <v>23</v>
      </c>
      <c r="D277" t="s">
        <v>24</v>
      </c>
      <c r="E277" t="s">
        <v>18</v>
      </c>
      <c r="F277" s="3">
        <v>45472</v>
      </c>
      <c r="G277" s="3">
        <v>45693</v>
      </c>
      <c r="H277" s="2">
        <v>17</v>
      </c>
      <c r="I277" s="1">
        <v>4136.1000000000004</v>
      </c>
      <c r="J277" s="1">
        <v>243.3</v>
      </c>
      <c r="K277" t="s">
        <v>35</v>
      </c>
      <c r="L277" t="s">
        <v>30</v>
      </c>
      <c r="M277" s="2">
        <v>3</v>
      </c>
      <c r="N277" t="s">
        <v>21</v>
      </c>
    </row>
    <row r="278" spans="1:14" x14ac:dyDescent="0.3">
      <c r="A278" t="s">
        <v>314</v>
      </c>
      <c r="B278" s="2">
        <v>33</v>
      </c>
      <c r="C278" t="s">
        <v>16</v>
      </c>
      <c r="D278" t="s">
        <v>42</v>
      </c>
      <c r="E278" t="s">
        <v>29</v>
      </c>
      <c r="F278" s="3">
        <v>45425</v>
      </c>
      <c r="G278" s="3">
        <v>45657</v>
      </c>
      <c r="H278" s="2">
        <v>21</v>
      </c>
      <c r="I278" s="1">
        <v>4133.22</v>
      </c>
      <c r="J278" s="1">
        <v>196.82</v>
      </c>
      <c r="K278" t="s">
        <v>19</v>
      </c>
      <c r="L278" t="s">
        <v>30</v>
      </c>
      <c r="M278" s="2">
        <v>7</v>
      </c>
      <c r="N278" t="s">
        <v>21</v>
      </c>
    </row>
    <row r="279" spans="1:14" x14ac:dyDescent="0.3">
      <c r="A279" t="s">
        <v>315</v>
      </c>
      <c r="B279" s="2">
        <v>49</v>
      </c>
      <c r="C279" t="s">
        <v>16</v>
      </c>
      <c r="D279" t="s">
        <v>17</v>
      </c>
      <c r="E279" t="s">
        <v>34</v>
      </c>
      <c r="F279" s="3">
        <v>45534</v>
      </c>
      <c r="G279" s="3">
        <v>45702</v>
      </c>
      <c r="H279" s="2">
        <v>18</v>
      </c>
      <c r="I279" s="1">
        <v>4132.9799999999996</v>
      </c>
      <c r="J279" s="1">
        <v>229.61</v>
      </c>
      <c r="K279" t="s">
        <v>25</v>
      </c>
      <c r="L279" t="s">
        <v>30</v>
      </c>
      <c r="M279" s="2">
        <v>7</v>
      </c>
      <c r="N279" t="s">
        <v>21</v>
      </c>
    </row>
    <row r="280" spans="1:14" x14ac:dyDescent="0.3">
      <c r="A280" t="s">
        <v>316</v>
      </c>
      <c r="B280" s="2">
        <v>42</v>
      </c>
      <c r="C280" t="s">
        <v>23</v>
      </c>
      <c r="D280" t="s">
        <v>42</v>
      </c>
      <c r="E280" t="s">
        <v>38</v>
      </c>
      <c r="F280" s="3">
        <v>45581</v>
      </c>
      <c r="G280" s="3">
        <v>45779</v>
      </c>
      <c r="H280" s="2">
        <v>15</v>
      </c>
      <c r="I280" s="1">
        <v>4123.05</v>
      </c>
      <c r="J280" s="1">
        <v>274.87</v>
      </c>
      <c r="K280" t="s">
        <v>35</v>
      </c>
      <c r="L280" t="s">
        <v>30</v>
      </c>
      <c r="M280" s="2">
        <v>8</v>
      </c>
      <c r="N280" t="s">
        <v>21</v>
      </c>
    </row>
    <row r="281" spans="1:14" x14ac:dyDescent="0.3">
      <c r="A281" t="s">
        <v>317</v>
      </c>
      <c r="B281" s="2">
        <v>24</v>
      </c>
      <c r="C281" t="s">
        <v>23</v>
      </c>
      <c r="D281" t="s">
        <v>28</v>
      </c>
      <c r="E281" t="s">
        <v>38</v>
      </c>
      <c r="F281" s="3">
        <v>45614</v>
      </c>
      <c r="G281" s="3">
        <v>45860</v>
      </c>
      <c r="H281" s="2">
        <v>19</v>
      </c>
      <c r="I281" s="1">
        <v>4120.34</v>
      </c>
      <c r="J281" s="1">
        <v>216.86</v>
      </c>
      <c r="K281" t="s">
        <v>25</v>
      </c>
      <c r="L281" t="s">
        <v>26</v>
      </c>
      <c r="M281" s="2">
        <v>7</v>
      </c>
      <c r="N281" t="s">
        <v>21</v>
      </c>
    </row>
    <row r="282" spans="1:14" x14ac:dyDescent="0.3">
      <c r="A282" t="s">
        <v>318</v>
      </c>
      <c r="B282" s="2">
        <v>50</v>
      </c>
      <c r="C282" t="s">
        <v>23</v>
      </c>
      <c r="D282" t="s">
        <v>17</v>
      </c>
      <c r="E282" t="s">
        <v>34</v>
      </c>
      <c r="F282" s="3">
        <v>45299</v>
      </c>
      <c r="G282" s="3">
        <v>45594</v>
      </c>
      <c r="H282" s="2">
        <v>16</v>
      </c>
      <c r="I282" s="1">
        <v>4113.76</v>
      </c>
      <c r="J282" s="1">
        <v>257.11</v>
      </c>
      <c r="K282" t="s">
        <v>39</v>
      </c>
      <c r="L282" t="s">
        <v>30</v>
      </c>
      <c r="M282" s="2">
        <v>10</v>
      </c>
      <c r="N282" t="s">
        <v>21</v>
      </c>
    </row>
    <row r="283" spans="1:14" x14ac:dyDescent="0.3">
      <c r="A283" t="s">
        <v>319</v>
      </c>
      <c r="B283" s="2">
        <v>55</v>
      </c>
      <c r="C283" t="s">
        <v>23</v>
      </c>
      <c r="D283" t="s">
        <v>28</v>
      </c>
      <c r="E283" t="s">
        <v>29</v>
      </c>
      <c r="F283" s="3">
        <v>45863</v>
      </c>
      <c r="G283" s="3">
        <v>45881</v>
      </c>
      <c r="H283" s="2">
        <v>21</v>
      </c>
      <c r="I283" s="1">
        <v>4108.4399999999996</v>
      </c>
      <c r="J283" s="1">
        <v>195.64</v>
      </c>
      <c r="K283" t="s">
        <v>25</v>
      </c>
      <c r="L283" t="s">
        <v>26</v>
      </c>
      <c r="M283" s="2">
        <v>8</v>
      </c>
      <c r="N283" t="s">
        <v>21</v>
      </c>
    </row>
    <row r="284" spans="1:14" x14ac:dyDescent="0.3">
      <c r="A284" t="s">
        <v>320</v>
      </c>
      <c r="B284" s="2">
        <v>62</v>
      </c>
      <c r="C284" t="s">
        <v>23</v>
      </c>
      <c r="D284" t="s">
        <v>61</v>
      </c>
      <c r="E284" t="s">
        <v>34</v>
      </c>
      <c r="F284" s="3">
        <v>45970</v>
      </c>
      <c r="G284" s="3">
        <v>46247</v>
      </c>
      <c r="H284" s="2">
        <v>14</v>
      </c>
      <c r="I284" s="1">
        <v>4102</v>
      </c>
      <c r="J284" s="1">
        <v>293</v>
      </c>
      <c r="K284" t="s">
        <v>25</v>
      </c>
      <c r="L284" t="s">
        <v>26</v>
      </c>
      <c r="M284" s="2">
        <v>10</v>
      </c>
      <c r="N284" t="s">
        <v>21</v>
      </c>
    </row>
    <row r="285" spans="1:14" x14ac:dyDescent="0.3">
      <c r="A285" t="s">
        <v>321</v>
      </c>
      <c r="B285" s="2">
        <v>60</v>
      </c>
      <c r="C285" t="s">
        <v>16</v>
      </c>
      <c r="D285" t="s">
        <v>44</v>
      </c>
      <c r="E285" t="s">
        <v>34</v>
      </c>
      <c r="F285" s="3">
        <v>45593</v>
      </c>
      <c r="G285" s="3">
        <v>45656</v>
      </c>
      <c r="H285" s="2">
        <v>18</v>
      </c>
      <c r="I285" s="1">
        <v>4096.9799999999996</v>
      </c>
      <c r="J285" s="1">
        <v>227.61</v>
      </c>
      <c r="K285" t="s">
        <v>25</v>
      </c>
      <c r="L285" t="s">
        <v>26</v>
      </c>
      <c r="M285" s="2">
        <v>6</v>
      </c>
      <c r="N285" t="s">
        <v>31</v>
      </c>
    </row>
    <row r="286" spans="1:14" x14ac:dyDescent="0.3">
      <c r="A286" t="s">
        <v>322</v>
      </c>
      <c r="B286" s="2">
        <v>64</v>
      </c>
      <c r="C286" t="s">
        <v>23</v>
      </c>
      <c r="D286" t="s">
        <v>17</v>
      </c>
      <c r="E286" t="s">
        <v>18</v>
      </c>
      <c r="F286" s="3">
        <v>45888</v>
      </c>
      <c r="G286" s="3">
        <v>45981</v>
      </c>
      <c r="H286" s="2">
        <v>20</v>
      </c>
      <c r="I286" s="1">
        <v>4094</v>
      </c>
      <c r="J286" s="1">
        <v>204.7</v>
      </c>
      <c r="K286" t="s">
        <v>25</v>
      </c>
      <c r="L286" t="s">
        <v>26</v>
      </c>
      <c r="M286" s="2">
        <v>7</v>
      </c>
      <c r="N286" t="s">
        <v>21</v>
      </c>
    </row>
    <row r="287" spans="1:14" x14ac:dyDescent="0.3">
      <c r="A287" t="s">
        <v>323</v>
      </c>
      <c r="B287" s="2">
        <v>63</v>
      </c>
      <c r="C287" t="s">
        <v>23</v>
      </c>
      <c r="D287" t="s">
        <v>61</v>
      </c>
      <c r="E287" t="s">
        <v>18</v>
      </c>
      <c r="F287" s="3">
        <v>45857</v>
      </c>
      <c r="G287" s="3">
        <v>45891</v>
      </c>
      <c r="H287" s="2">
        <v>23</v>
      </c>
      <c r="I287" s="1">
        <v>4085.26</v>
      </c>
      <c r="J287" s="1">
        <v>177.62</v>
      </c>
      <c r="K287" t="s">
        <v>45</v>
      </c>
      <c r="L287" t="s">
        <v>30</v>
      </c>
      <c r="M287" s="2">
        <v>2</v>
      </c>
      <c r="N287" t="s">
        <v>21</v>
      </c>
    </row>
    <row r="288" spans="1:14" x14ac:dyDescent="0.3">
      <c r="A288" t="s">
        <v>324</v>
      </c>
      <c r="B288" s="2">
        <v>36</v>
      </c>
      <c r="C288" t="s">
        <v>23</v>
      </c>
      <c r="D288" t="s">
        <v>42</v>
      </c>
      <c r="E288" t="s">
        <v>38</v>
      </c>
      <c r="F288" s="3">
        <v>45940</v>
      </c>
      <c r="G288" s="3">
        <v>46157</v>
      </c>
      <c r="H288" s="2">
        <v>18</v>
      </c>
      <c r="I288" s="1">
        <v>4080.24</v>
      </c>
      <c r="J288" s="1">
        <v>226.68</v>
      </c>
      <c r="K288" t="s">
        <v>35</v>
      </c>
      <c r="L288" t="s">
        <v>20</v>
      </c>
      <c r="M288" s="2">
        <v>10</v>
      </c>
      <c r="N288" t="s">
        <v>21</v>
      </c>
    </row>
    <row r="289" spans="1:14" x14ac:dyDescent="0.3">
      <c r="A289" t="s">
        <v>325</v>
      </c>
      <c r="B289" s="2">
        <v>64</v>
      </c>
      <c r="C289" t="s">
        <v>16</v>
      </c>
      <c r="D289" t="s">
        <v>50</v>
      </c>
      <c r="E289" t="s">
        <v>18</v>
      </c>
      <c r="F289" s="3">
        <v>45629</v>
      </c>
      <c r="G289" s="3">
        <v>45651</v>
      </c>
      <c r="H289" s="2">
        <v>21</v>
      </c>
      <c r="I289" s="1">
        <v>4079.46</v>
      </c>
      <c r="J289" s="1">
        <v>194.26</v>
      </c>
      <c r="K289" t="s">
        <v>45</v>
      </c>
      <c r="L289" t="s">
        <v>26</v>
      </c>
      <c r="M289" s="2">
        <v>1</v>
      </c>
      <c r="N289" t="s">
        <v>21</v>
      </c>
    </row>
    <row r="290" spans="1:14" x14ac:dyDescent="0.3">
      <c r="A290" t="s">
        <v>326</v>
      </c>
      <c r="B290" s="2">
        <v>33</v>
      </c>
      <c r="C290" t="s">
        <v>23</v>
      </c>
      <c r="D290" t="s">
        <v>42</v>
      </c>
      <c r="E290" t="s">
        <v>34</v>
      </c>
      <c r="F290" s="3">
        <v>45629</v>
      </c>
      <c r="G290" s="3">
        <v>45666</v>
      </c>
      <c r="H290" s="2">
        <v>15</v>
      </c>
      <c r="I290" s="1">
        <v>4076.55</v>
      </c>
      <c r="J290" s="1">
        <v>271.77</v>
      </c>
      <c r="K290" t="s">
        <v>35</v>
      </c>
      <c r="L290" t="s">
        <v>26</v>
      </c>
      <c r="M290" s="2">
        <v>8</v>
      </c>
      <c r="N290" t="s">
        <v>21</v>
      </c>
    </row>
    <row r="291" spans="1:14" x14ac:dyDescent="0.3">
      <c r="A291" t="s">
        <v>327</v>
      </c>
      <c r="B291" s="2">
        <v>23</v>
      </c>
      <c r="C291" t="s">
        <v>23</v>
      </c>
      <c r="D291" t="s">
        <v>44</v>
      </c>
      <c r="E291" t="s">
        <v>18</v>
      </c>
      <c r="F291" s="3">
        <v>45338</v>
      </c>
      <c r="G291" s="3">
        <v>45420</v>
      </c>
      <c r="H291" s="2">
        <v>24</v>
      </c>
      <c r="I291" s="1">
        <v>4068.96</v>
      </c>
      <c r="J291" s="1">
        <v>169.54</v>
      </c>
      <c r="K291" t="s">
        <v>25</v>
      </c>
      <c r="L291" t="s">
        <v>20</v>
      </c>
      <c r="M291" s="2">
        <v>9</v>
      </c>
      <c r="N291" t="s">
        <v>31</v>
      </c>
    </row>
    <row r="292" spans="1:14" x14ac:dyDescent="0.3">
      <c r="A292" t="s">
        <v>328</v>
      </c>
      <c r="B292" s="2">
        <v>28</v>
      </c>
      <c r="C292" t="s">
        <v>23</v>
      </c>
      <c r="D292" t="s">
        <v>50</v>
      </c>
      <c r="E292" t="s">
        <v>34</v>
      </c>
      <c r="F292" s="3">
        <v>45647</v>
      </c>
      <c r="G292" s="3">
        <v>45914</v>
      </c>
      <c r="H292" s="2">
        <v>17</v>
      </c>
      <c r="I292" s="1">
        <v>4067.08</v>
      </c>
      <c r="J292" s="1">
        <v>239.24</v>
      </c>
      <c r="K292" t="s">
        <v>39</v>
      </c>
      <c r="L292" t="s">
        <v>30</v>
      </c>
      <c r="M292" s="2">
        <v>6</v>
      </c>
      <c r="N292" t="s">
        <v>21</v>
      </c>
    </row>
    <row r="293" spans="1:14" x14ac:dyDescent="0.3">
      <c r="A293" t="s">
        <v>329</v>
      </c>
      <c r="B293" s="2">
        <v>54</v>
      </c>
      <c r="C293" t="s">
        <v>23</v>
      </c>
      <c r="D293" t="s">
        <v>42</v>
      </c>
      <c r="E293" t="s">
        <v>29</v>
      </c>
      <c r="F293" s="3">
        <v>45960</v>
      </c>
      <c r="G293" s="3">
        <v>46000</v>
      </c>
      <c r="H293" s="2">
        <v>14</v>
      </c>
      <c r="I293" s="1">
        <v>4063.5</v>
      </c>
      <c r="J293" s="1">
        <v>290.25</v>
      </c>
      <c r="K293" t="s">
        <v>39</v>
      </c>
      <c r="L293" t="s">
        <v>26</v>
      </c>
      <c r="M293" s="2">
        <v>10</v>
      </c>
      <c r="N293" t="s">
        <v>21</v>
      </c>
    </row>
    <row r="294" spans="1:14" x14ac:dyDescent="0.3">
      <c r="A294" t="s">
        <v>330</v>
      </c>
      <c r="B294" s="2">
        <v>28</v>
      </c>
      <c r="C294" t="s">
        <v>16</v>
      </c>
      <c r="D294" t="s">
        <v>24</v>
      </c>
      <c r="E294" t="s">
        <v>18</v>
      </c>
      <c r="F294" s="3">
        <v>45916</v>
      </c>
      <c r="G294" s="3">
        <v>46058</v>
      </c>
      <c r="H294" s="2">
        <v>19</v>
      </c>
      <c r="I294" s="1">
        <v>4054.22</v>
      </c>
      <c r="J294" s="1">
        <v>213.38</v>
      </c>
      <c r="K294" t="s">
        <v>39</v>
      </c>
      <c r="L294" t="s">
        <v>30</v>
      </c>
      <c r="M294" s="2">
        <v>7</v>
      </c>
      <c r="N294" t="s">
        <v>31</v>
      </c>
    </row>
    <row r="295" spans="1:14" x14ac:dyDescent="0.3">
      <c r="A295" t="s">
        <v>331</v>
      </c>
      <c r="B295" s="2">
        <v>56</v>
      </c>
      <c r="C295" t="s">
        <v>16</v>
      </c>
      <c r="D295" t="s">
        <v>50</v>
      </c>
      <c r="E295" t="s">
        <v>34</v>
      </c>
      <c r="F295" s="3">
        <v>45394</v>
      </c>
      <c r="G295" s="3">
        <v>45630</v>
      </c>
      <c r="H295" s="2">
        <v>25</v>
      </c>
      <c r="I295" s="1">
        <v>4052.5</v>
      </c>
      <c r="J295" s="1">
        <v>162.1</v>
      </c>
      <c r="K295" t="s">
        <v>45</v>
      </c>
      <c r="L295" t="s">
        <v>20</v>
      </c>
      <c r="M295" s="2">
        <v>8</v>
      </c>
      <c r="N295" t="s">
        <v>21</v>
      </c>
    </row>
    <row r="296" spans="1:14" x14ac:dyDescent="0.3">
      <c r="A296" t="s">
        <v>332</v>
      </c>
      <c r="B296" s="2">
        <v>62</v>
      </c>
      <c r="C296" t="s">
        <v>23</v>
      </c>
      <c r="D296" t="s">
        <v>24</v>
      </c>
      <c r="E296" t="s">
        <v>29</v>
      </c>
      <c r="F296" s="3">
        <v>45758</v>
      </c>
      <c r="G296" s="3">
        <v>46054</v>
      </c>
      <c r="H296" s="2">
        <v>23</v>
      </c>
      <c r="I296" s="1">
        <v>4049.84</v>
      </c>
      <c r="J296" s="1">
        <v>176.08</v>
      </c>
      <c r="K296" t="s">
        <v>25</v>
      </c>
      <c r="L296" t="s">
        <v>30</v>
      </c>
      <c r="M296" s="2">
        <v>7</v>
      </c>
      <c r="N296" t="s">
        <v>21</v>
      </c>
    </row>
    <row r="297" spans="1:14" x14ac:dyDescent="0.3">
      <c r="A297" t="s">
        <v>333</v>
      </c>
      <c r="B297" s="2">
        <v>20</v>
      </c>
      <c r="C297" t="s">
        <v>16</v>
      </c>
      <c r="D297" t="s">
        <v>28</v>
      </c>
      <c r="E297" t="s">
        <v>38</v>
      </c>
      <c r="F297" s="3">
        <v>45543</v>
      </c>
      <c r="G297" s="3">
        <v>45818</v>
      </c>
      <c r="H297" s="2">
        <v>14</v>
      </c>
      <c r="I297" s="1">
        <v>4048.52</v>
      </c>
      <c r="J297" s="1">
        <v>289.18</v>
      </c>
      <c r="K297" t="s">
        <v>19</v>
      </c>
      <c r="L297" t="s">
        <v>26</v>
      </c>
      <c r="M297" s="2">
        <v>3</v>
      </c>
      <c r="N297" t="s">
        <v>21</v>
      </c>
    </row>
    <row r="298" spans="1:14" x14ac:dyDescent="0.3">
      <c r="A298" t="s">
        <v>334</v>
      </c>
      <c r="B298" s="2">
        <v>65</v>
      </c>
      <c r="C298" t="s">
        <v>23</v>
      </c>
      <c r="D298" t="s">
        <v>50</v>
      </c>
      <c r="E298" t="s">
        <v>29</v>
      </c>
      <c r="F298" s="3">
        <v>45322</v>
      </c>
      <c r="G298" s="3">
        <v>45485</v>
      </c>
      <c r="H298" s="2">
        <v>14</v>
      </c>
      <c r="I298" s="1">
        <v>4047.82</v>
      </c>
      <c r="J298" s="1">
        <v>289.13</v>
      </c>
      <c r="K298" t="s">
        <v>39</v>
      </c>
      <c r="L298" t="s">
        <v>30</v>
      </c>
      <c r="M298" s="2">
        <v>3</v>
      </c>
      <c r="N298" t="s">
        <v>21</v>
      </c>
    </row>
    <row r="299" spans="1:14" x14ac:dyDescent="0.3">
      <c r="A299" t="s">
        <v>335</v>
      </c>
      <c r="B299" s="2">
        <v>55</v>
      </c>
      <c r="C299" t="s">
        <v>23</v>
      </c>
      <c r="D299" t="s">
        <v>44</v>
      </c>
      <c r="E299" t="s">
        <v>38</v>
      </c>
      <c r="F299" s="3">
        <v>45704</v>
      </c>
      <c r="G299" s="3">
        <v>45990</v>
      </c>
      <c r="H299" s="2">
        <v>17</v>
      </c>
      <c r="I299" s="1">
        <v>4047.19</v>
      </c>
      <c r="J299" s="1">
        <v>238.07</v>
      </c>
      <c r="K299" t="s">
        <v>35</v>
      </c>
      <c r="L299" t="s">
        <v>20</v>
      </c>
      <c r="M299" s="2">
        <v>8</v>
      </c>
      <c r="N299" t="s">
        <v>21</v>
      </c>
    </row>
    <row r="300" spans="1:14" x14ac:dyDescent="0.3">
      <c r="A300" t="s">
        <v>336</v>
      </c>
      <c r="B300" s="2">
        <v>52</v>
      </c>
      <c r="C300" t="s">
        <v>16</v>
      </c>
      <c r="D300" t="s">
        <v>44</v>
      </c>
      <c r="E300" t="s">
        <v>18</v>
      </c>
      <c r="F300" s="3">
        <v>45686</v>
      </c>
      <c r="G300" s="3">
        <v>45722</v>
      </c>
      <c r="H300" s="2">
        <v>14</v>
      </c>
      <c r="I300" s="1">
        <v>4033.68</v>
      </c>
      <c r="J300" s="1">
        <v>288.12</v>
      </c>
      <c r="K300" t="s">
        <v>35</v>
      </c>
      <c r="L300" t="s">
        <v>26</v>
      </c>
      <c r="M300" s="2">
        <v>1</v>
      </c>
      <c r="N300" t="s">
        <v>21</v>
      </c>
    </row>
    <row r="301" spans="1:14" x14ac:dyDescent="0.3">
      <c r="A301" t="s">
        <v>337</v>
      </c>
      <c r="B301" s="2">
        <v>61</v>
      </c>
      <c r="C301" t="s">
        <v>23</v>
      </c>
      <c r="D301" t="s">
        <v>44</v>
      </c>
      <c r="E301" t="s">
        <v>29</v>
      </c>
      <c r="F301" s="3">
        <v>45576</v>
      </c>
      <c r="G301" s="3">
        <v>45675</v>
      </c>
      <c r="H301" s="2">
        <v>21</v>
      </c>
      <c r="I301" s="1">
        <v>4030.32</v>
      </c>
      <c r="J301" s="1">
        <v>191.92</v>
      </c>
      <c r="K301" t="s">
        <v>19</v>
      </c>
      <c r="L301" t="s">
        <v>20</v>
      </c>
      <c r="M301" s="2">
        <v>6</v>
      </c>
      <c r="N301" t="s">
        <v>31</v>
      </c>
    </row>
    <row r="302" spans="1:14" x14ac:dyDescent="0.3">
      <c r="A302" t="s">
        <v>338</v>
      </c>
      <c r="B302" s="2">
        <v>64</v>
      </c>
      <c r="C302" t="s">
        <v>23</v>
      </c>
      <c r="D302" t="s">
        <v>28</v>
      </c>
      <c r="E302" t="s">
        <v>29</v>
      </c>
      <c r="F302" s="3">
        <v>45877</v>
      </c>
      <c r="G302" s="3">
        <v>45944</v>
      </c>
      <c r="H302" s="2">
        <v>19</v>
      </c>
      <c r="I302" s="1">
        <v>4029.52</v>
      </c>
      <c r="J302" s="1">
        <v>212.08</v>
      </c>
      <c r="K302" t="s">
        <v>19</v>
      </c>
      <c r="L302" t="s">
        <v>26</v>
      </c>
      <c r="M302" s="2">
        <v>7</v>
      </c>
      <c r="N302" t="s">
        <v>21</v>
      </c>
    </row>
    <row r="303" spans="1:14" x14ac:dyDescent="0.3">
      <c r="A303" t="s">
        <v>339</v>
      </c>
      <c r="B303" s="2">
        <v>20</v>
      </c>
      <c r="C303" t="s">
        <v>23</v>
      </c>
      <c r="D303" t="s">
        <v>17</v>
      </c>
      <c r="E303" t="s">
        <v>18</v>
      </c>
      <c r="F303" s="3">
        <v>45748</v>
      </c>
      <c r="G303" s="3">
        <v>45871</v>
      </c>
      <c r="H303" s="2">
        <v>21</v>
      </c>
      <c r="I303" s="1">
        <v>4028.64</v>
      </c>
      <c r="J303" s="1">
        <v>191.84</v>
      </c>
      <c r="K303" t="s">
        <v>35</v>
      </c>
      <c r="L303" t="s">
        <v>26</v>
      </c>
      <c r="M303" s="2">
        <v>9</v>
      </c>
      <c r="N303" t="s">
        <v>21</v>
      </c>
    </row>
    <row r="304" spans="1:14" x14ac:dyDescent="0.3">
      <c r="A304" t="s">
        <v>340</v>
      </c>
      <c r="B304" s="2">
        <v>52</v>
      </c>
      <c r="C304" t="s">
        <v>16</v>
      </c>
      <c r="D304" t="s">
        <v>28</v>
      </c>
      <c r="E304" t="s">
        <v>38</v>
      </c>
      <c r="F304" s="3">
        <v>45455</v>
      </c>
      <c r="G304" s="3">
        <v>45559</v>
      </c>
      <c r="H304" s="2">
        <v>23</v>
      </c>
      <c r="I304" s="1">
        <v>4019.71</v>
      </c>
      <c r="J304" s="1">
        <v>174.77</v>
      </c>
      <c r="K304" t="s">
        <v>35</v>
      </c>
      <c r="L304" t="s">
        <v>20</v>
      </c>
      <c r="M304" s="2">
        <v>2</v>
      </c>
      <c r="N304" t="s">
        <v>21</v>
      </c>
    </row>
    <row r="305" spans="1:14" x14ac:dyDescent="0.3">
      <c r="A305" t="s">
        <v>341</v>
      </c>
      <c r="B305" s="2">
        <v>28</v>
      </c>
      <c r="C305" t="s">
        <v>23</v>
      </c>
      <c r="D305" t="s">
        <v>61</v>
      </c>
      <c r="E305" t="s">
        <v>18</v>
      </c>
      <c r="F305" s="3">
        <v>45416</v>
      </c>
      <c r="G305" s="3">
        <v>45430</v>
      </c>
      <c r="H305" s="2">
        <v>21</v>
      </c>
      <c r="I305" s="1">
        <v>4000.08</v>
      </c>
      <c r="J305" s="1">
        <v>190.48</v>
      </c>
      <c r="K305" t="s">
        <v>19</v>
      </c>
      <c r="L305" t="s">
        <v>26</v>
      </c>
      <c r="M305" s="2">
        <v>2</v>
      </c>
      <c r="N305" t="s">
        <v>21</v>
      </c>
    </row>
    <row r="306" spans="1:14" x14ac:dyDescent="0.3">
      <c r="A306" t="s">
        <v>342</v>
      </c>
      <c r="B306" s="2">
        <v>23</v>
      </c>
      <c r="C306" t="s">
        <v>23</v>
      </c>
      <c r="D306" t="s">
        <v>24</v>
      </c>
      <c r="E306" t="s">
        <v>34</v>
      </c>
      <c r="F306" s="3">
        <v>45845</v>
      </c>
      <c r="G306" s="3">
        <v>45941</v>
      </c>
      <c r="H306" s="2">
        <v>21</v>
      </c>
      <c r="I306" s="1">
        <v>3997.56</v>
      </c>
      <c r="J306" s="1">
        <v>190.36</v>
      </c>
      <c r="K306" t="s">
        <v>19</v>
      </c>
      <c r="L306" t="s">
        <v>20</v>
      </c>
      <c r="M306" s="2">
        <v>5</v>
      </c>
      <c r="N306" t="s">
        <v>21</v>
      </c>
    </row>
    <row r="307" spans="1:14" x14ac:dyDescent="0.3">
      <c r="A307" t="s">
        <v>343</v>
      </c>
      <c r="B307" s="2">
        <v>28</v>
      </c>
      <c r="C307" t="s">
        <v>16</v>
      </c>
      <c r="D307" t="s">
        <v>42</v>
      </c>
      <c r="E307" t="s">
        <v>34</v>
      </c>
      <c r="F307" s="3">
        <v>45441</v>
      </c>
      <c r="G307" s="3">
        <v>45604</v>
      </c>
      <c r="H307" s="2">
        <v>15</v>
      </c>
      <c r="I307" s="1">
        <v>3988.95</v>
      </c>
      <c r="J307" s="1">
        <v>265.93</v>
      </c>
      <c r="K307" t="s">
        <v>35</v>
      </c>
      <c r="L307" t="s">
        <v>20</v>
      </c>
      <c r="M307" s="2">
        <v>6</v>
      </c>
      <c r="N307" t="s">
        <v>31</v>
      </c>
    </row>
    <row r="308" spans="1:14" x14ac:dyDescent="0.3">
      <c r="A308" t="s">
        <v>344</v>
      </c>
      <c r="B308" s="2">
        <v>46</v>
      </c>
      <c r="C308" t="s">
        <v>16</v>
      </c>
      <c r="D308" t="s">
        <v>42</v>
      </c>
      <c r="E308" t="s">
        <v>29</v>
      </c>
      <c r="F308" s="3">
        <v>45370</v>
      </c>
      <c r="G308" s="3">
        <v>45423</v>
      </c>
      <c r="H308" s="2">
        <v>17</v>
      </c>
      <c r="I308" s="1">
        <v>3988.71</v>
      </c>
      <c r="J308" s="1">
        <v>234.63</v>
      </c>
      <c r="K308" t="s">
        <v>19</v>
      </c>
      <c r="L308" t="s">
        <v>30</v>
      </c>
      <c r="M308" s="2">
        <v>8</v>
      </c>
      <c r="N308" t="s">
        <v>21</v>
      </c>
    </row>
    <row r="309" spans="1:14" x14ac:dyDescent="0.3">
      <c r="A309" t="s">
        <v>345</v>
      </c>
      <c r="B309" s="2">
        <v>47</v>
      </c>
      <c r="C309" t="s">
        <v>16</v>
      </c>
      <c r="D309" t="s">
        <v>17</v>
      </c>
      <c r="E309" t="s">
        <v>34</v>
      </c>
      <c r="F309" s="3">
        <v>45637</v>
      </c>
      <c r="G309" s="3">
        <v>45699</v>
      </c>
      <c r="H309" s="2">
        <v>17</v>
      </c>
      <c r="I309" s="1">
        <v>3986.16</v>
      </c>
      <c r="J309" s="1">
        <v>234.48</v>
      </c>
      <c r="K309" t="s">
        <v>39</v>
      </c>
      <c r="L309" t="s">
        <v>26</v>
      </c>
      <c r="M309" s="2">
        <v>2</v>
      </c>
      <c r="N309" t="s">
        <v>21</v>
      </c>
    </row>
    <row r="310" spans="1:14" x14ac:dyDescent="0.3">
      <c r="A310" t="s">
        <v>346</v>
      </c>
      <c r="B310" s="2">
        <v>56</v>
      </c>
      <c r="C310" t="s">
        <v>23</v>
      </c>
      <c r="D310" t="s">
        <v>44</v>
      </c>
      <c r="E310" t="s">
        <v>34</v>
      </c>
      <c r="F310" s="3">
        <v>45484</v>
      </c>
      <c r="G310" s="3">
        <v>45560</v>
      </c>
      <c r="H310" s="2">
        <v>17</v>
      </c>
      <c r="I310" s="1">
        <v>3983.61</v>
      </c>
      <c r="J310" s="1">
        <v>234.33</v>
      </c>
      <c r="K310" t="s">
        <v>25</v>
      </c>
      <c r="L310" t="s">
        <v>20</v>
      </c>
      <c r="M310" s="2">
        <v>1</v>
      </c>
      <c r="N310" t="s">
        <v>21</v>
      </c>
    </row>
    <row r="311" spans="1:14" x14ac:dyDescent="0.3">
      <c r="A311" t="s">
        <v>347</v>
      </c>
      <c r="B311" s="2">
        <v>62</v>
      </c>
      <c r="C311" t="s">
        <v>23</v>
      </c>
      <c r="D311" t="s">
        <v>42</v>
      </c>
      <c r="E311" t="s">
        <v>34</v>
      </c>
      <c r="F311" s="3">
        <v>45724</v>
      </c>
      <c r="G311" s="3">
        <v>45846</v>
      </c>
      <c r="H311" s="2">
        <v>17</v>
      </c>
      <c r="I311" s="1">
        <v>3979.19</v>
      </c>
      <c r="J311" s="1">
        <v>234.07</v>
      </c>
      <c r="K311" t="s">
        <v>35</v>
      </c>
      <c r="L311" t="s">
        <v>30</v>
      </c>
      <c r="M311" s="2">
        <v>2</v>
      </c>
      <c r="N311" t="s">
        <v>21</v>
      </c>
    </row>
    <row r="312" spans="1:14" x14ac:dyDescent="0.3">
      <c r="A312" t="s">
        <v>348</v>
      </c>
      <c r="B312" s="2">
        <v>30</v>
      </c>
      <c r="C312" t="s">
        <v>16</v>
      </c>
      <c r="D312" t="s">
        <v>28</v>
      </c>
      <c r="E312" t="s">
        <v>29</v>
      </c>
      <c r="F312" s="3">
        <v>45300</v>
      </c>
      <c r="G312" s="3">
        <v>45454</v>
      </c>
      <c r="H312" s="2">
        <v>21</v>
      </c>
      <c r="I312" s="1">
        <v>3974.67</v>
      </c>
      <c r="J312" s="1">
        <v>189.27</v>
      </c>
      <c r="K312" t="s">
        <v>35</v>
      </c>
      <c r="L312" t="s">
        <v>30</v>
      </c>
      <c r="M312" s="2">
        <v>7</v>
      </c>
      <c r="N312" t="s">
        <v>31</v>
      </c>
    </row>
    <row r="313" spans="1:14" x14ac:dyDescent="0.3">
      <c r="A313" t="s">
        <v>349</v>
      </c>
      <c r="B313" s="2">
        <v>64</v>
      </c>
      <c r="C313" t="s">
        <v>23</v>
      </c>
      <c r="D313" t="s">
        <v>44</v>
      </c>
      <c r="E313" t="s">
        <v>38</v>
      </c>
      <c r="F313" s="3">
        <v>45651</v>
      </c>
      <c r="G313" s="3">
        <v>45808</v>
      </c>
      <c r="H313" s="2">
        <v>15</v>
      </c>
      <c r="I313" s="1">
        <v>3972</v>
      </c>
      <c r="J313" s="1">
        <v>264.8</v>
      </c>
      <c r="K313" t="s">
        <v>35</v>
      </c>
      <c r="L313" t="s">
        <v>26</v>
      </c>
      <c r="M313" s="2">
        <v>3</v>
      </c>
      <c r="N313" t="s">
        <v>31</v>
      </c>
    </row>
    <row r="314" spans="1:14" x14ac:dyDescent="0.3">
      <c r="A314" t="s">
        <v>350</v>
      </c>
      <c r="B314" s="2">
        <v>41</v>
      </c>
      <c r="C314" t="s">
        <v>23</v>
      </c>
      <c r="D314" t="s">
        <v>17</v>
      </c>
      <c r="E314" t="s">
        <v>34</v>
      </c>
      <c r="F314" s="3">
        <v>45795</v>
      </c>
      <c r="G314" s="3">
        <v>46002</v>
      </c>
      <c r="H314" s="2">
        <v>14</v>
      </c>
      <c r="I314" s="1">
        <v>3965.92</v>
      </c>
      <c r="J314" s="1">
        <v>283.27999999999997</v>
      </c>
      <c r="K314" t="s">
        <v>19</v>
      </c>
      <c r="L314" t="s">
        <v>30</v>
      </c>
      <c r="M314" s="2">
        <v>7</v>
      </c>
      <c r="N314" t="s">
        <v>21</v>
      </c>
    </row>
    <row r="315" spans="1:14" x14ac:dyDescent="0.3">
      <c r="A315" t="s">
        <v>351</v>
      </c>
      <c r="B315" s="2">
        <v>48</v>
      </c>
      <c r="C315" t="s">
        <v>16</v>
      </c>
      <c r="D315" t="s">
        <v>44</v>
      </c>
      <c r="E315" t="s">
        <v>38</v>
      </c>
      <c r="F315" s="3">
        <v>45375</v>
      </c>
      <c r="G315" s="3">
        <v>45553</v>
      </c>
      <c r="H315" s="2">
        <v>14</v>
      </c>
      <c r="I315" s="1">
        <v>3961.16</v>
      </c>
      <c r="J315" s="1">
        <v>282.94</v>
      </c>
      <c r="K315" t="s">
        <v>45</v>
      </c>
      <c r="L315" t="s">
        <v>20</v>
      </c>
      <c r="M315" s="2">
        <v>4</v>
      </c>
      <c r="N315" t="s">
        <v>21</v>
      </c>
    </row>
    <row r="316" spans="1:14" x14ac:dyDescent="0.3">
      <c r="A316" t="s">
        <v>352</v>
      </c>
      <c r="B316" s="2">
        <v>65</v>
      </c>
      <c r="C316" t="s">
        <v>16</v>
      </c>
      <c r="D316" t="s">
        <v>50</v>
      </c>
      <c r="E316" t="s">
        <v>18</v>
      </c>
      <c r="F316" s="3">
        <v>45515</v>
      </c>
      <c r="G316" s="3">
        <v>45603</v>
      </c>
      <c r="H316" s="2">
        <v>23</v>
      </c>
      <c r="I316" s="1">
        <v>3959.22</v>
      </c>
      <c r="J316" s="1">
        <v>172.14</v>
      </c>
      <c r="K316" t="s">
        <v>25</v>
      </c>
      <c r="L316" t="s">
        <v>30</v>
      </c>
      <c r="M316" s="2">
        <v>10</v>
      </c>
      <c r="N316" t="s">
        <v>21</v>
      </c>
    </row>
    <row r="317" spans="1:14" x14ac:dyDescent="0.3">
      <c r="A317" t="s">
        <v>353</v>
      </c>
      <c r="B317" s="2">
        <v>30</v>
      </c>
      <c r="C317" t="s">
        <v>23</v>
      </c>
      <c r="D317" t="s">
        <v>28</v>
      </c>
      <c r="E317" t="s">
        <v>29</v>
      </c>
      <c r="F317" s="3">
        <v>45916</v>
      </c>
      <c r="G317" s="3">
        <v>46023</v>
      </c>
      <c r="H317" s="2">
        <v>19</v>
      </c>
      <c r="I317" s="1">
        <v>3954.47</v>
      </c>
      <c r="J317" s="1">
        <v>208.13</v>
      </c>
      <c r="K317" t="s">
        <v>25</v>
      </c>
      <c r="L317" t="s">
        <v>20</v>
      </c>
      <c r="M317" s="2">
        <v>3</v>
      </c>
      <c r="N317" t="s">
        <v>21</v>
      </c>
    </row>
    <row r="318" spans="1:14" x14ac:dyDescent="0.3">
      <c r="A318" t="s">
        <v>354</v>
      </c>
      <c r="B318" s="2">
        <v>50</v>
      </c>
      <c r="C318" t="s">
        <v>16</v>
      </c>
      <c r="D318" t="s">
        <v>28</v>
      </c>
      <c r="E318" t="s">
        <v>18</v>
      </c>
      <c r="F318" s="3">
        <v>45907</v>
      </c>
      <c r="G318" s="3">
        <v>46000</v>
      </c>
      <c r="H318" s="2">
        <v>14</v>
      </c>
      <c r="I318" s="1">
        <v>3950.52</v>
      </c>
      <c r="J318" s="1">
        <v>282.18</v>
      </c>
      <c r="K318" t="s">
        <v>45</v>
      </c>
      <c r="L318" t="s">
        <v>30</v>
      </c>
      <c r="M318" s="2">
        <v>8</v>
      </c>
      <c r="N318" t="s">
        <v>21</v>
      </c>
    </row>
    <row r="319" spans="1:14" x14ac:dyDescent="0.3">
      <c r="A319" t="s">
        <v>355</v>
      </c>
      <c r="B319" s="2">
        <v>34</v>
      </c>
      <c r="C319" t="s">
        <v>16</v>
      </c>
      <c r="D319" t="s">
        <v>24</v>
      </c>
      <c r="E319" t="s">
        <v>29</v>
      </c>
      <c r="F319" s="3">
        <v>45308</v>
      </c>
      <c r="G319" s="3">
        <v>45472</v>
      </c>
      <c r="H319" s="2">
        <v>25</v>
      </c>
      <c r="I319" s="1">
        <v>3914.5</v>
      </c>
      <c r="J319" s="1">
        <v>156.58000000000001</v>
      </c>
      <c r="K319" t="s">
        <v>45</v>
      </c>
      <c r="L319" t="s">
        <v>20</v>
      </c>
      <c r="M319" s="2">
        <v>10</v>
      </c>
      <c r="N319" t="s">
        <v>21</v>
      </c>
    </row>
    <row r="320" spans="1:14" x14ac:dyDescent="0.3">
      <c r="A320" t="s">
        <v>356</v>
      </c>
      <c r="B320" s="2">
        <v>61</v>
      </c>
      <c r="C320" t="s">
        <v>16</v>
      </c>
      <c r="D320" t="s">
        <v>61</v>
      </c>
      <c r="E320" t="s">
        <v>18</v>
      </c>
      <c r="F320" s="3">
        <v>45348</v>
      </c>
      <c r="G320" s="3">
        <v>45502</v>
      </c>
      <c r="H320" s="2">
        <v>20</v>
      </c>
      <c r="I320" s="1">
        <v>3906.6</v>
      </c>
      <c r="J320" s="1">
        <v>195.33</v>
      </c>
      <c r="K320" t="s">
        <v>45</v>
      </c>
      <c r="L320" t="s">
        <v>26</v>
      </c>
      <c r="M320" s="2">
        <v>7</v>
      </c>
      <c r="N320" t="s">
        <v>31</v>
      </c>
    </row>
    <row r="321" spans="1:14" x14ac:dyDescent="0.3">
      <c r="A321" t="s">
        <v>357</v>
      </c>
      <c r="B321" s="2">
        <v>59</v>
      </c>
      <c r="C321" t="s">
        <v>23</v>
      </c>
      <c r="D321" t="s">
        <v>17</v>
      </c>
      <c r="E321" t="s">
        <v>29</v>
      </c>
      <c r="F321" s="3">
        <v>45871</v>
      </c>
      <c r="G321" s="3">
        <v>45892</v>
      </c>
      <c r="H321" s="2">
        <v>24</v>
      </c>
      <c r="I321" s="1">
        <v>3902.64</v>
      </c>
      <c r="J321" s="1">
        <v>162.61000000000001</v>
      </c>
      <c r="K321" t="s">
        <v>25</v>
      </c>
      <c r="L321" t="s">
        <v>30</v>
      </c>
      <c r="M321" s="2">
        <v>1</v>
      </c>
      <c r="N321" t="s">
        <v>21</v>
      </c>
    </row>
    <row r="322" spans="1:14" x14ac:dyDescent="0.3">
      <c r="A322" t="s">
        <v>358</v>
      </c>
      <c r="B322" s="2">
        <v>46</v>
      </c>
      <c r="C322" t="s">
        <v>16</v>
      </c>
      <c r="D322" t="s">
        <v>24</v>
      </c>
      <c r="E322" t="s">
        <v>38</v>
      </c>
      <c r="F322" s="3">
        <v>45305</v>
      </c>
      <c r="G322" s="3">
        <v>45387</v>
      </c>
      <c r="H322" s="2">
        <v>17</v>
      </c>
      <c r="I322" s="1">
        <v>3901.16</v>
      </c>
      <c r="J322" s="1">
        <v>229.48</v>
      </c>
      <c r="K322" t="s">
        <v>35</v>
      </c>
      <c r="L322" t="s">
        <v>30</v>
      </c>
      <c r="M322" s="2">
        <v>9</v>
      </c>
      <c r="N322" t="s">
        <v>31</v>
      </c>
    </row>
    <row r="323" spans="1:14" x14ac:dyDescent="0.3">
      <c r="A323" t="s">
        <v>359</v>
      </c>
      <c r="B323" s="2">
        <v>46</v>
      </c>
      <c r="C323" t="s">
        <v>16</v>
      </c>
      <c r="D323" t="s">
        <v>28</v>
      </c>
      <c r="E323" t="s">
        <v>29</v>
      </c>
      <c r="F323" s="3">
        <v>45641</v>
      </c>
      <c r="G323" s="3">
        <v>45781</v>
      </c>
      <c r="H323" s="2">
        <v>22</v>
      </c>
      <c r="I323" s="1">
        <v>3897.3</v>
      </c>
      <c r="J323" s="1">
        <v>177.15</v>
      </c>
      <c r="K323" t="s">
        <v>35</v>
      </c>
      <c r="L323" t="s">
        <v>30</v>
      </c>
      <c r="M323" s="2">
        <v>6</v>
      </c>
      <c r="N323" t="s">
        <v>21</v>
      </c>
    </row>
    <row r="324" spans="1:14" x14ac:dyDescent="0.3">
      <c r="A324" t="s">
        <v>360</v>
      </c>
      <c r="B324" s="2">
        <v>49</v>
      </c>
      <c r="C324" t="s">
        <v>16</v>
      </c>
      <c r="D324" t="s">
        <v>24</v>
      </c>
      <c r="E324" t="s">
        <v>34</v>
      </c>
      <c r="F324" s="3">
        <v>45330</v>
      </c>
      <c r="G324" s="3">
        <v>45426</v>
      </c>
      <c r="H324" s="2">
        <v>22</v>
      </c>
      <c r="I324" s="1">
        <v>3890.92</v>
      </c>
      <c r="J324" s="1">
        <v>176.86</v>
      </c>
      <c r="K324" t="s">
        <v>25</v>
      </c>
      <c r="L324" t="s">
        <v>26</v>
      </c>
      <c r="M324" s="2">
        <v>7</v>
      </c>
      <c r="N324" t="s">
        <v>31</v>
      </c>
    </row>
    <row r="325" spans="1:14" x14ac:dyDescent="0.3">
      <c r="A325" t="s">
        <v>361</v>
      </c>
      <c r="B325" s="2">
        <v>30</v>
      </c>
      <c r="C325" t="s">
        <v>16</v>
      </c>
      <c r="D325" t="s">
        <v>24</v>
      </c>
      <c r="E325" t="s">
        <v>18</v>
      </c>
      <c r="F325" s="3">
        <v>45371</v>
      </c>
      <c r="G325" s="3">
        <v>45380</v>
      </c>
      <c r="H325" s="2">
        <v>25</v>
      </c>
      <c r="I325" s="1">
        <v>3889.75</v>
      </c>
      <c r="J325" s="1">
        <v>155.59</v>
      </c>
      <c r="K325" t="s">
        <v>35</v>
      </c>
      <c r="L325" t="s">
        <v>30</v>
      </c>
      <c r="M325" s="2">
        <v>5</v>
      </c>
      <c r="N325" t="s">
        <v>21</v>
      </c>
    </row>
    <row r="326" spans="1:14" x14ac:dyDescent="0.3">
      <c r="A326" t="s">
        <v>362</v>
      </c>
      <c r="B326" s="2">
        <v>19</v>
      </c>
      <c r="C326" t="s">
        <v>23</v>
      </c>
      <c r="D326" t="s">
        <v>24</v>
      </c>
      <c r="E326" t="s">
        <v>34</v>
      </c>
      <c r="F326" s="3">
        <v>45674</v>
      </c>
      <c r="G326" s="3">
        <v>45794</v>
      </c>
      <c r="H326" s="2">
        <v>13</v>
      </c>
      <c r="I326" s="1">
        <v>3880.110000000001</v>
      </c>
      <c r="J326" s="1">
        <v>298.47000000000003</v>
      </c>
      <c r="K326" t="s">
        <v>25</v>
      </c>
      <c r="L326" t="s">
        <v>30</v>
      </c>
      <c r="M326" s="2">
        <v>1</v>
      </c>
      <c r="N326" t="s">
        <v>21</v>
      </c>
    </row>
    <row r="327" spans="1:14" x14ac:dyDescent="0.3">
      <c r="A327" t="s">
        <v>363</v>
      </c>
      <c r="B327" s="2">
        <v>34</v>
      </c>
      <c r="C327" t="s">
        <v>23</v>
      </c>
      <c r="D327" t="s">
        <v>24</v>
      </c>
      <c r="E327" t="s">
        <v>18</v>
      </c>
      <c r="F327" s="3">
        <v>45802</v>
      </c>
      <c r="G327" s="3">
        <v>45909</v>
      </c>
      <c r="H327" s="2">
        <v>18</v>
      </c>
      <c r="I327" s="1">
        <v>3876.48</v>
      </c>
      <c r="J327" s="1">
        <v>215.36</v>
      </c>
      <c r="K327" t="s">
        <v>35</v>
      </c>
      <c r="L327" t="s">
        <v>20</v>
      </c>
      <c r="M327" s="2">
        <v>6</v>
      </c>
      <c r="N327" t="s">
        <v>21</v>
      </c>
    </row>
    <row r="328" spans="1:14" x14ac:dyDescent="0.3">
      <c r="A328" t="s">
        <v>364</v>
      </c>
      <c r="B328" s="2">
        <v>60</v>
      </c>
      <c r="C328" t="s">
        <v>16</v>
      </c>
      <c r="D328" t="s">
        <v>28</v>
      </c>
      <c r="E328" t="s">
        <v>18</v>
      </c>
      <c r="F328" s="3">
        <v>45842</v>
      </c>
      <c r="G328" s="3">
        <v>46099</v>
      </c>
      <c r="H328" s="2">
        <v>21</v>
      </c>
      <c r="I328" s="1">
        <v>3875.34</v>
      </c>
      <c r="J328" s="1">
        <v>184.54</v>
      </c>
      <c r="K328" t="s">
        <v>19</v>
      </c>
      <c r="L328" t="s">
        <v>26</v>
      </c>
      <c r="M328" s="2">
        <v>5</v>
      </c>
      <c r="N328" t="s">
        <v>21</v>
      </c>
    </row>
    <row r="329" spans="1:14" x14ac:dyDescent="0.3">
      <c r="A329" t="s">
        <v>365</v>
      </c>
      <c r="B329" s="2">
        <v>48</v>
      </c>
      <c r="C329" t="s">
        <v>23</v>
      </c>
      <c r="D329" t="s">
        <v>42</v>
      </c>
      <c r="E329" t="s">
        <v>18</v>
      </c>
      <c r="F329" s="3">
        <v>45671</v>
      </c>
      <c r="G329" s="3">
        <v>45693</v>
      </c>
      <c r="H329" s="2">
        <v>23</v>
      </c>
      <c r="I329" s="1">
        <v>3872.05</v>
      </c>
      <c r="J329" s="1">
        <v>168.35</v>
      </c>
      <c r="K329" t="s">
        <v>35</v>
      </c>
      <c r="L329" t="s">
        <v>30</v>
      </c>
      <c r="M329" s="2">
        <v>5</v>
      </c>
      <c r="N329" t="s">
        <v>21</v>
      </c>
    </row>
    <row r="330" spans="1:14" x14ac:dyDescent="0.3">
      <c r="A330" t="s">
        <v>366</v>
      </c>
      <c r="B330" s="2">
        <v>24</v>
      </c>
      <c r="C330" t="s">
        <v>16</v>
      </c>
      <c r="D330" t="s">
        <v>44</v>
      </c>
      <c r="E330" t="s">
        <v>34</v>
      </c>
      <c r="F330" s="3">
        <v>45657</v>
      </c>
      <c r="G330" s="3">
        <v>45888</v>
      </c>
      <c r="H330" s="2">
        <v>18</v>
      </c>
      <c r="I330" s="1">
        <v>3867.48</v>
      </c>
      <c r="J330" s="1">
        <v>214.86</v>
      </c>
      <c r="K330" t="s">
        <v>25</v>
      </c>
      <c r="L330" t="s">
        <v>30</v>
      </c>
      <c r="M330" s="2">
        <v>3</v>
      </c>
      <c r="N330" t="s">
        <v>31</v>
      </c>
    </row>
    <row r="331" spans="1:14" x14ac:dyDescent="0.3">
      <c r="A331" t="s">
        <v>367</v>
      </c>
      <c r="B331" s="2">
        <v>36</v>
      </c>
      <c r="C331" t="s">
        <v>23</v>
      </c>
      <c r="D331" t="s">
        <v>17</v>
      </c>
      <c r="E331" t="s">
        <v>38</v>
      </c>
      <c r="F331" s="3">
        <v>45444</v>
      </c>
      <c r="G331" s="3">
        <v>45461</v>
      </c>
      <c r="H331" s="2">
        <v>20</v>
      </c>
      <c r="I331" s="1">
        <v>3867.4</v>
      </c>
      <c r="J331" s="1">
        <v>193.37</v>
      </c>
      <c r="K331" t="s">
        <v>39</v>
      </c>
      <c r="L331" t="s">
        <v>30</v>
      </c>
      <c r="M331" s="2">
        <v>5</v>
      </c>
      <c r="N331" t="s">
        <v>21</v>
      </c>
    </row>
    <row r="332" spans="1:14" x14ac:dyDescent="0.3">
      <c r="A332" t="s">
        <v>368</v>
      </c>
      <c r="B332" s="2">
        <v>65</v>
      </c>
      <c r="C332" t="s">
        <v>16</v>
      </c>
      <c r="D332" t="s">
        <v>50</v>
      </c>
      <c r="E332" t="s">
        <v>38</v>
      </c>
      <c r="F332" s="3">
        <v>45955</v>
      </c>
      <c r="G332" s="3">
        <v>45967</v>
      </c>
      <c r="H332" s="2">
        <v>23</v>
      </c>
      <c r="I332" s="1">
        <v>3866.99</v>
      </c>
      <c r="J332" s="1">
        <v>168.13</v>
      </c>
      <c r="K332" t="s">
        <v>35</v>
      </c>
      <c r="L332" t="s">
        <v>26</v>
      </c>
      <c r="M332" s="2">
        <v>3</v>
      </c>
      <c r="N332" t="s">
        <v>21</v>
      </c>
    </row>
    <row r="333" spans="1:14" x14ac:dyDescent="0.3">
      <c r="A333" t="s">
        <v>369</v>
      </c>
      <c r="B333" s="2">
        <v>27</v>
      </c>
      <c r="C333" t="s">
        <v>16</v>
      </c>
      <c r="D333" t="s">
        <v>61</v>
      </c>
      <c r="E333" t="s">
        <v>38</v>
      </c>
      <c r="F333" s="3">
        <v>45631</v>
      </c>
      <c r="G333" s="3">
        <v>45839</v>
      </c>
      <c r="H333" s="2">
        <v>24</v>
      </c>
      <c r="I333" s="1">
        <v>3864</v>
      </c>
      <c r="J333" s="1">
        <v>161</v>
      </c>
      <c r="K333" t="s">
        <v>35</v>
      </c>
      <c r="L333" t="s">
        <v>20</v>
      </c>
      <c r="M333" s="2">
        <v>1</v>
      </c>
      <c r="N333" t="s">
        <v>21</v>
      </c>
    </row>
    <row r="334" spans="1:14" x14ac:dyDescent="0.3">
      <c r="A334" t="s">
        <v>370</v>
      </c>
      <c r="B334" s="2">
        <v>28</v>
      </c>
      <c r="C334" t="s">
        <v>23</v>
      </c>
      <c r="D334" t="s">
        <v>28</v>
      </c>
      <c r="E334" t="s">
        <v>34</v>
      </c>
      <c r="F334" s="3">
        <v>45506</v>
      </c>
      <c r="G334" s="3">
        <v>45547</v>
      </c>
      <c r="H334" s="2">
        <v>16</v>
      </c>
      <c r="I334" s="1">
        <v>3863.68</v>
      </c>
      <c r="J334" s="1">
        <v>241.48</v>
      </c>
      <c r="K334" t="s">
        <v>35</v>
      </c>
      <c r="L334" t="s">
        <v>20</v>
      </c>
      <c r="M334" s="2">
        <v>8</v>
      </c>
      <c r="N334" t="s">
        <v>21</v>
      </c>
    </row>
    <row r="335" spans="1:14" x14ac:dyDescent="0.3">
      <c r="A335" t="s">
        <v>371</v>
      </c>
      <c r="B335" s="2">
        <v>26</v>
      </c>
      <c r="C335" t="s">
        <v>23</v>
      </c>
      <c r="D335" t="s">
        <v>24</v>
      </c>
      <c r="E335" t="s">
        <v>38</v>
      </c>
      <c r="F335" s="3">
        <v>45544</v>
      </c>
      <c r="G335" s="3">
        <v>45797</v>
      </c>
      <c r="H335" s="2">
        <v>20</v>
      </c>
      <c r="I335" s="1">
        <v>3853.4</v>
      </c>
      <c r="J335" s="1">
        <v>192.67</v>
      </c>
      <c r="K335" t="s">
        <v>45</v>
      </c>
      <c r="L335" t="s">
        <v>20</v>
      </c>
      <c r="M335" s="2">
        <v>7</v>
      </c>
      <c r="N335" t="s">
        <v>21</v>
      </c>
    </row>
    <row r="336" spans="1:14" x14ac:dyDescent="0.3">
      <c r="A336" t="s">
        <v>372</v>
      </c>
      <c r="B336" s="2">
        <v>29</v>
      </c>
      <c r="C336" t="s">
        <v>16</v>
      </c>
      <c r="D336" t="s">
        <v>50</v>
      </c>
      <c r="E336" t="s">
        <v>18</v>
      </c>
      <c r="F336" s="3">
        <v>45738</v>
      </c>
      <c r="G336" s="3">
        <v>45886</v>
      </c>
      <c r="H336" s="2">
        <v>25</v>
      </c>
      <c r="I336" s="1">
        <v>3839.75</v>
      </c>
      <c r="J336" s="1">
        <v>153.59</v>
      </c>
      <c r="K336" t="s">
        <v>19</v>
      </c>
      <c r="L336" t="s">
        <v>20</v>
      </c>
      <c r="M336" s="2">
        <v>6</v>
      </c>
      <c r="N336" t="s">
        <v>31</v>
      </c>
    </row>
    <row r="337" spans="1:14" x14ac:dyDescent="0.3">
      <c r="A337" t="s">
        <v>373</v>
      </c>
      <c r="B337" s="2">
        <v>27</v>
      </c>
      <c r="C337" t="s">
        <v>16</v>
      </c>
      <c r="D337" t="s">
        <v>17</v>
      </c>
      <c r="E337" t="s">
        <v>34</v>
      </c>
      <c r="F337" s="3">
        <v>45591</v>
      </c>
      <c r="G337" s="3">
        <v>45643</v>
      </c>
      <c r="H337" s="2">
        <v>14</v>
      </c>
      <c r="I337" s="1">
        <v>3839.64</v>
      </c>
      <c r="J337" s="1">
        <v>274.26</v>
      </c>
      <c r="K337" t="s">
        <v>39</v>
      </c>
      <c r="L337" t="s">
        <v>26</v>
      </c>
      <c r="M337" s="2">
        <v>8</v>
      </c>
      <c r="N337" t="s">
        <v>21</v>
      </c>
    </row>
    <row r="338" spans="1:14" x14ac:dyDescent="0.3">
      <c r="A338" t="s">
        <v>374</v>
      </c>
      <c r="B338" s="2">
        <v>64</v>
      </c>
      <c r="C338" t="s">
        <v>23</v>
      </c>
      <c r="D338" t="s">
        <v>17</v>
      </c>
      <c r="E338" t="s">
        <v>18</v>
      </c>
      <c r="F338" s="3">
        <v>45752</v>
      </c>
      <c r="G338" s="3">
        <v>45763</v>
      </c>
      <c r="H338" s="2">
        <v>16</v>
      </c>
      <c r="I338" s="1">
        <v>3839.52</v>
      </c>
      <c r="J338" s="1">
        <v>239.97</v>
      </c>
      <c r="K338" t="s">
        <v>35</v>
      </c>
      <c r="L338" t="s">
        <v>26</v>
      </c>
      <c r="M338" s="2">
        <v>1</v>
      </c>
      <c r="N338" t="s">
        <v>21</v>
      </c>
    </row>
    <row r="339" spans="1:14" x14ac:dyDescent="0.3">
      <c r="A339" t="s">
        <v>375</v>
      </c>
      <c r="B339" s="2">
        <v>43</v>
      </c>
      <c r="C339" t="s">
        <v>16</v>
      </c>
      <c r="D339" t="s">
        <v>61</v>
      </c>
      <c r="E339" t="s">
        <v>38</v>
      </c>
      <c r="F339" s="3">
        <v>45914</v>
      </c>
      <c r="G339" s="3">
        <v>46207</v>
      </c>
      <c r="H339" s="2">
        <v>13</v>
      </c>
      <c r="I339" s="1">
        <v>3827.85</v>
      </c>
      <c r="J339" s="1">
        <v>294.45</v>
      </c>
      <c r="K339" t="s">
        <v>25</v>
      </c>
      <c r="L339" t="s">
        <v>26</v>
      </c>
      <c r="M339" s="2">
        <v>2</v>
      </c>
      <c r="N339" t="s">
        <v>21</v>
      </c>
    </row>
    <row r="340" spans="1:14" x14ac:dyDescent="0.3">
      <c r="A340" t="s">
        <v>376</v>
      </c>
      <c r="B340" s="2">
        <v>56</v>
      </c>
      <c r="C340" t="s">
        <v>16</v>
      </c>
      <c r="D340" t="s">
        <v>44</v>
      </c>
      <c r="E340" t="s">
        <v>29</v>
      </c>
      <c r="F340" s="3">
        <v>45743</v>
      </c>
      <c r="G340" s="3">
        <v>45963</v>
      </c>
      <c r="H340" s="2">
        <v>13</v>
      </c>
      <c r="I340" s="1">
        <v>3826.16</v>
      </c>
      <c r="J340" s="1">
        <v>294.32</v>
      </c>
      <c r="K340" t="s">
        <v>19</v>
      </c>
      <c r="L340" t="s">
        <v>26</v>
      </c>
      <c r="M340" s="2">
        <v>6</v>
      </c>
      <c r="N340" t="s">
        <v>21</v>
      </c>
    </row>
    <row r="341" spans="1:14" x14ac:dyDescent="0.3">
      <c r="A341" t="s">
        <v>377</v>
      </c>
      <c r="B341" s="2">
        <v>35</v>
      </c>
      <c r="C341" t="s">
        <v>16</v>
      </c>
      <c r="D341" t="s">
        <v>42</v>
      </c>
      <c r="E341" t="s">
        <v>18</v>
      </c>
      <c r="F341" s="3">
        <v>45765</v>
      </c>
      <c r="G341" s="3">
        <v>46030</v>
      </c>
      <c r="H341" s="2">
        <v>15</v>
      </c>
      <c r="I341" s="1">
        <v>3824.7</v>
      </c>
      <c r="J341" s="1">
        <v>254.98</v>
      </c>
      <c r="K341" t="s">
        <v>45</v>
      </c>
      <c r="L341" t="s">
        <v>20</v>
      </c>
      <c r="M341" s="2">
        <v>8</v>
      </c>
      <c r="N341" t="s">
        <v>31</v>
      </c>
    </row>
    <row r="342" spans="1:14" x14ac:dyDescent="0.3">
      <c r="A342" t="s">
        <v>378</v>
      </c>
      <c r="B342" s="2">
        <v>61</v>
      </c>
      <c r="C342" t="s">
        <v>16</v>
      </c>
      <c r="D342" t="s">
        <v>44</v>
      </c>
      <c r="E342" t="s">
        <v>34</v>
      </c>
      <c r="F342" s="3">
        <v>45875</v>
      </c>
      <c r="G342" s="3">
        <v>45991</v>
      </c>
      <c r="H342" s="2">
        <v>17</v>
      </c>
      <c r="I342" s="1">
        <v>3809.53</v>
      </c>
      <c r="J342" s="1">
        <v>224.09</v>
      </c>
      <c r="K342" t="s">
        <v>19</v>
      </c>
      <c r="L342" t="s">
        <v>26</v>
      </c>
      <c r="M342" s="2">
        <v>1</v>
      </c>
      <c r="N342" t="s">
        <v>21</v>
      </c>
    </row>
    <row r="343" spans="1:14" x14ac:dyDescent="0.3">
      <c r="A343" t="s">
        <v>379</v>
      </c>
      <c r="B343" s="2">
        <v>22</v>
      </c>
      <c r="C343" t="s">
        <v>16</v>
      </c>
      <c r="D343" t="s">
        <v>61</v>
      </c>
      <c r="E343" t="s">
        <v>18</v>
      </c>
      <c r="F343" s="3">
        <v>45851</v>
      </c>
      <c r="G343" s="3">
        <v>45939</v>
      </c>
      <c r="H343" s="2">
        <v>25</v>
      </c>
      <c r="I343" s="1">
        <v>3797</v>
      </c>
      <c r="J343" s="1">
        <v>151.88</v>
      </c>
      <c r="K343" t="s">
        <v>39</v>
      </c>
      <c r="L343" t="s">
        <v>26</v>
      </c>
      <c r="M343" s="2">
        <v>4</v>
      </c>
      <c r="N343" t="s">
        <v>21</v>
      </c>
    </row>
    <row r="344" spans="1:14" x14ac:dyDescent="0.3">
      <c r="A344" t="s">
        <v>380</v>
      </c>
      <c r="B344" s="2">
        <v>20</v>
      </c>
      <c r="C344" t="s">
        <v>23</v>
      </c>
      <c r="D344" t="s">
        <v>50</v>
      </c>
      <c r="E344" t="s">
        <v>38</v>
      </c>
      <c r="F344" s="3">
        <v>45627</v>
      </c>
      <c r="G344" s="3">
        <v>45917</v>
      </c>
      <c r="H344" s="2">
        <v>13</v>
      </c>
      <c r="I344" s="1">
        <v>3786.9</v>
      </c>
      <c r="J344" s="1">
        <v>291.3</v>
      </c>
      <c r="K344" t="s">
        <v>19</v>
      </c>
      <c r="L344" t="s">
        <v>20</v>
      </c>
      <c r="M344" s="2">
        <v>9</v>
      </c>
      <c r="N344" t="s">
        <v>21</v>
      </c>
    </row>
    <row r="345" spans="1:14" x14ac:dyDescent="0.3">
      <c r="A345" t="s">
        <v>381</v>
      </c>
      <c r="B345" s="2">
        <v>65</v>
      </c>
      <c r="C345" t="s">
        <v>16</v>
      </c>
      <c r="D345" t="s">
        <v>50</v>
      </c>
      <c r="E345" t="s">
        <v>18</v>
      </c>
      <c r="F345" s="3">
        <v>45791</v>
      </c>
      <c r="G345" s="3">
        <v>45993</v>
      </c>
      <c r="H345" s="2">
        <v>21</v>
      </c>
      <c r="I345" s="1">
        <v>3779.37</v>
      </c>
      <c r="J345" s="1">
        <v>179.97</v>
      </c>
      <c r="K345" t="s">
        <v>45</v>
      </c>
      <c r="L345" t="s">
        <v>26</v>
      </c>
      <c r="M345" s="2">
        <v>6</v>
      </c>
      <c r="N345" t="s">
        <v>21</v>
      </c>
    </row>
    <row r="346" spans="1:14" x14ac:dyDescent="0.3">
      <c r="A346" t="s">
        <v>382</v>
      </c>
      <c r="B346" s="2">
        <v>30</v>
      </c>
      <c r="C346" t="s">
        <v>16</v>
      </c>
      <c r="D346" t="s">
        <v>50</v>
      </c>
      <c r="E346" t="s">
        <v>34</v>
      </c>
      <c r="F346" s="3">
        <v>45294</v>
      </c>
      <c r="G346" s="3">
        <v>45347</v>
      </c>
      <c r="H346" s="2">
        <v>16</v>
      </c>
      <c r="I346" s="1">
        <v>3776.64</v>
      </c>
      <c r="J346" s="1">
        <v>236.04</v>
      </c>
      <c r="K346" t="s">
        <v>19</v>
      </c>
      <c r="L346" t="s">
        <v>26</v>
      </c>
      <c r="M346" s="2">
        <v>9</v>
      </c>
      <c r="N346" t="s">
        <v>21</v>
      </c>
    </row>
    <row r="347" spans="1:14" x14ac:dyDescent="0.3">
      <c r="A347" t="s">
        <v>383</v>
      </c>
      <c r="B347" s="2">
        <v>40</v>
      </c>
      <c r="C347" t="s">
        <v>23</v>
      </c>
      <c r="D347" t="s">
        <v>17</v>
      </c>
      <c r="E347" t="s">
        <v>18</v>
      </c>
      <c r="F347" s="3">
        <v>45592</v>
      </c>
      <c r="G347" s="3">
        <v>45805</v>
      </c>
      <c r="H347" s="2">
        <v>22</v>
      </c>
      <c r="I347" s="1">
        <v>3775.2</v>
      </c>
      <c r="J347" s="1">
        <v>171.6</v>
      </c>
      <c r="K347" t="s">
        <v>45</v>
      </c>
      <c r="L347" t="s">
        <v>30</v>
      </c>
      <c r="M347" s="2">
        <v>2</v>
      </c>
      <c r="N347" t="s">
        <v>31</v>
      </c>
    </row>
    <row r="348" spans="1:14" x14ac:dyDescent="0.3">
      <c r="A348" t="s">
        <v>384</v>
      </c>
      <c r="B348" s="2">
        <v>35</v>
      </c>
      <c r="C348" t="s">
        <v>16</v>
      </c>
      <c r="D348" t="s">
        <v>28</v>
      </c>
      <c r="E348" t="s">
        <v>38</v>
      </c>
      <c r="F348" s="3">
        <v>45896</v>
      </c>
      <c r="G348" s="3">
        <v>46079</v>
      </c>
      <c r="H348" s="2">
        <v>18</v>
      </c>
      <c r="I348" s="1">
        <v>3769.92</v>
      </c>
      <c r="J348" s="1">
        <v>209.44</v>
      </c>
      <c r="K348" t="s">
        <v>19</v>
      </c>
      <c r="L348" t="s">
        <v>26</v>
      </c>
      <c r="M348" s="2">
        <v>6</v>
      </c>
      <c r="N348" t="s">
        <v>21</v>
      </c>
    </row>
    <row r="349" spans="1:14" x14ac:dyDescent="0.3">
      <c r="A349" t="s">
        <v>385</v>
      </c>
      <c r="B349" s="2">
        <v>53</v>
      </c>
      <c r="C349" t="s">
        <v>16</v>
      </c>
      <c r="D349" t="s">
        <v>61</v>
      </c>
      <c r="E349" t="s">
        <v>18</v>
      </c>
      <c r="F349" s="3">
        <v>45967</v>
      </c>
      <c r="G349" s="3">
        <v>46250</v>
      </c>
      <c r="H349" s="2">
        <v>22</v>
      </c>
      <c r="I349" s="1">
        <v>3762.66</v>
      </c>
      <c r="J349" s="1">
        <v>171.03</v>
      </c>
      <c r="K349" t="s">
        <v>35</v>
      </c>
      <c r="L349" t="s">
        <v>26</v>
      </c>
      <c r="M349" s="2">
        <v>8</v>
      </c>
      <c r="N349" t="s">
        <v>21</v>
      </c>
    </row>
    <row r="350" spans="1:14" x14ac:dyDescent="0.3">
      <c r="A350" t="s">
        <v>386</v>
      </c>
      <c r="B350" s="2">
        <v>50</v>
      </c>
      <c r="C350" t="s">
        <v>16</v>
      </c>
      <c r="D350" t="s">
        <v>61</v>
      </c>
      <c r="E350" t="s">
        <v>34</v>
      </c>
      <c r="F350" s="3">
        <v>45793</v>
      </c>
      <c r="G350" s="3">
        <v>45903</v>
      </c>
      <c r="H350" s="2">
        <v>14</v>
      </c>
      <c r="I350" s="1">
        <v>3758.86</v>
      </c>
      <c r="J350" s="1">
        <v>268.49</v>
      </c>
      <c r="K350" t="s">
        <v>39</v>
      </c>
      <c r="L350" t="s">
        <v>26</v>
      </c>
      <c r="M350" s="2">
        <v>6</v>
      </c>
      <c r="N350" t="s">
        <v>31</v>
      </c>
    </row>
    <row r="351" spans="1:14" x14ac:dyDescent="0.3">
      <c r="A351" t="s">
        <v>387</v>
      </c>
      <c r="B351" s="2">
        <v>45</v>
      </c>
      <c r="C351" t="s">
        <v>23</v>
      </c>
      <c r="D351" t="s">
        <v>28</v>
      </c>
      <c r="E351" t="s">
        <v>34</v>
      </c>
      <c r="F351" s="3">
        <v>45461</v>
      </c>
      <c r="G351" s="3">
        <v>45566</v>
      </c>
      <c r="H351" s="2">
        <v>24</v>
      </c>
      <c r="I351" s="1">
        <v>3758.16</v>
      </c>
      <c r="J351" s="1">
        <v>156.59</v>
      </c>
      <c r="K351" t="s">
        <v>19</v>
      </c>
      <c r="L351" t="s">
        <v>30</v>
      </c>
      <c r="M351" s="2">
        <v>10</v>
      </c>
      <c r="N351" t="s">
        <v>21</v>
      </c>
    </row>
    <row r="352" spans="1:14" x14ac:dyDescent="0.3">
      <c r="A352" t="s">
        <v>388</v>
      </c>
      <c r="B352" s="2">
        <v>27</v>
      </c>
      <c r="C352" t="s">
        <v>23</v>
      </c>
      <c r="D352" t="s">
        <v>42</v>
      </c>
      <c r="E352" t="s">
        <v>18</v>
      </c>
      <c r="F352" s="3">
        <v>45295</v>
      </c>
      <c r="G352" s="3">
        <v>45471</v>
      </c>
      <c r="H352" s="2">
        <v>14</v>
      </c>
      <c r="I352" s="1">
        <v>3758.16</v>
      </c>
      <c r="J352" s="1">
        <v>268.44</v>
      </c>
      <c r="K352" t="s">
        <v>19</v>
      </c>
      <c r="L352" t="s">
        <v>30</v>
      </c>
      <c r="M352" s="2">
        <v>7</v>
      </c>
      <c r="N352" t="s">
        <v>31</v>
      </c>
    </row>
    <row r="353" spans="1:14" x14ac:dyDescent="0.3">
      <c r="A353" t="s">
        <v>389</v>
      </c>
      <c r="B353" s="2">
        <v>63</v>
      </c>
      <c r="C353" t="s">
        <v>23</v>
      </c>
      <c r="D353" t="s">
        <v>17</v>
      </c>
      <c r="E353" t="s">
        <v>38</v>
      </c>
      <c r="F353" s="3">
        <v>45366</v>
      </c>
      <c r="G353" s="3">
        <v>45599</v>
      </c>
      <c r="H353" s="2">
        <v>14</v>
      </c>
      <c r="I353" s="1">
        <v>3753.68</v>
      </c>
      <c r="J353" s="1">
        <v>268.12</v>
      </c>
      <c r="K353" t="s">
        <v>25</v>
      </c>
      <c r="L353" t="s">
        <v>30</v>
      </c>
      <c r="M353" s="2">
        <v>1</v>
      </c>
      <c r="N353" t="s">
        <v>21</v>
      </c>
    </row>
    <row r="354" spans="1:14" x14ac:dyDescent="0.3">
      <c r="A354" t="s">
        <v>390</v>
      </c>
      <c r="B354" s="2">
        <v>41</v>
      </c>
      <c r="C354" t="s">
        <v>23</v>
      </c>
      <c r="D354" t="s">
        <v>44</v>
      </c>
      <c r="E354" t="s">
        <v>29</v>
      </c>
      <c r="F354" s="3">
        <v>45382</v>
      </c>
      <c r="G354" s="3">
        <v>45570</v>
      </c>
      <c r="H354" s="2">
        <v>15</v>
      </c>
      <c r="I354" s="1">
        <v>3747</v>
      </c>
      <c r="J354" s="1">
        <v>249.8</v>
      </c>
      <c r="K354" t="s">
        <v>45</v>
      </c>
      <c r="L354" t="s">
        <v>20</v>
      </c>
      <c r="M354" s="2">
        <v>6</v>
      </c>
      <c r="N354" t="s">
        <v>21</v>
      </c>
    </row>
    <row r="355" spans="1:14" x14ac:dyDescent="0.3">
      <c r="A355" t="s">
        <v>391</v>
      </c>
      <c r="B355" s="2">
        <v>60</v>
      </c>
      <c r="C355" t="s">
        <v>16</v>
      </c>
      <c r="D355" t="s">
        <v>28</v>
      </c>
      <c r="E355" t="s">
        <v>29</v>
      </c>
      <c r="F355" s="3">
        <v>45589</v>
      </c>
      <c r="G355" s="3">
        <v>45715</v>
      </c>
      <c r="H355" s="2">
        <v>13</v>
      </c>
      <c r="I355" s="1">
        <v>3741.79</v>
      </c>
      <c r="J355" s="1">
        <v>287.83</v>
      </c>
      <c r="K355" t="s">
        <v>35</v>
      </c>
      <c r="L355" t="s">
        <v>26</v>
      </c>
      <c r="M355" s="2">
        <v>3</v>
      </c>
      <c r="N355" t="s">
        <v>21</v>
      </c>
    </row>
    <row r="356" spans="1:14" x14ac:dyDescent="0.3">
      <c r="A356" t="s">
        <v>392</v>
      </c>
      <c r="B356" s="2">
        <v>20</v>
      </c>
      <c r="C356" t="s">
        <v>23</v>
      </c>
      <c r="D356" t="s">
        <v>28</v>
      </c>
      <c r="E356" t="s">
        <v>38</v>
      </c>
      <c r="F356" s="3">
        <v>45330</v>
      </c>
      <c r="G356" s="3">
        <v>45419</v>
      </c>
      <c r="H356" s="2">
        <v>14</v>
      </c>
      <c r="I356" s="1">
        <v>3738.42</v>
      </c>
      <c r="J356" s="1">
        <v>267.02999999999997</v>
      </c>
      <c r="K356" t="s">
        <v>25</v>
      </c>
      <c r="L356" t="s">
        <v>20</v>
      </c>
      <c r="M356" s="2">
        <v>5</v>
      </c>
      <c r="N356" t="s">
        <v>31</v>
      </c>
    </row>
    <row r="357" spans="1:14" x14ac:dyDescent="0.3">
      <c r="A357" t="s">
        <v>393</v>
      </c>
      <c r="B357" s="2">
        <v>24</v>
      </c>
      <c r="C357" t="s">
        <v>23</v>
      </c>
      <c r="D357" t="s">
        <v>50</v>
      </c>
      <c r="E357" t="s">
        <v>34</v>
      </c>
      <c r="F357" s="3">
        <v>45978</v>
      </c>
      <c r="G357" s="3">
        <v>46088</v>
      </c>
      <c r="H357" s="2">
        <v>15</v>
      </c>
      <c r="I357" s="1">
        <v>3737.7</v>
      </c>
      <c r="J357" s="1">
        <v>249.18</v>
      </c>
      <c r="K357" t="s">
        <v>45</v>
      </c>
      <c r="L357" t="s">
        <v>20</v>
      </c>
      <c r="M357" s="2">
        <v>8</v>
      </c>
      <c r="N357" t="s">
        <v>21</v>
      </c>
    </row>
    <row r="358" spans="1:14" x14ac:dyDescent="0.3">
      <c r="A358" t="s">
        <v>394</v>
      </c>
      <c r="B358" s="2">
        <v>53</v>
      </c>
      <c r="C358" t="s">
        <v>16</v>
      </c>
      <c r="D358" t="s">
        <v>24</v>
      </c>
      <c r="E358" t="s">
        <v>34</v>
      </c>
      <c r="F358" s="3">
        <v>45824</v>
      </c>
      <c r="G358" s="3">
        <v>45893</v>
      </c>
      <c r="H358" s="2">
        <v>16</v>
      </c>
      <c r="I358" s="1">
        <v>3735.04</v>
      </c>
      <c r="J358" s="1">
        <v>233.44</v>
      </c>
      <c r="K358" t="s">
        <v>35</v>
      </c>
      <c r="L358" t="s">
        <v>30</v>
      </c>
      <c r="M358" s="2">
        <v>7</v>
      </c>
      <c r="N358" t="s">
        <v>21</v>
      </c>
    </row>
    <row r="359" spans="1:14" x14ac:dyDescent="0.3">
      <c r="A359" t="s">
        <v>395</v>
      </c>
      <c r="B359" s="2">
        <v>43</v>
      </c>
      <c r="C359" t="s">
        <v>16</v>
      </c>
      <c r="D359" t="s">
        <v>17</v>
      </c>
      <c r="E359" t="s">
        <v>29</v>
      </c>
      <c r="F359" s="3">
        <v>45567</v>
      </c>
      <c r="G359" s="3">
        <v>45671</v>
      </c>
      <c r="H359" s="2">
        <v>19</v>
      </c>
      <c r="I359" s="1">
        <v>3730.46</v>
      </c>
      <c r="J359" s="1">
        <v>196.34</v>
      </c>
      <c r="K359" t="s">
        <v>35</v>
      </c>
      <c r="L359" t="s">
        <v>26</v>
      </c>
      <c r="M359" s="2">
        <v>3</v>
      </c>
      <c r="N359" t="s">
        <v>21</v>
      </c>
    </row>
    <row r="360" spans="1:14" x14ac:dyDescent="0.3">
      <c r="A360" t="s">
        <v>396</v>
      </c>
      <c r="B360" s="2">
        <v>49</v>
      </c>
      <c r="C360" t="s">
        <v>23</v>
      </c>
      <c r="D360" t="s">
        <v>61</v>
      </c>
      <c r="E360" t="s">
        <v>34</v>
      </c>
      <c r="F360" s="3">
        <v>45823</v>
      </c>
      <c r="G360" s="3">
        <v>45973</v>
      </c>
      <c r="H360" s="2">
        <v>22</v>
      </c>
      <c r="I360" s="1">
        <v>3730.1</v>
      </c>
      <c r="J360" s="1">
        <v>169.55</v>
      </c>
      <c r="K360" t="s">
        <v>19</v>
      </c>
      <c r="L360" t="s">
        <v>20</v>
      </c>
      <c r="M360" s="2">
        <v>9</v>
      </c>
      <c r="N360" t="s">
        <v>31</v>
      </c>
    </row>
    <row r="361" spans="1:14" x14ac:dyDescent="0.3">
      <c r="A361" t="s">
        <v>397</v>
      </c>
      <c r="B361" s="2">
        <v>27</v>
      </c>
      <c r="C361" t="s">
        <v>23</v>
      </c>
      <c r="D361" t="s">
        <v>24</v>
      </c>
      <c r="E361" t="s">
        <v>29</v>
      </c>
      <c r="F361" s="3">
        <v>45795</v>
      </c>
      <c r="G361" s="3">
        <v>45832</v>
      </c>
      <c r="H361" s="2">
        <v>19</v>
      </c>
      <c r="I361" s="1">
        <v>3728.56</v>
      </c>
      <c r="J361" s="1">
        <v>196.24</v>
      </c>
      <c r="K361" t="s">
        <v>39</v>
      </c>
      <c r="L361" t="s">
        <v>20</v>
      </c>
      <c r="M361" s="2">
        <v>7</v>
      </c>
      <c r="N361" t="s">
        <v>31</v>
      </c>
    </row>
    <row r="362" spans="1:14" x14ac:dyDescent="0.3">
      <c r="A362" t="s">
        <v>398</v>
      </c>
      <c r="B362" s="2">
        <v>35</v>
      </c>
      <c r="C362" t="s">
        <v>23</v>
      </c>
      <c r="D362" t="s">
        <v>28</v>
      </c>
      <c r="E362" t="s">
        <v>29</v>
      </c>
      <c r="F362" s="3">
        <v>45941</v>
      </c>
      <c r="G362" s="3">
        <v>46009</v>
      </c>
      <c r="H362" s="2">
        <v>22</v>
      </c>
      <c r="I362" s="1">
        <v>3721.52</v>
      </c>
      <c r="J362" s="1">
        <v>169.16</v>
      </c>
      <c r="K362" t="s">
        <v>25</v>
      </c>
      <c r="L362" t="s">
        <v>20</v>
      </c>
      <c r="M362" s="2">
        <v>10</v>
      </c>
      <c r="N362" t="s">
        <v>21</v>
      </c>
    </row>
    <row r="363" spans="1:14" x14ac:dyDescent="0.3">
      <c r="A363" t="s">
        <v>399</v>
      </c>
      <c r="B363" s="2">
        <v>28</v>
      </c>
      <c r="C363" t="s">
        <v>16</v>
      </c>
      <c r="D363" t="s">
        <v>24</v>
      </c>
      <c r="E363" t="s">
        <v>34</v>
      </c>
      <c r="F363" s="3">
        <v>45396</v>
      </c>
      <c r="G363" s="3">
        <v>45471</v>
      </c>
      <c r="H363" s="2">
        <v>13</v>
      </c>
      <c r="I363" s="1">
        <v>3719.43</v>
      </c>
      <c r="J363" s="1">
        <v>286.11</v>
      </c>
      <c r="K363" t="s">
        <v>35</v>
      </c>
      <c r="L363" t="s">
        <v>30</v>
      </c>
      <c r="M363" s="2">
        <v>1</v>
      </c>
      <c r="N363" t="s">
        <v>21</v>
      </c>
    </row>
    <row r="364" spans="1:14" x14ac:dyDescent="0.3">
      <c r="A364" t="s">
        <v>400</v>
      </c>
      <c r="B364" s="2">
        <v>28</v>
      </c>
      <c r="C364" t="s">
        <v>16</v>
      </c>
      <c r="D364" t="s">
        <v>50</v>
      </c>
      <c r="E364" t="s">
        <v>34</v>
      </c>
      <c r="F364" s="3">
        <v>45482</v>
      </c>
      <c r="G364" s="3">
        <v>45644</v>
      </c>
      <c r="H364" s="2">
        <v>19</v>
      </c>
      <c r="I364" s="1">
        <v>3713.55</v>
      </c>
      <c r="J364" s="1">
        <v>195.45</v>
      </c>
      <c r="K364" t="s">
        <v>35</v>
      </c>
      <c r="L364" t="s">
        <v>30</v>
      </c>
      <c r="M364" s="2">
        <v>4</v>
      </c>
      <c r="N364" t="s">
        <v>31</v>
      </c>
    </row>
    <row r="365" spans="1:14" x14ac:dyDescent="0.3">
      <c r="A365" t="s">
        <v>401</v>
      </c>
      <c r="B365" s="2">
        <v>41</v>
      </c>
      <c r="C365" t="s">
        <v>16</v>
      </c>
      <c r="D365" t="s">
        <v>44</v>
      </c>
      <c r="E365" t="s">
        <v>38</v>
      </c>
      <c r="F365" s="3">
        <v>45547</v>
      </c>
      <c r="G365" s="3">
        <v>45632</v>
      </c>
      <c r="H365" s="2">
        <v>19</v>
      </c>
      <c r="I365" s="1">
        <v>3707.66</v>
      </c>
      <c r="J365" s="1">
        <v>195.14</v>
      </c>
      <c r="K365" t="s">
        <v>19</v>
      </c>
      <c r="L365" t="s">
        <v>20</v>
      </c>
      <c r="M365" s="2">
        <v>4</v>
      </c>
      <c r="N365" t="s">
        <v>21</v>
      </c>
    </row>
    <row r="366" spans="1:14" x14ac:dyDescent="0.3">
      <c r="A366" t="s">
        <v>402</v>
      </c>
      <c r="B366" s="2">
        <v>19</v>
      </c>
      <c r="C366" t="s">
        <v>23</v>
      </c>
      <c r="D366" t="s">
        <v>28</v>
      </c>
      <c r="E366" t="s">
        <v>29</v>
      </c>
      <c r="F366" s="3">
        <v>45579</v>
      </c>
      <c r="G366" s="3">
        <v>45723</v>
      </c>
      <c r="H366" s="2">
        <v>24</v>
      </c>
      <c r="I366" s="1">
        <v>3700.08</v>
      </c>
      <c r="J366" s="1">
        <v>154.16999999999999</v>
      </c>
      <c r="K366" t="s">
        <v>25</v>
      </c>
      <c r="L366" t="s">
        <v>20</v>
      </c>
      <c r="M366" s="2">
        <v>8</v>
      </c>
      <c r="N366" t="s">
        <v>21</v>
      </c>
    </row>
    <row r="367" spans="1:14" x14ac:dyDescent="0.3">
      <c r="A367" t="s">
        <v>403</v>
      </c>
      <c r="B367" s="2">
        <v>44</v>
      </c>
      <c r="C367" t="s">
        <v>23</v>
      </c>
      <c r="D367" t="s">
        <v>42</v>
      </c>
      <c r="E367" t="s">
        <v>34</v>
      </c>
      <c r="F367" s="3">
        <v>45806</v>
      </c>
      <c r="G367" s="3">
        <v>45869</v>
      </c>
      <c r="H367" s="2">
        <v>23</v>
      </c>
      <c r="I367" s="1">
        <v>3674.48</v>
      </c>
      <c r="J367" s="1">
        <v>159.76</v>
      </c>
      <c r="K367" t="s">
        <v>19</v>
      </c>
      <c r="L367" t="s">
        <v>26</v>
      </c>
      <c r="M367" s="2">
        <v>9</v>
      </c>
      <c r="N367" t="s">
        <v>21</v>
      </c>
    </row>
    <row r="368" spans="1:14" x14ac:dyDescent="0.3">
      <c r="A368" t="s">
        <v>404</v>
      </c>
      <c r="B368" s="2">
        <v>43</v>
      </c>
      <c r="C368" t="s">
        <v>23</v>
      </c>
      <c r="D368" t="s">
        <v>24</v>
      </c>
      <c r="E368" t="s">
        <v>18</v>
      </c>
      <c r="F368" s="3">
        <v>45615</v>
      </c>
      <c r="G368" s="3">
        <v>45675</v>
      </c>
      <c r="H368" s="2">
        <v>16</v>
      </c>
      <c r="I368" s="1">
        <v>3658.72</v>
      </c>
      <c r="J368" s="1">
        <v>228.67</v>
      </c>
      <c r="K368" t="s">
        <v>39</v>
      </c>
      <c r="L368" t="s">
        <v>20</v>
      </c>
      <c r="M368" s="2">
        <v>10</v>
      </c>
      <c r="N368" t="s">
        <v>31</v>
      </c>
    </row>
    <row r="369" spans="1:14" x14ac:dyDescent="0.3">
      <c r="A369" t="s">
        <v>405</v>
      </c>
      <c r="B369" s="2">
        <v>28</v>
      </c>
      <c r="C369" t="s">
        <v>23</v>
      </c>
      <c r="D369" t="s">
        <v>17</v>
      </c>
      <c r="E369" t="s">
        <v>34</v>
      </c>
      <c r="F369" s="3">
        <v>45845</v>
      </c>
      <c r="G369" s="3">
        <v>46054</v>
      </c>
      <c r="H369" s="2">
        <v>22</v>
      </c>
      <c r="I369" s="1">
        <v>3655.96</v>
      </c>
      <c r="J369" s="1">
        <v>166.18</v>
      </c>
      <c r="K369" t="s">
        <v>19</v>
      </c>
      <c r="L369" t="s">
        <v>20</v>
      </c>
      <c r="M369" s="2">
        <v>5</v>
      </c>
      <c r="N369" t="s">
        <v>21</v>
      </c>
    </row>
    <row r="370" spans="1:14" x14ac:dyDescent="0.3">
      <c r="A370" t="s">
        <v>406</v>
      </c>
      <c r="B370" s="2">
        <v>45</v>
      </c>
      <c r="C370" t="s">
        <v>23</v>
      </c>
      <c r="D370" t="s">
        <v>28</v>
      </c>
      <c r="E370" t="s">
        <v>34</v>
      </c>
      <c r="F370" s="3">
        <v>45331</v>
      </c>
      <c r="G370" s="3">
        <v>45394</v>
      </c>
      <c r="H370" s="2">
        <v>13</v>
      </c>
      <c r="I370" s="1">
        <v>3653</v>
      </c>
      <c r="J370" s="1">
        <v>281</v>
      </c>
      <c r="K370" t="s">
        <v>19</v>
      </c>
      <c r="L370" t="s">
        <v>20</v>
      </c>
      <c r="M370" s="2">
        <v>8</v>
      </c>
      <c r="N370" t="s">
        <v>31</v>
      </c>
    </row>
    <row r="371" spans="1:14" x14ac:dyDescent="0.3">
      <c r="A371" t="s">
        <v>407</v>
      </c>
      <c r="B371" s="2">
        <v>45</v>
      </c>
      <c r="C371" t="s">
        <v>16</v>
      </c>
      <c r="D371" t="s">
        <v>17</v>
      </c>
      <c r="E371" t="s">
        <v>34</v>
      </c>
      <c r="F371" s="3">
        <v>45692</v>
      </c>
      <c r="G371" s="3">
        <v>45962</v>
      </c>
      <c r="H371" s="2">
        <v>19</v>
      </c>
      <c r="I371" s="1">
        <v>3638.31</v>
      </c>
      <c r="J371" s="1">
        <v>191.49</v>
      </c>
      <c r="K371" t="s">
        <v>19</v>
      </c>
      <c r="L371" t="s">
        <v>26</v>
      </c>
      <c r="M371" s="2">
        <v>1</v>
      </c>
      <c r="N371" t="s">
        <v>21</v>
      </c>
    </row>
    <row r="372" spans="1:14" x14ac:dyDescent="0.3">
      <c r="A372" t="s">
        <v>408</v>
      </c>
      <c r="B372" s="2">
        <v>36</v>
      </c>
      <c r="C372" t="s">
        <v>16</v>
      </c>
      <c r="D372" t="s">
        <v>17</v>
      </c>
      <c r="E372" t="s">
        <v>29</v>
      </c>
      <c r="F372" s="3">
        <v>45683</v>
      </c>
      <c r="G372" s="3">
        <v>45749</v>
      </c>
      <c r="H372" s="2">
        <v>14</v>
      </c>
      <c r="I372" s="1">
        <v>3636.78</v>
      </c>
      <c r="J372" s="1">
        <v>259.77</v>
      </c>
      <c r="K372" t="s">
        <v>35</v>
      </c>
      <c r="L372" t="s">
        <v>30</v>
      </c>
      <c r="M372" s="2">
        <v>1</v>
      </c>
      <c r="N372" t="s">
        <v>21</v>
      </c>
    </row>
    <row r="373" spans="1:14" x14ac:dyDescent="0.3">
      <c r="A373" t="s">
        <v>409</v>
      </c>
      <c r="B373" s="2">
        <v>23</v>
      </c>
      <c r="C373" t="s">
        <v>23</v>
      </c>
      <c r="D373" t="s">
        <v>28</v>
      </c>
      <c r="E373" t="s">
        <v>34</v>
      </c>
      <c r="F373" s="3">
        <v>45523</v>
      </c>
      <c r="G373" s="3">
        <v>45543</v>
      </c>
      <c r="H373" s="2">
        <v>14</v>
      </c>
      <c r="I373" s="1">
        <v>3630.900000000001</v>
      </c>
      <c r="J373" s="1">
        <v>259.35000000000002</v>
      </c>
      <c r="K373" t="s">
        <v>35</v>
      </c>
      <c r="L373" t="s">
        <v>30</v>
      </c>
      <c r="M373" s="2">
        <v>8</v>
      </c>
      <c r="N373" t="s">
        <v>21</v>
      </c>
    </row>
    <row r="374" spans="1:14" x14ac:dyDescent="0.3">
      <c r="A374" t="s">
        <v>410</v>
      </c>
      <c r="B374" s="2">
        <v>40</v>
      </c>
      <c r="C374" t="s">
        <v>23</v>
      </c>
      <c r="D374" t="s">
        <v>44</v>
      </c>
      <c r="E374" t="s">
        <v>34</v>
      </c>
      <c r="F374" s="3">
        <v>45569</v>
      </c>
      <c r="G374" s="3">
        <v>45843</v>
      </c>
      <c r="H374" s="2">
        <v>21</v>
      </c>
      <c r="I374" s="1">
        <v>3627.96</v>
      </c>
      <c r="J374" s="1">
        <v>172.76</v>
      </c>
      <c r="K374" t="s">
        <v>19</v>
      </c>
      <c r="L374" t="s">
        <v>26</v>
      </c>
      <c r="M374" s="2">
        <v>3</v>
      </c>
      <c r="N374" t="s">
        <v>21</v>
      </c>
    </row>
    <row r="375" spans="1:14" x14ac:dyDescent="0.3">
      <c r="A375" t="s">
        <v>411</v>
      </c>
      <c r="B375" s="2">
        <v>34</v>
      </c>
      <c r="C375" t="s">
        <v>23</v>
      </c>
      <c r="D375" t="s">
        <v>61</v>
      </c>
      <c r="E375" t="s">
        <v>34</v>
      </c>
      <c r="F375" s="3">
        <v>45732</v>
      </c>
      <c r="G375" s="3">
        <v>45772</v>
      </c>
      <c r="H375" s="2">
        <v>19</v>
      </c>
      <c r="I375" s="1">
        <v>3622.54</v>
      </c>
      <c r="J375" s="1">
        <v>190.66</v>
      </c>
      <c r="K375" t="s">
        <v>25</v>
      </c>
      <c r="L375" t="s">
        <v>26</v>
      </c>
      <c r="M375" s="2">
        <v>6</v>
      </c>
      <c r="N375" t="s">
        <v>21</v>
      </c>
    </row>
    <row r="376" spans="1:14" x14ac:dyDescent="0.3">
      <c r="A376" t="s">
        <v>412</v>
      </c>
      <c r="B376" s="2">
        <v>43</v>
      </c>
      <c r="C376" t="s">
        <v>16</v>
      </c>
      <c r="D376" t="s">
        <v>24</v>
      </c>
      <c r="E376" t="s">
        <v>18</v>
      </c>
      <c r="F376" s="3">
        <v>45393</v>
      </c>
      <c r="G376" s="3">
        <v>45532</v>
      </c>
      <c r="H376" s="2">
        <v>22</v>
      </c>
      <c r="I376" s="1">
        <v>3621.42</v>
      </c>
      <c r="J376" s="1">
        <v>164.61</v>
      </c>
      <c r="K376" t="s">
        <v>25</v>
      </c>
      <c r="L376" t="s">
        <v>26</v>
      </c>
      <c r="M376" s="2">
        <v>5</v>
      </c>
      <c r="N376" t="s">
        <v>21</v>
      </c>
    </row>
    <row r="377" spans="1:14" x14ac:dyDescent="0.3">
      <c r="A377" t="s">
        <v>413</v>
      </c>
      <c r="B377" s="2">
        <v>29</v>
      </c>
      <c r="C377" t="s">
        <v>23</v>
      </c>
      <c r="D377" t="s">
        <v>17</v>
      </c>
      <c r="E377" t="s">
        <v>29</v>
      </c>
      <c r="F377" s="3">
        <v>45613</v>
      </c>
      <c r="G377" s="3">
        <v>45797</v>
      </c>
      <c r="H377" s="2">
        <v>25</v>
      </c>
      <c r="I377" s="1">
        <v>3621</v>
      </c>
      <c r="J377" s="1">
        <v>144.84</v>
      </c>
      <c r="K377" t="s">
        <v>35</v>
      </c>
      <c r="L377" t="s">
        <v>26</v>
      </c>
      <c r="M377" s="2">
        <v>6</v>
      </c>
      <c r="N377" t="s">
        <v>21</v>
      </c>
    </row>
    <row r="378" spans="1:14" x14ac:dyDescent="0.3">
      <c r="A378" t="s">
        <v>414</v>
      </c>
      <c r="B378" s="2">
        <v>29</v>
      </c>
      <c r="C378" t="s">
        <v>23</v>
      </c>
      <c r="D378" t="s">
        <v>61</v>
      </c>
      <c r="E378" t="s">
        <v>18</v>
      </c>
      <c r="F378" s="3">
        <v>45542</v>
      </c>
      <c r="G378" s="3">
        <v>45826</v>
      </c>
      <c r="H378" s="2">
        <v>20</v>
      </c>
      <c r="I378" s="1">
        <v>3616.8</v>
      </c>
      <c r="J378" s="1">
        <v>180.84</v>
      </c>
      <c r="K378" t="s">
        <v>25</v>
      </c>
      <c r="L378" t="s">
        <v>30</v>
      </c>
      <c r="M378" s="2">
        <v>6</v>
      </c>
      <c r="N378" t="s">
        <v>21</v>
      </c>
    </row>
    <row r="379" spans="1:14" x14ac:dyDescent="0.3">
      <c r="A379" t="s">
        <v>415</v>
      </c>
      <c r="B379" s="2">
        <v>23</v>
      </c>
      <c r="C379" t="s">
        <v>16</v>
      </c>
      <c r="D379" t="s">
        <v>61</v>
      </c>
      <c r="E379" t="s">
        <v>18</v>
      </c>
      <c r="F379" s="3">
        <v>45877</v>
      </c>
      <c r="G379" s="3">
        <v>46035</v>
      </c>
      <c r="H379" s="2">
        <v>18</v>
      </c>
      <c r="I379" s="1">
        <v>3611.52</v>
      </c>
      <c r="J379" s="1">
        <v>200.64</v>
      </c>
      <c r="K379" t="s">
        <v>19</v>
      </c>
      <c r="L379" t="s">
        <v>20</v>
      </c>
      <c r="M379" s="2">
        <v>4</v>
      </c>
      <c r="N379" t="s">
        <v>21</v>
      </c>
    </row>
    <row r="380" spans="1:14" x14ac:dyDescent="0.3">
      <c r="A380" t="s">
        <v>416</v>
      </c>
      <c r="B380" s="2">
        <v>54</v>
      </c>
      <c r="C380" t="s">
        <v>16</v>
      </c>
      <c r="D380" t="s">
        <v>50</v>
      </c>
      <c r="E380" t="s">
        <v>18</v>
      </c>
      <c r="F380" s="3">
        <v>45803</v>
      </c>
      <c r="G380" s="3">
        <v>45818</v>
      </c>
      <c r="H380" s="2">
        <v>13</v>
      </c>
      <c r="I380" s="1">
        <v>3608.67</v>
      </c>
      <c r="J380" s="1">
        <v>277.58999999999997</v>
      </c>
      <c r="K380" t="s">
        <v>19</v>
      </c>
      <c r="L380" t="s">
        <v>20</v>
      </c>
      <c r="M380" s="2">
        <v>4</v>
      </c>
      <c r="N380" t="s">
        <v>31</v>
      </c>
    </row>
    <row r="381" spans="1:14" x14ac:dyDescent="0.3">
      <c r="A381" t="s">
        <v>417</v>
      </c>
      <c r="B381" s="2">
        <v>59</v>
      </c>
      <c r="C381" t="s">
        <v>23</v>
      </c>
      <c r="D381" t="s">
        <v>42</v>
      </c>
      <c r="E381" t="s">
        <v>29</v>
      </c>
      <c r="F381" s="3">
        <v>45744</v>
      </c>
      <c r="G381" s="3">
        <v>46003</v>
      </c>
      <c r="H381" s="2">
        <v>16</v>
      </c>
      <c r="I381" s="1">
        <v>3601.76</v>
      </c>
      <c r="J381" s="1">
        <v>225.11</v>
      </c>
      <c r="K381" t="s">
        <v>39</v>
      </c>
      <c r="L381" t="s">
        <v>30</v>
      </c>
      <c r="M381" s="2">
        <v>8</v>
      </c>
      <c r="N381" t="s">
        <v>31</v>
      </c>
    </row>
    <row r="382" spans="1:14" x14ac:dyDescent="0.3">
      <c r="A382" t="s">
        <v>418</v>
      </c>
      <c r="B382" s="2">
        <v>53</v>
      </c>
      <c r="C382" t="s">
        <v>16</v>
      </c>
      <c r="D382" t="s">
        <v>24</v>
      </c>
      <c r="E382" t="s">
        <v>38</v>
      </c>
      <c r="F382" s="3">
        <v>45455</v>
      </c>
      <c r="G382" s="3">
        <v>45593</v>
      </c>
      <c r="H382" s="2">
        <v>12</v>
      </c>
      <c r="I382" s="1">
        <v>3592.68</v>
      </c>
      <c r="J382" s="1">
        <v>299.39</v>
      </c>
      <c r="K382" t="s">
        <v>19</v>
      </c>
      <c r="L382" t="s">
        <v>26</v>
      </c>
      <c r="M382" s="2">
        <v>2</v>
      </c>
      <c r="N382" t="s">
        <v>21</v>
      </c>
    </row>
    <row r="383" spans="1:14" x14ac:dyDescent="0.3">
      <c r="A383" t="s">
        <v>419</v>
      </c>
      <c r="B383" s="2">
        <v>36</v>
      </c>
      <c r="C383" t="s">
        <v>23</v>
      </c>
      <c r="D383" t="s">
        <v>24</v>
      </c>
      <c r="E383" t="s">
        <v>18</v>
      </c>
      <c r="F383" s="3">
        <v>45804</v>
      </c>
      <c r="G383" s="3">
        <v>45881</v>
      </c>
      <c r="H383" s="2">
        <v>12</v>
      </c>
      <c r="I383" s="1">
        <v>3592.32</v>
      </c>
      <c r="J383" s="1">
        <v>299.36</v>
      </c>
      <c r="K383" t="s">
        <v>25</v>
      </c>
      <c r="L383" t="s">
        <v>26</v>
      </c>
      <c r="M383" s="2">
        <v>5</v>
      </c>
      <c r="N383" t="s">
        <v>21</v>
      </c>
    </row>
    <row r="384" spans="1:14" x14ac:dyDescent="0.3">
      <c r="A384" t="s">
        <v>420</v>
      </c>
      <c r="B384" s="2">
        <v>52</v>
      </c>
      <c r="C384" t="s">
        <v>16</v>
      </c>
      <c r="D384" t="s">
        <v>24</v>
      </c>
      <c r="E384" t="s">
        <v>34</v>
      </c>
      <c r="F384" s="3">
        <v>45957</v>
      </c>
      <c r="G384" s="3">
        <v>46080</v>
      </c>
      <c r="H384" s="2">
        <v>14</v>
      </c>
      <c r="I384" s="1">
        <v>3580.92</v>
      </c>
      <c r="J384" s="1">
        <v>255.78</v>
      </c>
      <c r="K384" t="s">
        <v>35</v>
      </c>
      <c r="L384" t="s">
        <v>30</v>
      </c>
      <c r="M384" s="2">
        <v>8</v>
      </c>
      <c r="N384" t="s">
        <v>21</v>
      </c>
    </row>
    <row r="385" spans="1:14" x14ac:dyDescent="0.3">
      <c r="A385" t="s">
        <v>421</v>
      </c>
      <c r="B385" s="2">
        <v>32</v>
      </c>
      <c r="C385" t="s">
        <v>16</v>
      </c>
      <c r="D385" t="s">
        <v>44</v>
      </c>
      <c r="E385" t="s">
        <v>18</v>
      </c>
      <c r="F385" s="3">
        <v>45318</v>
      </c>
      <c r="G385" s="3">
        <v>45454</v>
      </c>
      <c r="H385" s="2">
        <v>20</v>
      </c>
      <c r="I385" s="1">
        <v>3575.4</v>
      </c>
      <c r="J385" s="1">
        <v>178.77</v>
      </c>
      <c r="K385" t="s">
        <v>45</v>
      </c>
      <c r="L385" t="s">
        <v>30</v>
      </c>
      <c r="M385" s="2">
        <v>8</v>
      </c>
      <c r="N385" t="s">
        <v>21</v>
      </c>
    </row>
    <row r="386" spans="1:14" x14ac:dyDescent="0.3">
      <c r="A386" t="s">
        <v>422</v>
      </c>
      <c r="B386" s="2">
        <v>64</v>
      </c>
      <c r="C386" t="s">
        <v>23</v>
      </c>
      <c r="D386" t="s">
        <v>44</v>
      </c>
      <c r="E386" t="s">
        <v>38</v>
      </c>
      <c r="F386" s="3">
        <v>45358</v>
      </c>
      <c r="G386" s="3">
        <v>45533</v>
      </c>
      <c r="H386" s="2">
        <v>13</v>
      </c>
      <c r="I386" s="1">
        <v>3573.05</v>
      </c>
      <c r="J386" s="1">
        <v>274.85000000000002</v>
      </c>
      <c r="K386" t="s">
        <v>25</v>
      </c>
      <c r="L386" t="s">
        <v>30</v>
      </c>
      <c r="M386" s="2">
        <v>5</v>
      </c>
      <c r="N386" t="s">
        <v>21</v>
      </c>
    </row>
    <row r="387" spans="1:14" x14ac:dyDescent="0.3">
      <c r="A387" t="s">
        <v>423</v>
      </c>
      <c r="B387" s="2">
        <v>63</v>
      </c>
      <c r="C387" t="s">
        <v>23</v>
      </c>
      <c r="D387" t="s">
        <v>61</v>
      </c>
      <c r="E387" t="s">
        <v>34</v>
      </c>
      <c r="F387" s="3">
        <v>45649</v>
      </c>
      <c r="G387" s="3">
        <v>45921</v>
      </c>
      <c r="H387" s="2">
        <v>17</v>
      </c>
      <c r="I387" s="1">
        <v>3559.46</v>
      </c>
      <c r="J387" s="1">
        <v>209.38</v>
      </c>
      <c r="K387" t="s">
        <v>35</v>
      </c>
      <c r="L387" t="s">
        <v>30</v>
      </c>
      <c r="M387" s="2">
        <v>4</v>
      </c>
      <c r="N387" t="s">
        <v>21</v>
      </c>
    </row>
    <row r="388" spans="1:14" x14ac:dyDescent="0.3">
      <c r="A388" t="s">
        <v>424</v>
      </c>
      <c r="B388" s="2">
        <v>57</v>
      </c>
      <c r="C388" t="s">
        <v>16</v>
      </c>
      <c r="D388" t="s">
        <v>17</v>
      </c>
      <c r="E388" t="s">
        <v>29</v>
      </c>
      <c r="F388" s="3">
        <v>45775</v>
      </c>
      <c r="G388" s="3">
        <v>45834</v>
      </c>
      <c r="H388" s="2">
        <v>14</v>
      </c>
      <c r="I388" s="1">
        <v>3558.38</v>
      </c>
      <c r="J388" s="1">
        <v>254.17</v>
      </c>
      <c r="K388" t="s">
        <v>45</v>
      </c>
      <c r="L388" t="s">
        <v>20</v>
      </c>
      <c r="M388" s="2">
        <v>2</v>
      </c>
      <c r="N388" t="s">
        <v>31</v>
      </c>
    </row>
    <row r="389" spans="1:14" x14ac:dyDescent="0.3">
      <c r="A389" t="s">
        <v>425</v>
      </c>
      <c r="B389" s="2">
        <v>50</v>
      </c>
      <c r="C389" t="s">
        <v>16</v>
      </c>
      <c r="D389" t="s">
        <v>24</v>
      </c>
      <c r="E389" t="s">
        <v>38</v>
      </c>
      <c r="F389" s="3">
        <v>45598</v>
      </c>
      <c r="G389" s="3">
        <v>45638</v>
      </c>
      <c r="H389" s="2">
        <v>13</v>
      </c>
      <c r="I389" s="1">
        <v>3546.139999999999</v>
      </c>
      <c r="J389" s="1">
        <v>272.77999999999997</v>
      </c>
      <c r="K389" t="s">
        <v>25</v>
      </c>
      <c r="L389" t="s">
        <v>30</v>
      </c>
      <c r="M389" s="2">
        <v>4</v>
      </c>
      <c r="N389" t="s">
        <v>21</v>
      </c>
    </row>
    <row r="390" spans="1:14" x14ac:dyDescent="0.3">
      <c r="A390" t="s">
        <v>426</v>
      </c>
      <c r="B390" s="2">
        <v>18</v>
      </c>
      <c r="C390" t="s">
        <v>23</v>
      </c>
      <c r="D390" t="s">
        <v>42</v>
      </c>
      <c r="E390" t="s">
        <v>38</v>
      </c>
      <c r="F390" s="3">
        <v>45784</v>
      </c>
      <c r="G390" s="3">
        <v>45893</v>
      </c>
      <c r="H390" s="2">
        <v>13</v>
      </c>
      <c r="I390" s="1">
        <v>3544.84</v>
      </c>
      <c r="J390" s="1">
        <v>272.68</v>
      </c>
      <c r="K390" t="s">
        <v>45</v>
      </c>
      <c r="L390" t="s">
        <v>26</v>
      </c>
      <c r="M390" s="2">
        <v>9</v>
      </c>
      <c r="N390" t="s">
        <v>31</v>
      </c>
    </row>
    <row r="391" spans="1:14" x14ac:dyDescent="0.3">
      <c r="A391" t="s">
        <v>427</v>
      </c>
      <c r="B391" s="2">
        <v>29</v>
      </c>
      <c r="C391" t="s">
        <v>23</v>
      </c>
      <c r="D391" t="s">
        <v>50</v>
      </c>
      <c r="E391" t="s">
        <v>18</v>
      </c>
      <c r="F391" s="3">
        <v>45942</v>
      </c>
      <c r="G391" s="3">
        <v>46028</v>
      </c>
      <c r="H391" s="2">
        <v>12</v>
      </c>
      <c r="I391" s="1">
        <v>3544.2</v>
      </c>
      <c r="J391" s="1">
        <v>295.35000000000002</v>
      </c>
      <c r="K391" t="s">
        <v>19</v>
      </c>
      <c r="L391" t="s">
        <v>20</v>
      </c>
      <c r="M391" s="2">
        <v>4</v>
      </c>
      <c r="N391" t="s">
        <v>21</v>
      </c>
    </row>
    <row r="392" spans="1:14" x14ac:dyDescent="0.3">
      <c r="A392" t="s">
        <v>428</v>
      </c>
      <c r="B392" s="2">
        <v>44</v>
      </c>
      <c r="C392" t="s">
        <v>23</v>
      </c>
      <c r="D392" t="s">
        <v>42</v>
      </c>
      <c r="E392" t="s">
        <v>29</v>
      </c>
      <c r="F392" s="3">
        <v>45875</v>
      </c>
      <c r="G392" s="3">
        <v>46001</v>
      </c>
      <c r="H392" s="2">
        <v>19</v>
      </c>
      <c r="I392" s="1">
        <v>3542.93</v>
      </c>
      <c r="J392" s="1">
        <v>186.47</v>
      </c>
      <c r="K392" t="s">
        <v>45</v>
      </c>
      <c r="L392" t="s">
        <v>30</v>
      </c>
      <c r="M392" s="2">
        <v>5</v>
      </c>
      <c r="N392" t="s">
        <v>21</v>
      </c>
    </row>
    <row r="393" spans="1:14" x14ac:dyDescent="0.3">
      <c r="A393" t="s">
        <v>429</v>
      </c>
      <c r="B393" s="2">
        <v>56</v>
      </c>
      <c r="C393" t="s">
        <v>16</v>
      </c>
      <c r="D393" t="s">
        <v>61</v>
      </c>
      <c r="E393" t="s">
        <v>38</v>
      </c>
      <c r="F393" s="3">
        <v>45869</v>
      </c>
      <c r="G393" s="3">
        <v>45887</v>
      </c>
      <c r="H393" s="2">
        <v>12</v>
      </c>
      <c r="I393" s="1">
        <v>3536.4</v>
      </c>
      <c r="J393" s="1">
        <v>294.7</v>
      </c>
      <c r="K393" t="s">
        <v>25</v>
      </c>
      <c r="L393" t="s">
        <v>26</v>
      </c>
      <c r="M393" s="2">
        <v>1</v>
      </c>
      <c r="N393" t="s">
        <v>21</v>
      </c>
    </row>
    <row r="394" spans="1:14" x14ac:dyDescent="0.3">
      <c r="A394" t="s">
        <v>430</v>
      </c>
      <c r="B394" s="2">
        <v>35</v>
      </c>
      <c r="C394" t="s">
        <v>16</v>
      </c>
      <c r="D394" t="s">
        <v>50</v>
      </c>
      <c r="E394" t="s">
        <v>18</v>
      </c>
      <c r="F394" s="3">
        <v>45811</v>
      </c>
      <c r="G394" s="3">
        <v>45923</v>
      </c>
      <c r="H394" s="2">
        <v>15</v>
      </c>
      <c r="I394" s="1">
        <v>3535.35</v>
      </c>
      <c r="J394" s="1">
        <v>235.69</v>
      </c>
      <c r="K394" t="s">
        <v>25</v>
      </c>
      <c r="L394" t="s">
        <v>20</v>
      </c>
      <c r="M394" s="2">
        <v>8</v>
      </c>
      <c r="N394" t="s">
        <v>21</v>
      </c>
    </row>
    <row r="395" spans="1:14" x14ac:dyDescent="0.3">
      <c r="A395" t="s">
        <v>431</v>
      </c>
      <c r="B395" s="2">
        <v>36</v>
      </c>
      <c r="C395" t="s">
        <v>23</v>
      </c>
      <c r="D395" t="s">
        <v>17</v>
      </c>
      <c r="E395" t="s">
        <v>38</v>
      </c>
      <c r="F395" s="3">
        <v>45637</v>
      </c>
      <c r="G395" s="3">
        <v>45899</v>
      </c>
      <c r="H395" s="2">
        <v>18</v>
      </c>
      <c r="I395" s="1">
        <v>3532.68</v>
      </c>
      <c r="J395" s="1">
        <v>196.26</v>
      </c>
      <c r="K395" t="s">
        <v>39</v>
      </c>
      <c r="L395" t="s">
        <v>20</v>
      </c>
      <c r="M395" s="2">
        <v>8</v>
      </c>
      <c r="N395" t="s">
        <v>21</v>
      </c>
    </row>
    <row r="396" spans="1:14" x14ac:dyDescent="0.3">
      <c r="A396" t="s">
        <v>432</v>
      </c>
      <c r="B396" s="2">
        <v>56</v>
      </c>
      <c r="C396" t="s">
        <v>16</v>
      </c>
      <c r="D396" t="s">
        <v>44</v>
      </c>
      <c r="E396" t="s">
        <v>34</v>
      </c>
      <c r="F396" s="3">
        <v>45390</v>
      </c>
      <c r="G396" s="3">
        <v>45649</v>
      </c>
      <c r="H396" s="2">
        <v>23</v>
      </c>
      <c r="I396" s="1">
        <v>3523.83</v>
      </c>
      <c r="J396" s="1">
        <v>153.21</v>
      </c>
      <c r="K396" t="s">
        <v>19</v>
      </c>
      <c r="L396" t="s">
        <v>30</v>
      </c>
      <c r="M396" s="2">
        <v>8</v>
      </c>
      <c r="N396" t="s">
        <v>21</v>
      </c>
    </row>
    <row r="397" spans="1:14" x14ac:dyDescent="0.3">
      <c r="A397" t="s">
        <v>433</v>
      </c>
      <c r="B397" s="2">
        <v>43</v>
      </c>
      <c r="C397" t="s">
        <v>16</v>
      </c>
      <c r="D397" t="s">
        <v>50</v>
      </c>
      <c r="E397" t="s">
        <v>34</v>
      </c>
      <c r="F397" s="3">
        <v>45708</v>
      </c>
      <c r="G397" s="3">
        <v>45738</v>
      </c>
      <c r="H397" s="2">
        <v>25</v>
      </c>
      <c r="I397" s="1">
        <v>3523</v>
      </c>
      <c r="J397" s="1">
        <v>140.91999999999999</v>
      </c>
      <c r="K397" t="s">
        <v>35</v>
      </c>
      <c r="L397" t="s">
        <v>26</v>
      </c>
      <c r="M397" s="2">
        <v>10</v>
      </c>
      <c r="N397" t="s">
        <v>21</v>
      </c>
    </row>
    <row r="398" spans="1:14" x14ac:dyDescent="0.3">
      <c r="A398" t="s">
        <v>434</v>
      </c>
      <c r="B398" s="2">
        <v>29</v>
      </c>
      <c r="C398" t="s">
        <v>16</v>
      </c>
      <c r="D398" t="s">
        <v>42</v>
      </c>
      <c r="E398" t="s">
        <v>34</v>
      </c>
      <c r="F398" s="3">
        <v>45709</v>
      </c>
      <c r="G398" s="3">
        <v>45904</v>
      </c>
      <c r="H398" s="2">
        <v>23</v>
      </c>
      <c r="I398" s="1">
        <v>3515.09</v>
      </c>
      <c r="J398" s="1">
        <v>152.83000000000001</v>
      </c>
      <c r="K398" t="s">
        <v>25</v>
      </c>
      <c r="L398" t="s">
        <v>20</v>
      </c>
      <c r="M398" s="2">
        <v>7</v>
      </c>
      <c r="N398" t="s">
        <v>21</v>
      </c>
    </row>
    <row r="399" spans="1:14" x14ac:dyDescent="0.3">
      <c r="A399" t="s">
        <v>435</v>
      </c>
      <c r="B399" s="2">
        <v>20</v>
      </c>
      <c r="C399" t="s">
        <v>23</v>
      </c>
      <c r="D399" t="s">
        <v>17</v>
      </c>
      <c r="E399" t="s">
        <v>34</v>
      </c>
      <c r="F399" s="3">
        <v>45934</v>
      </c>
      <c r="G399" s="3">
        <v>45970</v>
      </c>
      <c r="H399" s="2">
        <v>13</v>
      </c>
      <c r="I399" s="1">
        <v>3512.08</v>
      </c>
      <c r="J399" s="1">
        <v>270.16000000000003</v>
      </c>
      <c r="K399" t="s">
        <v>19</v>
      </c>
      <c r="L399" t="s">
        <v>20</v>
      </c>
      <c r="M399" s="2">
        <v>10</v>
      </c>
      <c r="N399" t="s">
        <v>21</v>
      </c>
    </row>
    <row r="400" spans="1:14" x14ac:dyDescent="0.3">
      <c r="A400" t="s">
        <v>436</v>
      </c>
      <c r="B400" s="2">
        <v>19</v>
      </c>
      <c r="C400" t="s">
        <v>23</v>
      </c>
      <c r="D400" t="s">
        <v>50</v>
      </c>
      <c r="E400" t="s">
        <v>29</v>
      </c>
      <c r="F400" s="3">
        <v>45699</v>
      </c>
      <c r="G400" s="3">
        <v>45759</v>
      </c>
      <c r="H400" s="2">
        <v>15</v>
      </c>
      <c r="I400" s="1">
        <v>3507.9</v>
      </c>
      <c r="J400" s="1">
        <v>233.86</v>
      </c>
      <c r="K400" t="s">
        <v>45</v>
      </c>
      <c r="L400" t="s">
        <v>20</v>
      </c>
      <c r="M400" s="2">
        <v>4</v>
      </c>
      <c r="N400" t="s">
        <v>21</v>
      </c>
    </row>
    <row r="401" spans="1:14" x14ac:dyDescent="0.3">
      <c r="A401" t="s">
        <v>437</v>
      </c>
      <c r="B401" s="2">
        <v>51</v>
      </c>
      <c r="C401" t="s">
        <v>23</v>
      </c>
      <c r="D401" t="s">
        <v>17</v>
      </c>
      <c r="E401" t="s">
        <v>34</v>
      </c>
      <c r="F401" s="3">
        <v>45671</v>
      </c>
      <c r="G401" s="3">
        <v>45861</v>
      </c>
      <c r="H401" s="2">
        <v>15</v>
      </c>
      <c r="I401" s="1">
        <v>3504.9</v>
      </c>
      <c r="J401" s="1">
        <v>233.66</v>
      </c>
      <c r="K401" t="s">
        <v>45</v>
      </c>
      <c r="L401" t="s">
        <v>30</v>
      </c>
      <c r="M401" s="2">
        <v>2</v>
      </c>
      <c r="N401" t="s">
        <v>21</v>
      </c>
    </row>
    <row r="402" spans="1:14" x14ac:dyDescent="0.3">
      <c r="A402" t="s">
        <v>438</v>
      </c>
      <c r="B402" s="2">
        <v>26</v>
      </c>
      <c r="C402" t="s">
        <v>16</v>
      </c>
      <c r="D402" t="s">
        <v>61</v>
      </c>
      <c r="E402" t="s">
        <v>29</v>
      </c>
      <c r="F402" s="3">
        <v>45715</v>
      </c>
      <c r="G402" s="3">
        <v>45884</v>
      </c>
      <c r="H402" s="2">
        <v>23</v>
      </c>
      <c r="I402" s="1">
        <v>3502.21</v>
      </c>
      <c r="J402" s="1">
        <v>152.27000000000001</v>
      </c>
      <c r="K402" t="s">
        <v>35</v>
      </c>
      <c r="L402" t="s">
        <v>20</v>
      </c>
      <c r="M402" s="2">
        <v>8</v>
      </c>
      <c r="N402" t="s">
        <v>21</v>
      </c>
    </row>
    <row r="403" spans="1:14" x14ac:dyDescent="0.3">
      <c r="A403" t="s">
        <v>439</v>
      </c>
      <c r="B403" s="2">
        <v>19</v>
      </c>
      <c r="C403" t="s">
        <v>23</v>
      </c>
      <c r="D403" t="s">
        <v>50</v>
      </c>
      <c r="E403" t="s">
        <v>29</v>
      </c>
      <c r="F403" s="3">
        <v>45355</v>
      </c>
      <c r="G403" s="3">
        <v>45486</v>
      </c>
      <c r="H403" s="2">
        <v>13</v>
      </c>
      <c r="I403" s="1">
        <v>3501.03</v>
      </c>
      <c r="J403" s="1">
        <v>269.31</v>
      </c>
      <c r="K403" t="s">
        <v>45</v>
      </c>
      <c r="L403" t="s">
        <v>26</v>
      </c>
      <c r="M403" s="2">
        <v>3</v>
      </c>
      <c r="N403" t="s">
        <v>21</v>
      </c>
    </row>
    <row r="404" spans="1:14" x14ac:dyDescent="0.3">
      <c r="A404" t="s">
        <v>440</v>
      </c>
      <c r="B404" s="2">
        <v>24</v>
      </c>
      <c r="C404" t="s">
        <v>23</v>
      </c>
      <c r="D404" t="s">
        <v>24</v>
      </c>
      <c r="E404" t="s">
        <v>38</v>
      </c>
      <c r="F404" s="3">
        <v>45987</v>
      </c>
      <c r="G404" s="3">
        <v>46051</v>
      </c>
      <c r="H404" s="2">
        <v>17</v>
      </c>
      <c r="I404" s="1">
        <v>3499.45</v>
      </c>
      <c r="J404" s="1">
        <v>205.85</v>
      </c>
      <c r="K404" t="s">
        <v>45</v>
      </c>
      <c r="L404" t="s">
        <v>30</v>
      </c>
      <c r="M404" s="2">
        <v>5</v>
      </c>
      <c r="N404" t="s">
        <v>21</v>
      </c>
    </row>
    <row r="405" spans="1:14" x14ac:dyDescent="0.3">
      <c r="A405" t="s">
        <v>441</v>
      </c>
      <c r="B405" s="2">
        <v>52</v>
      </c>
      <c r="C405" t="s">
        <v>16</v>
      </c>
      <c r="D405" t="s">
        <v>61</v>
      </c>
      <c r="E405" t="s">
        <v>34</v>
      </c>
      <c r="F405" s="3">
        <v>45807</v>
      </c>
      <c r="G405" s="3">
        <v>45863</v>
      </c>
      <c r="H405" s="2">
        <v>12</v>
      </c>
      <c r="I405" s="1">
        <v>3498.96</v>
      </c>
      <c r="J405" s="1">
        <v>291.58</v>
      </c>
      <c r="K405" t="s">
        <v>45</v>
      </c>
      <c r="L405" t="s">
        <v>20</v>
      </c>
      <c r="M405" s="2">
        <v>8</v>
      </c>
      <c r="N405" t="s">
        <v>21</v>
      </c>
    </row>
    <row r="406" spans="1:14" x14ac:dyDescent="0.3">
      <c r="A406" t="s">
        <v>442</v>
      </c>
      <c r="B406" s="2">
        <v>22</v>
      </c>
      <c r="C406" t="s">
        <v>23</v>
      </c>
      <c r="D406" t="s">
        <v>42</v>
      </c>
      <c r="E406" t="s">
        <v>38</v>
      </c>
      <c r="F406" s="3">
        <v>45650</v>
      </c>
      <c r="G406" s="3">
        <v>45888</v>
      </c>
      <c r="H406" s="2">
        <v>13</v>
      </c>
      <c r="I406" s="1">
        <v>3488.81</v>
      </c>
      <c r="J406" s="1">
        <v>268.37</v>
      </c>
      <c r="K406" t="s">
        <v>39</v>
      </c>
      <c r="L406" t="s">
        <v>26</v>
      </c>
      <c r="M406" s="2">
        <v>2</v>
      </c>
      <c r="N406" t="s">
        <v>21</v>
      </c>
    </row>
    <row r="407" spans="1:14" x14ac:dyDescent="0.3">
      <c r="A407" t="s">
        <v>443</v>
      </c>
      <c r="B407" s="2">
        <v>31</v>
      </c>
      <c r="C407" t="s">
        <v>16</v>
      </c>
      <c r="D407" t="s">
        <v>28</v>
      </c>
      <c r="E407" t="s">
        <v>34</v>
      </c>
      <c r="F407" s="3">
        <v>45737</v>
      </c>
      <c r="G407" s="3">
        <v>45969</v>
      </c>
      <c r="H407" s="2">
        <v>22</v>
      </c>
      <c r="I407" s="1">
        <v>3483.92</v>
      </c>
      <c r="J407" s="1">
        <v>158.36000000000001</v>
      </c>
      <c r="K407" t="s">
        <v>45</v>
      </c>
      <c r="L407" t="s">
        <v>20</v>
      </c>
      <c r="M407" s="2">
        <v>8</v>
      </c>
      <c r="N407" t="s">
        <v>21</v>
      </c>
    </row>
    <row r="408" spans="1:14" x14ac:dyDescent="0.3">
      <c r="A408" t="s">
        <v>444</v>
      </c>
      <c r="B408" s="2">
        <v>50</v>
      </c>
      <c r="C408" t="s">
        <v>16</v>
      </c>
      <c r="D408" t="s">
        <v>44</v>
      </c>
      <c r="E408" t="s">
        <v>18</v>
      </c>
      <c r="F408" s="3">
        <v>45405</v>
      </c>
      <c r="G408" s="3">
        <v>45698</v>
      </c>
      <c r="H408" s="2">
        <v>22</v>
      </c>
      <c r="I408" s="1">
        <v>3483.7</v>
      </c>
      <c r="J408" s="1">
        <v>158.35</v>
      </c>
      <c r="K408" t="s">
        <v>45</v>
      </c>
      <c r="L408" t="s">
        <v>20</v>
      </c>
      <c r="M408" s="2">
        <v>4</v>
      </c>
      <c r="N408" t="s">
        <v>21</v>
      </c>
    </row>
    <row r="409" spans="1:14" x14ac:dyDescent="0.3">
      <c r="A409" t="s">
        <v>445</v>
      </c>
      <c r="B409" s="2">
        <v>26</v>
      </c>
      <c r="C409" t="s">
        <v>16</v>
      </c>
      <c r="D409" t="s">
        <v>28</v>
      </c>
      <c r="E409" t="s">
        <v>18</v>
      </c>
      <c r="F409" s="3">
        <v>45405</v>
      </c>
      <c r="G409" s="3">
        <v>45454</v>
      </c>
      <c r="H409" s="2">
        <v>17</v>
      </c>
      <c r="I409" s="1">
        <v>3476.33</v>
      </c>
      <c r="J409" s="1">
        <v>204.49</v>
      </c>
      <c r="K409" t="s">
        <v>25</v>
      </c>
      <c r="L409" t="s">
        <v>30</v>
      </c>
      <c r="M409" s="2">
        <v>8</v>
      </c>
      <c r="N409" t="s">
        <v>31</v>
      </c>
    </row>
    <row r="410" spans="1:14" x14ac:dyDescent="0.3">
      <c r="A410" t="s">
        <v>446</v>
      </c>
      <c r="B410" s="2">
        <v>64</v>
      </c>
      <c r="C410" t="s">
        <v>23</v>
      </c>
      <c r="D410" t="s">
        <v>42</v>
      </c>
      <c r="E410" t="s">
        <v>18</v>
      </c>
      <c r="F410" s="3">
        <v>45747</v>
      </c>
      <c r="G410" s="3">
        <v>45768</v>
      </c>
      <c r="H410" s="2">
        <v>12</v>
      </c>
      <c r="I410" s="1">
        <v>3474.96</v>
      </c>
      <c r="J410" s="1">
        <v>289.58</v>
      </c>
      <c r="K410" t="s">
        <v>25</v>
      </c>
      <c r="L410" t="s">
        <v>26</v>
      </c>
      <c r="M410" s="2">
        <v>9</v>
      </c>
      <c r="N410" t="s">
        <v>21</v>
      </c>
    </row>
    <row r="411" spans="1:14" x14ac:dyDescent="0.3">
      <c r="A411" t="s">
        <v>447</v>
      </c>
      <c r="B411" s="2">
        <v>44</v>
      </c>
      <c r="C411" t="s">
        <v>16</v>
      </c>
      <c r="D411" t="s">
        <v>44</v>
      </c>
      <c r="E411" t="s">
        <v>34</v>
      </c>
      <c r="F411" s="3">
        <v>45364</v>
      </c>
      <c r="G411" s="3">
        <v>45484</v>
      </c>
      <c r="H411" s="2">
        <v>24</v>
      </c>
      <c r="I411" s="1">
        <v>3469.2</v>
      </c>
      <c r="J411" s="1">
        <v>144.55000000000001</v>
      </c>
      <c r="K411" t="s">
        <v>25</v>
      </c>
      <c r="L411" t="s">
        <v>30</v>
      </c>
      <c r="M411" s="2">
        <v>6</v>
      </c>
      <c r="N411" t="s">
        <v>21</v>
      </c>
    </row>
    <row r="412" spans="1:14" x14ac:dyDescent="0.3">
      <c r="A412" t="s">
        <v>448</v>
      </c>
      <c r="B412" s="2">
        <v>54</v>
      </c>
      <c r="C412" t="s">
        <v>16</v>
      </c>
      <c r="D412" t="s">
        <v>44</v>
      </c>
      <c r="E412" t="s">
        <v>18</v>
      </c>
      <c r="F412" s="3">
        <v>45652</v>
      </c>
      <c r="G412" s="3">
        <v>45692</v>
      </c>
      <c r="H412" s="2">
        <v>12</v>
      </c>
      <c r="I412" s="1">
        <v>3468.72</v>
      </c>
      <c r="J412" s="1">
        <v>289.06</v>
      </c>
      <c r="K412" t="s">
        <v>19</v>
      </c>
      <c r="L412" t="s">
        <v>30</v>
      </c>
      <c r="M412" s="2">
        <v>9</v>
      </c>
      <c r="N412" t="s">
        <v>31</v>
      </c>
    </row>
    <row r="413" spans="1:14" x14ac:dyDescent="0.3">
      <c r="A413" t="s">
        <v>449</v>
      </c>
      <c r="B413" s="2">
        <v>38</v>
      </c>
      <c r="C413" t="s">
        <v>23</v>
      </c>
      <c r="D413" t="s">
        <v>24</v>
      </c>
      <c r="E413" t="s">
        <v>34</v>
      </c>
      <c r="F413" s="3">
        <v>45781</v>
      </c>
      <c r="G413" s="3">
        <v>45802</v>
      </c>
      <c r="H413" s="2">
        <v>22</v>
      </c>
      <c r="I413" s="1">
        <v>3466.54</v>
      </c>
      <c r="J413" s="1">
        <v>157.57</v>
      </c>
      <c r="K413" t="s">
        <v>35</v>
      </c>
      <c r="L413" t="s">
        <v>26</v>
      </c>
      <c r="M413" s="2">
        <v>9</v>
      </c>
      <c r="N413" t="s">
        <v>31</v>
      </c>
    </row>
    <row r="414" spans="1:14" x14ac:dyDescent="0.3">
      <c r="A414" t="s">
        <v>450</v>
      </c>
      <c r="B414" s="2">
        <v>64</v>
      </c>
      <c r="C414" t="s">
        <v>23</v>
      </c>
      <c r="D414" t="s">
        <v>50</v>
      </c>
      <c r="E414" t="s">
        <v>18</v>
      </c>
      <c r="F414" s="3">
        <v>45883</v>
      </c>
      <c r="G414" s="3">
        <v>46127</v>
      </c>
      <c r="H414" s="2">
        <v>22</v>
      </c>
      <c r="I414" s="1">
        <v>3459.06</v>
      </c>
      <c r="J414" s="1">
        <v>157.22999999999999</v>
      </c>
      <c r="K414" t="s">
        <v>45</v>
      </c>
      <c r="L414" t="s">
        <v>26</v>
      </c>
      <c r="M414" s="2">
        <v>2</v>
      </c>
      <c r="N414" t="s">
        <v>21</v>
      </c>
    </row>
    <row r="415" spans="1:14" x14ac:dyDescent="0.3">
      <c r="A415" t="s">
        <v>451</v>
      </c>
      <c r="B415" s="2">
        <v>24</v>
      </c>
      <c r="C415" t="s">
        <v>23</v>
      </c>
      <c r="D415" t="s">
        <v>17</v>
      </c>
      <c r="E415" t="s">
        <v>29</v>
      </c>
      <c r="F415" s="3">
        <v>45964</v>
      </c>
      <c r="G415" s="3">
        <v>46240</v>
      </c>
      <c r="H415" s="2">
        <v>12</v>
      </c>
      <c r="I415" s="1">
        <v>3455.16</v>
      </c>
      <c r="J415" s="1">
        <v>287.93</v>
      </c>
      <c r="K415" t="s">
        <v>25</v>
      </c>
      <c r="L415" t="s">
        <v>30</v>
      </c>
      <c r="M415" s="2">
        <v>9</v>
      </c>
      <c r="N415" t="s">
        <v>21</v>
      </c>
    </row>
    <row r="416" spans="1:14" x14ac:dyDescent="0.3">
      <c r="A416" t="s">
        <v>452</v>
      </c>
      <c r="B416" s="2">
        <v>58</v>
      </c>
      <c r="C416" t="s">
        <v>16</v>
      </c>
      <c r="D416" t="s">
        <v>28</v>
      </c>
      <c r="E416" t="s">
        <v>38</v>
      </c>
      <c r="F416" s="3">
        <v>45670</v>
      </c>
      <c r="G416" s="3">
        <v>45802</v>
      </c>
      <c r="H416" s="2">
        <v>13</v>
      </c>
      <c r="I416" s="1">
        <v>3448.25</v>
      </c>
      <c r="J416" s="1">
        <v>265.25</v>
      </c>
      <c r="K416" t="s">
        <v>45</v>
      </c>
      <c r="L416" t="s">
        <v>20</v>
      </c>
      <c r="M416" s="2">
        <v>5</v>
      </c>
      <c r="N416" t="s">
        <v>21</v>
      </c>
    </row>
    <row r="417" spans="1:14" x14ac:dyDescent="0.3">
      <c r="A417" t="s">
        <v>453</v>
      </c>
      <c r="B417" s="2">
        <v>29</v>
      </c>
      <c r="C417" t="s">
        <v>23</v>
      </c>
      <c r="D417" t="s">
        <v>42</v>
      </c>
      <c r="E417" t="s">
        <v>34</v>
      </c>
      <c r="F417" s="3">
        <v>45987</v>
      </c>
      <c r="G417" s="3">
        <v>46088</v>
      </c>
      <c r="H417" s="2">
        <v>19</v>
      </c>
      <c r="I417" s="1">
        <v>3443.75</v>
      </c>
      <c r="J417" s="1">
        <v>181.25</v>
      </c>
      <c r="K417" t="s">
        <v>19</v>
      </c>
      <c r="L417" t="s">
        <v>26</v>
      </c>
      <c r="M417" s="2">
        <v>8</v>
      </c>
      <c r="N417" t="s">
        <v>21</v>
      </c>
    </row>
    <row r="418" spans="1:14" x14ac:dyDescent="0.3">
      <c r="A418" t="s">
        <v>454</v>
      </c>
      <c r="B418" s="2">
        <v>18</v>
      </c>
      <c r="C418" t="s">
        <v>23</v>
      </c>
      <c r="D418" t="s">
        <v>42</v>
      </c>
      <c r="E418" t="s">
        <v>34</v>
      </c>
      <c r="F418" s="3">
        <v>45850</v>
      </c>
      <c r="G418" s="3">
        <v>45981</v>
      </c>
      <c r="H418" s="2">
        <v>22</v>
      </c>
      <c r="I418" s="1">
        <v>3436.84</v>
      </c>
      <c r="J418" s="1">
        <v>156.22</v>
      </c>
      <c r="K418" t="s">
        <v>19</v>
      </c>
      <c r="L418" t="s">
        <v>20</v>
      </c>
      <c r="M418" s="2">
        <v>10</v>
      </c>
      <c r="N418" t="s">
        <v>21</v>
      </c>
    </row>
    <row r="419" spans="1:14" x14ac:dyDescent="0.3">
      <c r="A419" t="s">
        <v>455</v>
      </c>
      <c r="B419" s="2">
        <v>41</v>
      </c>
      <c r="C419" t="s">
        <v>23</v>
      </c>
      <c r="D419" t="s">
        <v>42</v>
      </c>
      <c r="E419" t="s">
        <v>18</v>
      </c>
      <c r="F419" s="3">
        <v>45779</v>
      </c>
      <c r="G419" s="3">
        <v>45828</v>
      </c>
      <c r="H419" s="2">
        <v>15</v>
      </c>
      <c r="I419" s="1">
        <v>3427.35</v>
      </c>
      <c r="J419" s="1">
        <v>228.49</v>
      </c>
      <c r="K419" t="s">
        <v>35</v>
      </c>
      <c r="L419" t="s">
        <v>30</v>
      </c>
      <c r="M419" s="2">
        <v>6</v>
      </c>
      <c r="N419" t="s">
        <v>21</v>
      </c>
    </row>
    <row r="420" spans="1:14" x14ac:dyDescent="0.3">
      <c r="A420" t="s">
        <v>456</v>
      </c>
      <c r="B420" s="2">
        <v>19</v>
      </c>
      <c r="C420" t="s">
        <v>23</v>
      </c>
      <c r="D420" t="s">
        <v>44</v>
      </c>
      <c r="E420" t="s">
        <v>34</v>
      </c>
      <c r="F420" s="3">
        <v>45663</v>
      </c>
      <c r="G420" s="3">
        <v>45888</v>
      </c>
      <c r="H420" s="2">
        <v>19</v>
      </c>
      <c r="I420" s="1">
        <v>3422.47</v>
      </c>
      <c r="J420" s="1">
        <v>180.13</v>
      </c>
      <c r="K420" t="s">
        <v>45</v>
      </c>
      <c r="L420" t="s">
        <v>30</v>
      </c>
      <c r="M420" s="2">
        <v>6</v>
      </c>
      <c r="N420" t="s">
        <v>21</v>
      </c>
    </row>
    <row r="421" spans="1:14" x14ac:dyDescent="0.3">
      <c r="A421" t="s">
        <v>457</v>
      </c>
      <c r="B421" s="2">
        <v>20</v>
      </c>
      <c r="C421" t="s">
        <v>23</v>
      </c>
      <c r="D421" t="s">
        <v>28</v>
      </c>
      <c r="E421" t="s">
        <v>18</v>
      </c>
      <c r="F421" s="3">
        <v>45746</v>
      </c>
      <c r="G421" s="3">
        <v>45789</v>
      </c>
      <c r="H421" s="2">
        <v>18</v>
      </c>
      <c r="I421" s="1">
        <v>3418.56</v>
      </c>
      <c r="J421" s="1">
        <v>189.92</v>
      </c>
      <c r="K421" t="s">
        <v>45</v>
      </c>
      <c r="L421" t="s">
        <v>26</v>
      </c>
      <c r="M421" s="2">
        <v>3</v>
      </c>
      <c r="N421" t="s">
        <v>21</v>
      </c>
    </row>
    <row r="422" spans="1:14" x14ac:dyDescent="0.3">
      <c r="A422" t="s">
        <v>458</v>
      </c>
      <c r="B422" s="2">
        <v>32</v>
      </c>
      <c r="C422" t="s">
        <v>23</v>
      </c>
      <c r="D422" t="s">
        <v>28</v>
      </c>
      <c r="E422" t="s">
        <v>34</v>
      </c>
      <c r="F422" s="3">
        <v>45633</v>
      </c>
      <c r="G422" s="3">
        <v>45813</v>
      </c>
      <c r="H422" s="2">
        <v>20</v>
      </c>
      <c r="I422" s="1">
        <v>3414.2</v>
      </c>
      <c r="J422" s="1">
        <v>170.71</v>
      </c>
      <c r="K422" t="s">
        <v>39</v>
      </c>
      <c r="L422" t="s">
        <v>20</v>
      </c>
      <c r="M422" s="2">
        <v>2</v>
      </c>
      <c r="N422" t="s">
        <v>21</v>
      </c>
    </row>
    <row r="423" spans="1:14" x14ac:dyDescent="0.3">
      <c r="A423" t="s">
        <v>459</v>
      </c>
      <c r="B423" s="2">
        <v>39</v>
      </c>
      <c r="C423" t="s">
        <v>23</v>
      </c>
      <c r="D423" t="s">
        <v>17</v>
      </c>
      <c r="E423" t="s">
        <v>38</v>
      </c>
      <c r="F423" s="3">
        <v>45314</v>
      </c>
      <c r="G423" s="3">
        <v>45432</v>
      </c>
      <c r="H423" s="2">
        <v>17</v>
      </c>
      <c r="I423" s="1">
        <v>3408.67</v>
      </c>
      <c r="J423" s="1">
        <v>200.51</v>
      </c>
      <c r="K423" t="s">
        <v>35</v>
      </c>
      <c r="L423" t="s">
        <v>26</v>
      </c>
      <c r="M423" s="2">
        <v>10</v>
      </c>
      <c r="N423" t="s">
        <v>21</v>
      </c>
    </row>
    <row r="424" spans="1:14" x14ac:dyDescent="0.3">
      <c r="A424" t="s">
        <v>460</v>
      </c>
      <c r="B424" s="2">
        <v>33</v>
      </c>
      <c r="C424" t="s">
        <v>16</v>
      </c>
      <c r="D424" t="s">
        <v>17</v>
      </c>
      <c r="E424" t="s">
        <v>34</v>
      </c>
      <c r="F424" s="3">
        <v>45387</v>
      </c>
      <c r="G424" s="3">
        <v>45515</v>
      </c>
      <c r="H424" s="2">
        <v>20</v>
      </c>
      <c r="I424" s="1">
        <v>3406.6</v>
      </c>
      <c r="J424" s="1">
        <v>170.33</v>
      </c>
      <c r="K424" t="s">
        <v>19</v>
      </c>
      <c r="L424" t="s">
        <v>30</v>
      </c>
      <c r="M424" s="2">
        <v>1</v>
      </c>
      <c r="N424" t="s">
        <v>21</v>
      </c>
    </row>
    <row r="425" spans="1:14" x14ac:dyDescent="0.3">
      <c r="A425" t="s">
        <v>461</v>
      </c>
      <c r="B425" s="2">
        <v>56</v>
      </c>
      <c r="C425" t="s">
        <v>16</v>
      </c>
      <c r="D425" t="s">
        <v>50</v>
      </c>
      <c r="E425" t="s">
        <v>38</v>
      </c>
      <c r="F425" s="3">
        <v>45401</v>
      </c>
      <c r="G425" s="3">
        <v>45572</v>
      </c>
      <c r="H425" s="2">
        <v>25</v>
      </c>
      <c r="I425" s="1">
        <v>3405.25</v>
      </c>
      <c r="J425" s="1">
        <v>136.21</v>
      </c>
      <c r="K425" t="s">
        <v>45</v>
      </c>
      <c r="L425" t="s">
        <v>26</v>
      </c>
      <c r="M425" s="2">
        <v>8</v>
      </c>
      <c r="N425" t="s">
        <v>21</v>
      </c>
    </row>
    <row r="426" spans="1:14" x14ac:dyDescent="0.3">
      <c r="A426" t="s">
        <v>462</v>
      </c>
      <c r="B426" s="2">
        <v>57</v>
      </c>
      <c r="C426" t="s">
        <v>23</v>
      </c>
      <c r="D426" t="s">
        <v>28</v>
      </c>
      <c r="E426" t="s">
        <v>18</v>
      </c>
      <c r="F426" s="3">
        <v>45901</v>
      </c>
      <c r="G426" s="3">
        <v>46049</v>
      </c>
      <c r="H426" s="2">
        <v>19</v>
      </c>
      <c r="I426" s="1">
        <v>3404.23</v>
      </c>
      <c r="J426" s="1">
        <v>179.17</v>
      </c>
      <c r="K426" t="s">
        <v>39</v>
      </c>
      <c r="L426" t="s">
        <v>20</v>
      </c>
      <c r="M426" s="2">
        <v>5</v>
      </c>
      <c r="N426" t="s">
        <v>31</v>
      </c>
    </row>
    <row r="427" spans="1:14" x14ac:dyDescent="0.3">
      <c r="A427" t="s">
        <v>463</v>
      </c>
      <c r="B427" s="2">
        <v>47</v>
      </c>
      <c r="C427" t="s">
        <v>16</v>
      </c>
      <c r="D427" t="s">
        <v>44</v>
      </c>
      <c r="E427" t="s">
        <v>38</v>
      </c>
      <c r="F427" s="3">
        <v>45806</v>
      </c>
      <c r="G427" s="3">
        <v>45983</v>
      </c>
      <c r="H427" s="2">
        <v>13</v>
      </c>
      <c r="I427" s="1">
        <v>3391.83</v>
      </c>
      <c r="J427" s="1">
        <v>260.91000000000003</v>
      </c>
      <c r="K427" t="s">
        <v>45</v>
      </c>
      <c r="L427" t="s">
        <v>20</v>
      </c>
      <c r="M427" s="2">
        <v>1</v>
      </c>
      <c r="N427" t="s">
        <v>21</v>
      </c>
    </row>
    <row r="428" spans="1:14" x14ac:dyDescent="0.3">
      <c r="A428" t="s">
        <v>464</v>
      </c>
      <c r="B428" s="2">
        <v>59</v>
      </c>
      <c r="C428" t="s">
        <v>23</v>
      </c>
      <c r="D428" t="s">
        <v>50</v>
      </c>
      <c r="E428" t="s">
        <v>38</v>
      </c>
      <c r="F428" s="3">
        <v>45319</v>
      </c>
      <c r="G428" s="3">
        <v>45520</v>
      </c>
      <c r="H428" s="2">
        <v>19</v>
      </c>
      <c r="I428" s="1">
        <v>3382.57</v>
      </c>
      <c r="J428" s="1">
        <v>178.03</v>
      </c>
      <c r="K428" t="s">
        <v>25</v>
      </c>
      <c r="L428" t="s">
        <v>30</v>
      </c>
      <c r="M428" s="2">
        <v>5</v>
      </c>
      <c r="N428" t="s">
        <v>31</v>
      </c>
    </row>
    <row r="429" spans="1:14" x14ac:dyDescent="0.3">
      <c r="A429" t="s">
        <v>465</v>
      </c>
      <c r="B429" s="2">
        <v>42</v>
      </c>
      <c r="C429" t="s">
        <v>23</v>
      </c>
      <c r="D429" t="s">
        <v>42</v>
      </c>
      <c r="E429" t="s">
        <v>34</v>
      </c>
      <c r="F429" s="3">
        <v>45723</v>
      </c>
      <c r="G429" s="3">
        <v>45936</v>
      </c>
      <c r="H429" s="2">
        <v>15</v>
      </c>
      <c r="I429" s="1">
        <v>3380.55</v>
      </c>
      <c r="J429" s="1">
        <v>225.37</v>
      </c>
      <c r="K429" t="s">
        <v>45</v>
      </c>
      <c r="L429" t="s">
        <v>20</v>
      </c>
      <c r="M429" s="2">
        <v>7</v>
      </c>
      <c r="N429" t="s">
        <v>21</v>
      </c>
    </row>
    <row r="430" spans="1:14" x14ac:dyDescent="0.3">
      <c r="A430" t="s">
        <v>466</v>
      </c>
      <c r="B430" s="2">
        <v>60</v>
      </c>
      <c r="C430" t="s">
        <v>23</v>
      </c>
      <c r="D430" t="s">
        <v>50</v>
      </c>
      <c r="E430" t="s">
        <v>34</v>
      </c>
      <c r="F430" s="3">
        <v>45427</v>
      </c>
      <c r="G430" s="3">
        <v>45497</v>
      </c>
      <c r="H430" s="2">
        <v>17</v>
      </c>
      <c r="I430" s="1">
        <v>3369.57</v>
      </c>
      <c r="J430" s="1">
        <v>198.21</v>
      </c>
      <c r="K430" t="s">
        <v>39</v>
      </c>
      <c r="L430" t="s">
        <v>20</v>
      </c>
      <c r="M430" s="2">
        <v>10</v>
      </c>
      <c r="N430" t="s">
        <v>21</v>
      </c>
    </row>
    <row r="431" spans="1:14" x14ac:dyDescent="0.3">
      <c r="A431" t="s">
        <v>467</v>
      </c>
      <c r="B431" s="2">
        <v>31</v>
      </c>
      <c r="C431" t="s">
        <v>23</v>
      </c>
      <c r="D431" t="s">
        <v>50</v>
      </c>
      <c r="E431" t="s">
        <v>18</v>
      </c>
      <c r="F431" s="3">
        <v>45375</v>
      </c>
      <c r="G431" s="3">
        <v>45527</v>
      </c>
      <c r="H431" s="2">
        <v>23</v>
      </c>
      <c r="I431" s="1">
        <v>3367.2</v>
      </c>
      <c r="J431" s="1">
        <v>146.4</v>
      </c>
      <c r="K431" t="s">
        <v>39</v>
      </c>
      <c r="L431" t="s">
        <v>26</v>
      </c>
      <c r="M431" s="2">
        <v>6</v>
      </c>
      <c r="N431" t="s">
        <v>21</v>
      </c>
    </row>
    <row r="432" spans="1:14" x14ac:dyDescent="0.3">
      <c r="A432" t="s">
        <v>468</v>
      </c>
      <c r="B432" s="2">
        <v>24</v>
      </c>
      <c r="C432" t="s">
        <v>16</v>
      </c>
      <c r="D432" t="s">
        <v>17</v>
      </c>
      <c r="E432" t="s">
        <v>18</v>
      </c>
      <c r="F432" s="3">
        <v>45510</v>
      </c>
      <c r="G432" s="3">
        <v>45606</v>
      </c>
      <c r="H432" s="2">
        <v>22</v>
      </c>
      <c r="I432" s="1">
        <v>3364.46</v>
      </c>
      <c r="J432" s="1">
        <v>152.93</v>
      </c>
      <c r="K432" t="s">
        <v>25</v>
      </c>
      <c r="L432" t="s">
        <v>20</v>
      </c>
      <c r="M432" s="2">
        <v>3</v>
      </c>
      <c r="N432" t="s">
        <v>21</v>
      </c>
    </row>
    <row r="433" spans="1:14" x14ac:dyDescent="0.3">
      <c r="A433" t="s">
        <v>469</v>
      </c>
      <c r="B433" s="2">
        <v>46</v>
      </c>
      <c r="C433" t="s">
        <v>23</v>
      </c>
      <c r="D433" t="s">
        <v>28</v>
      </c>
      <c r="E433" t="s">
        <v>38</v>
      </c>
      <c r="F433" s="3">
        <v>45767</v>
      </c>
      <c r="G433" s="3">
        <v>46038</v>
      </c>
      <c r="H433" s="2">
        <v>18</v>
      </c>
      <c r="I433" s="1">
        <v>3361.14</v>
      </c>
      <c r="J433" s="1">
        <v>186.73</v>
      </c>
      <c r="K433" t="s">
        <v>25</v>
      </c>
      <c r="L433" t="s">
        <v>20</v>
      </c>
      <c r="M433" s="2">
        <v>8</v>
      </c>
      <c r="N433" t="s">
        <v>21</v>
      </c>
    </row>
    <row r="434" spans="1:14" x14ac:dyDescent="0.3">
      <c r="A434" t="s">
        <v>470</v>
      </c>
      <c r="B434" s="2">
        <v>32</v>
      </c>
      <c r="C434" t="s">
        <v>16</v>
      </c>
      <c r="D434" t="s">
        <v>17</v>
      </c>
      <c r="E434" t="s">
        <v>38</v>
      </c>
      <c r="F434" s="3">
        <v>45907</v>
      </c>
      <c r="G434" s="3">
        <v>46079</v>
      </c>
      <c r="H434" s="2">
        <v>16</v>
      </c>
      <c r="I434" s="1">
        <v>3360</v>
      </c>
      <c r="J434" s="1">
        <v>210</v>
      </c>
      <c r="K434" t="s">
        <v>45</v>
      </c>
      <c r="L434" t="s">
        <v>20</v>
      </c>
      <c r="M434" s="2">
        <v>7</v>
      </c>
      <c r="N434" t="s">
        <v>21</v>
      </c>
    </row>
    <row r="435" spans="1:14" x14ac:dyDescent="0.3">
      <c r="A435" t="s">
        <v>471</v>
      </c>
      <c r="B435" s="2">
        <v>39</v>
      </c>
      <c r="C435" t="s">
        <v>23</v>
      </c>
      <c r="D435" t="s">
        <v>44</v>
      </c>
      <c r="E435" t="s">
        <v>29</v>
      </c>
      <c r="F435" s="3">
        <v>45597</v>
      </c>
      <c r="G435" s="3">
        <v>45745</v>
      </c>
      <c r="H435" s="2">
        <v>15</v>
      </c>
      <c r="I435" s="1">
        <v>3356.85</v>
      </c>
      <c r="J435" s="1">
        <v>223.79</v>
      </c>
      <c r="K435" t="s">
        <v>45</v>
      </c>
      <c r="L435" t="s">
        <v>26</v>
      </c>
      <c r="M435" s="2">
        <v>6</v>
      </c>
      <c r="N435" t="s">
        <v>21</v>
      </c>
    </row>
    <row r="436" spans="1:14" x14ac:dyDescent="0.3">
      <c r="A436" t="s">
        <v>472</v>
      </c>
      <c r="B436" s="2">
        <v>43</v>
      </c>
      <c r="C436" t="s">
        <v>23</v>
      </c>
      <c r="D436" t="s">
        <v>24</v>
      </c>
      <c r="E436" t="s">
        <v>34</v>
      </c>
      <c r="F436" s="3">
        <v>45637</v>
      </c>
      <c r="G436" s="3">
        <v>45853</v>
      </c>
      <c r="H436" s="2">
        <v>22</v>
      </c>
      <c r="I436" s="1">
        <v>3356.32</v>
      </c>
      <c r="J436" s="1">
        <v>152.56</v>
      </c>
      <c r="K436" t="s">
        <v>45</v>
      </c>
      <c r="L436" t="s">
        <v>20</v>
      </c>
      <c r="M436" s="2">
        <v>4</v>
      </c>
      <c r="N436" t="s">
        <v>21</v>
      </c>
    </row>
    <row r="437" spans="1:14" x14ac:dyDescent="0.3">
      <c r="A437" t="s">
        <v>473</v>
      </c>
      <c r="B437" s="2">
        <v>51</v>
      </c>
      <c r="C437" t="s">
        <v>23</v>
      </c>
      <c r="D437" t="s">
        <v>44</v>
      </c>
      <c r="E437" t="s">
        <v>29</v>
      </c>
      <c r="F437" s="3">
        <v>45385</v>
      </c>
      <c r="G437" s="3">
        <v>45443</v>
      </c>
      <c r="H437" s="2">
        <v>23</v>
      </c>
      <c r="I437" s="1">
        <v>3354.09</v>
      </c>
      <c r="J437" s="1">
        <v>145.83000000000001</v>
      </c>
      <c r="K437" t="s">
        <v>35</v>
      </c>
      <c r="L437" t="s">
        <v>20</v>
      </c>
      <c r="M437" s="2">
        <v>7</v>
      </c>
      <c r="N437" t="s">
        <v>21</v>
      </c>
    </row>
    <row r="438" spans="1:14" x14ac:dyDescent="0.3">
      <c r="A438" t="s">
        <v>474</v>
      </c>
      <c r="B438" s="2">
        <v>42</v>
      </c>
      <c r="C438" t="s">
        <v>23</v>
      </c>
      <c r="D438" t="s">
        <v>50</v>
      </c>
      <c r="E438" t="s">
        <v>29</v>
      </c>
      <c r="F438" s="3">
        <v>45586</v>
      </c>
      <c r="G438" s="3">
        <v>45626</v>
      </c>
      <c r="H438" s="2">
        <v>12</v>
      </c>
      <c r="I438" s="1">
        <v>3344.64</v>
      </c>
      <c r="J438" s="1">
        <v>278.72000000000003</v>
      </c>
      <c r="K438" t="s">
        <v>19</v>
      </c>
      <c r="L438" t="s">
        <v>26</v>
      </c>
      <c r="M438" s="2">
        <v>9</v>
      </c>
      <c r="N438" t="s">
        <v>21</v>
      </c>
    </row>
    <row r="439" spans="1:14" x14ac:dyDescent="0.3">
      <c r="A439" t="s">
        <v>475</v>
      </c>
      <c r="B439" s="2">
        <v>20</v>
      </c>
      <c r="C439" t="s">
        <v>23</v>
      </c>
      <c r="D439" t="s">
        <v>28</v>
      </c>
      <c r="E439" t="s">
        <v>18</v>
      </c>
      <c r="F439" s="3">
        <v>45909</v>
      </c>
      <c r="G439" s="3">
        <v>46171</v>
      </c>
      <c r="H439" s="2">
        <v>25</v>
      </c>
      <c r="I439" s="1">
        <v>3339.75</v>
      </c>
      <c r="J439" s="1">
        <v>133.59</v>
      </c>
      <c r="K439" t="s">
        <v>25</v>
      </c>
      <c r="L439" t="s">
        <v>30</v>
      </c>
      <c r="M439" s="2">
        <v>10</v>
      </c>
      <c r="N439" t="s">
        <v>21</v>
      </c>
    </row>
    <row r="440" spans="1:14" x14ac:dyDescent="0.3">
      <c r="A440" t="s">
        <v>476</v>
      </c>
      <c r="B440" s="2">
        <v>44</v>
      </c>
      <c r="C440" t="s">
        <v>16</v>
      </c>
      <c r="D440" t="s">
        <v>42</v>
      </c>
      <c r="E440" t="s">
        <v>29</v>
      </c>
      <c r="F440" s="3">
        <v>45484</v>
      </c>
      <c r="G440" s="3">
        <v>45768</v>
      </c>
      <c r="H440" s="2">
        <v>13</v>
      </c>
      <c r="I440" s="1">
        <v>3329.69</v>
      </c>
      <c r="J440" s="1">
        <v>256.13</v>
      </c>
      <c r="K440" t="s">
        <v>25</v>
      </c>
      <c r="L440" t="s">
        <v>30</v>
      </c>
      <c r="M440" s="2">
        <v>2</v>
      </c>
      <c r="N440" t="s">
        <v>21</v>
      </c>
    </row>
    <row r="441" spans="1:14" x14ac:dyDescent="0.3">
      <c r="A441" t="s">
        <v>477</v>
      </c>
      <c r="B441" s="2">
        <v>21</v>
      </c>
      <c r="C441" t="s">
        <v>16</v>
      </c>
      <c r="D441" t="s">
        <v>42</v>
      </c>
      <c r="E441" t="s">
        <v>34</v>
      </c>
      <c r="F441" s="3">
        <v>45562</v>
      </c>
      <c r="G441" s="3">
        <v>45749</v>
      </c>
      <c r="H441" s="2">
        <v>25</v>
      </c>
      <c r="I441" s="1">
        <v>3322.75</v>
      </c>
      <c r="J441" s="1">
        <v>132.91</v>
      </c>
      <c r="K441" t="s">
        <v>39</v>
      </c>
      <c r="L441" t="s">
        <v>26</v>
      </c>
      <c r="M441" s="2">
        <v>9</v>
      </c>
      <c r="N441" t="s">
        <v>31</v>
      </c>
    </row>
    <row r="442" spans="1:14" x14ac:dyDescent="0.3">
      <c r="A442" t="s">
        <v>478</v>
      </c>
      <c r="B442" s="2">
        <v>20</v>
      </c>
      <c r="C442" t="s">
        <v>16</v>
      </c>
      <c r="D442" t="s">
        <v>44</v>
      </c>
      <c r="E442" t="s">
        <v>34</v>
      </c>
      <c r="F442" s="3">
        <v>45894</v>
      </c>
      <c r="G442" s="3">
        <v>46142</v>
      </c>
      <c r="H442" s="2">
        <v>22</v>
      </c>
      <c r="I442" s="1">
        <v>3318.92</v>
      </c>
      <c r="J442" s="1">
        <v>150.86000000000001</v>
      </c>
      <c r="K442" t="s">
        <v>19</v>
      </c>
      <c r="L442" t="s">
        <v>30</v>
      </c>
      <c r="M442" s="2">
        <v>9</v>
      </c>
      <c r="N442" t="s">
        <v>21</v>
      </c>
    </row>
    <row r="443" spans="1:14" x14ac:dyDescent="0.3">
      <c r="A443" t="s">
        <v>479</v>
      </c>
      <c r="B443" s="2">
        <v>31</v>
      </c>
      <c r="C443" t="s">
        <v>16</v>
      </c>
      <c r="D443" t="s">
        <v>42</v>
      </c>
      <c r="E443" t="s">
        <v>18</v>
      </c>
      <c r="F443" s="3">
        <v>45397</v>
      </c>
      <c r="G443" s="3">
        <v>45677</v>
      </c>
      <c r="H443" s="2">
        <v>15</v>
      </c>
      <c r="I443" s="1">
        <v>3317.4</v>
      </c>
      <c r="J443" s="1">
        <v>221.16</v>
      </c>
      <c r="K443" t="s">
        <v>39</v>
      </c>
      <c r="L443" t="s">
        <v>26</v>
      </c>
      <c r="M443" s="2">
        <v>1</v>
      </c>
      <c r="N443" t="s">
        <v>21</v>
      </c>
    </row>
    <row r="444" spans="1:14" x14ac:dyDescent="0.3">
      <c r="A444" t="s">
        <v>480</v>
      </c>
      <c r="B444" s="2">
        <v>47</v>
      </c>
      <c r="C444" t="s">
        <v>16</v>
      </c>
      <c r="D444" t="s">
        <v>17</v>
      </c>
      <c r="E444" t="s">
        <v>18</v>
      </c>
      <c r="F444" s="3">
        <v>45467</v>
      </c>
      <c r="G444" s="3">
        <v>45570</v>
      </c>
      <c r="H444" s="2">
        <v>12</v>
      </c>
      <c r="I444" s="1">
        <v>3317.16</v>
      </c>
      <c r="J444" s="1">
        <v>276.43</v>
      </c>
      <c r="K444" t="s">
        <v>25</v>
      </c>
      <c r="L444" t="s">
        <v>30</v>
      </c>
      <c r="M444" s="2">
        <v>2</v>
      </c>
      <c r="N444" t="s">
        <v>21</v>
      </c>
    </row>
    <row r="445" spans="1:14" x14ac:dyDescent="0.3">
      <c r="A445" t="s">
        <v>481</v>
      </c>
      <c r="B445" s="2">
        <v>59</v>
      </c>
      <c r="C445" t="s">
        <v>16</v>
      </c>
      <c r="D445" t="s">
        <v>24</v>
      </c>
      <c r="E445" t="s">
        <v>34</v>
      </c>
      <c r="F445" s="3">
        <v>45458</v>
      </c>
      <c r="G445" s="3">
        <v>45656</v>
      </c>
      <c r="H445" s="2">
        <v>25</v>
      </c>
      <c r="I445" s="1">
        <v>3316.75</v>
      </c>
      <c r="J445" s="1">
        <v>132.66999999999999</v>
      </c>
      <c r="K445" t="s">
        <v>35</v>
      </c>
      <c r="L445" t="s">
        <v>26</v>
      </c>
      <c r="M445" s="2">
        <v>5</v>
      </c>
      <c r="N445" t="s">
        <v>21</v>
      </c>
    </row>
    <row r="446" spans="1:14" x14ac:dyDescent="0.3">
      <c r="A446" t="s">
        <v>482</v>
      </c>
      <c r="B446" s="2">
        <v>60</v>
      </c>
      <c r="C446" t="s">
        <v>16</v>
      </c>
      <c r="D446" t="s">
        <v>42</v>
      </c>
      <c r="E446" t="s">
        <v>18</v>
      </c>
      <c r="F446" s="3">
        <v>45308</v>
      </c>
      <c r="G446" s="3">
        <v>45354</v>
      </c>
      <c r="H446" s="2">
        <v>15</v>
      </c>
      <c r="I446" s="1">
        <v>3314.4</v>
      </c>
      <c r="J446" s="1">
        <v>220.96</v>
      </c>
      <c r="K446" t="s">
        <v>45</v>
      </c>
      <c r="L446" t="s">
        <v>30</v>
      </c>
      <c r="M446" s="2">
        <v>8</v>
      </c>
      <c r="N446" t="s">
        <v>21</v>
      </c>
    </row>
    <row r="447" spans="1:14" x14ac:dyDescent="0.3">
      <c r="A447" t="s">
        <v>483</v>
      </c>
      <c r="B447" s="2">
        <v>45</v>
      </c>
      <c r="C447" t="s">
        <v>16</v>
      </c>
      <c r="D447" t="s">
        <v>61</v>
      </c>
      <c r="E447" t="s">
        <v>18</v>
      </c>
      <c r="F447" s="3">
        <v>45694</v>
      </c>
      <c r="G447" s="3">
        <v>45785</v>
      </c>
      <c r="H447" s="2">
        <v>21</v>
      </c>
      <c r="I447" s="1">
        <v>3313.38</v>
      </c>
      <c r="J447" s="1">
        <v>157.78</v>
      </c>
      <c r="K447" t="s">
        <v>35</v>
      </c>
      <c r="L447" t="s">
        <v>20</v>
      </c>
      <c r="M447" s="2">
        <v>5</v>
      </c>
      <c r="N447" t="s">
        <v>31</v>
      </c>
    </row>
    <row r="448" spans="1:14" x14ac:dyDescent="0.3">
      <c r="A448" t="s">
        <v>484</v>
      </c>
      <c r="B448" s="2">
        <v>51</v>
      </c>
      <c r="C448" t="s">
        <v>16</v>
      </c>
      <c r="D448" t="s">
        <v>28</v>
      </c>
      <c r="E448" t="s">
        <v>38</v>
      </c>
      <c r="F448" s="3">
        <v>45347</v>
      </c>
      <c r="G448" s="3">
        <v>45579</v>
      </c>
      <c r="H448" s="2">
        <v>14</v>
      </c>
      <c r="I448" s="1">
        <v>3312.68</v>
      </c>
      <c r="J448" s="1">
        <v>236.62</v>
      </c>
      <c r="K448" t="s">
        <v>35</v>
      </c>
      <c r="L448" t="s">
        <v>20</v>
      </c>
      <c r="M448" s="2">
        <v>3</v>
      </c>
      <c r="N448" t="s">
        <v>21</v>
      </c>
    </row>
    <row r="449" spans="1:14" x14ac:dyDescent="0.3">
      <c r="A449" t="s">
        <v>485</v>
      </c>
      <c r="B449" s="2">
        <v>28</v>
      </c>
      <c r="C449" t="s">
        <v>23</v>
      </c>
      <c r="D449" t="s">
        <v>50</v>
      </c>
      <c r="E449" t="s">
        <v>18</v>
      </c>
      <c r="F449" s="3">
        <v>45447</v>
      </c>
      <c r="G449" s="3">
        <v>45458</v>
      </c>
      <c r="H449" s="2">
        <v>18</v>
      </c>
      <c r="I449" s="1">
        <v>3303.9</v>
      </c>
      <c r="J449" s="1">
        <v>183.55</v>
      </c>
      <c r="K449" t="s">
        <v>25</v>
      </c>
      <c r="L449" t="s">
        <v>30</v>
      </c>
      <c r="M449" s="2">
        <v>10</v>
      </c>
      <c r="N449" t="s">
        <v>21</v>
      </c>
    </row>
    <row r="450" spans="1:14" x14ac:dyDescent="0.3">
      <c r="A450" t="s">
        <v>486</v>
      </c>
      <c r="B450" s="2">
        <v>28</v>
      </c>
      <c r="C450" t="s">
        <v>16</v>
      </c>
      <c r="D450" t="s">
        <v>50</v>
      </c>
      <c r="E450" t="s">
        <v>29</v>
      </c>
      <c r="F450" s="3">
        <v>45526</v>
      </c>
      <c r="G450" s="3">
        <v>45663</v>
      </c>
      <c r="H450" s="2">
        <v>12</v>
      </c>
      <c r="I450" s="1">
        <v>3303</v>
      </c>
      <c r="J450" s="1">
        <v>275.25</v>
      </c>
      <c r="K450" t="s">
        <v>39</v>
      </c>
      <c r="L450" t="s">
        <v>26</v>
      </c>
      <c r="M450" s="2">
        <v>6</v>
      </c>
      <c r="N450" t="s">
        <v>21</v>
      </c>
    </row>
    <row r="451" spans="1:14" x14ac:dyDescent="0.3">
      <c r="A451" t="s">
        <v>487</v>
      </c>
      <c r="B451" s="2">
        <v>31</v>
      </c>
      <c r="C451" t="s">
        <v>23</v>
      </c>
      <c r="D451" t="s">
        <v>17</v>
      </c>
      <c r="E451" t="s">
        <v>18</v>
      </c>
      <c r="F451" s="3">
        <v>45612</v>
      </c>
      <c r="G451" s="3">
        <v>45708</v>
      </c>
      <c r="H451" s="2">
        <v>14</v>
      </c>
      <c r="I451" s="1">
        <v>3298.96</v>
      </c>
      <c r="J451" s="1">
        <v>235.64</v>
      </c>
      <c r="K451" t="s">
        <v>45</v>
      </c>
      <c r="L451" t="s">
        <v>30</v>
      </c>
      <c r="M451" s="2">
        <v>10</v>
      </c>
      <c r="N451" t="s">
        <v>21</v>
      </c>
    </row>
    <row r="452" spans="1:14" x14ac:dyDescent="0.3">
      <c r="A452" t="s">
        <v>488</v>
      </c>
      <c r="B452" s="2">
        <v>25</v>
      </c>
      <c r="C452" t="s">
        <v>16</v>
      </c>
      <c r="D452" t="s">
        <v>17</v>
      </c>
      <c r="E452" t="s">
        <v>18</v>
      </c>
      <c r="F452" s="3">
        <v>45328</v>
      </c>
      <c r="G452" s="3">
        <v>45448</v>
      </c>
      <c r="H452" s="2">
        <v>23</v>
      </c>
      <c r="I452" s="1">
        <v>3295.44</v>
      </c>
      <c r="J452" s="1">
        <v>143.28</v>
      </c>
      <c r="K452" t="s">
        <v>45</v>
      </c>
      <c r="L452" t="s">
        <v>26</v>
      </c>
      <c r="M452" s="2">
        <v>10</v>
      </c>
      <c r="N452" t="s">
        <v>21</v>
      </c>
    </row>
    <row r="453" spans="1:14" x14ac:dyDescent="0.3">
      <c r="A453" t="s">
        <v>489</v>
      </c>
      <c r="B453" s="2">
        <v>34</v>
      </c>
      <c r="C453" t="s">
        <v>16</v>
      </c>
      <c r="D453" t="s">
        <v>17</v>
      </c>
      <c r="E453" t="s">
        <v>18</v>
      </c>
      <c r="F453" s="3">
        <v>45683</v>
      </c>
      <c r="G453" s="3">
        <v>45881</v>
      </c>
      <c r="H453" s="2">
        <v>11</v>
      </c>
      <c r="I453" s="1">
        <v>3287.57</v>
      </c>
      <c r="J453" s="1">
        <v>298.87</v>
      </c>
      <c r="K453" t="s">
        <v>35</v>
      </c>
      <c r="L453" t="s">
        <v>30</v>
      </c>
      <c r="M453" s="2">
        <v>10</v>
      </c>
      <c r="N453" t="s">
        <v>21</v>
      </c>
    </row>
    <row r="454" spans="1:14" x14ac:dyDescent="0.3">
      <c r="A454" t="s">
        <v>490</v>
      </c>
      <c r="B454" s="2">
        <v>63</v>
      </c>
      <c r="C454" t="s">
        <v>16</v>
      </c>
      <c r="D454" t="s">
        <v>28</v>
      </c>
      <c r="E454" t="s">
        <v>18</v>
      </c>
      <c r="F454" s="3">
        <v>45398</v>
      </c>
      <c r="G454" s="3">
        <v>45536</v>
      </c>
      <c r="H454" s="2">
        <v>16</v>
      </c>
      <c r="I454" s="1">
        <v>3284.48</v>
      </c>
      <c r="J454" s="1">
        <v>205.28</v>
      </c>
      <c r="K454" t="s">
        <v>25</v>
      </c>
      <c r="L454" t="s">
        <v>20</v>
      </c>
      <c r="M454" s="2">
        <v>3</v>
      </c>
      <c r="N454" t="s">
        <v>21</v>
      </c>
    </row>
    <row r="455" spans="1:14" x14ac:dyDescent="0.3">
      <c r="A455" t="s">
        <v>491</v>
      </c>
      <c r="B455" s="2">
        <v>30</v>
      </c>
      <c r="C455" t="s">
        <v>23</v>
      </c>
      <c r="D455" t="s">
        <v>50</v>
      </c>
      <c r="E455" t="s">
        <v>38</v>
      </c>
      <c r="F455" s="3">
        <v>45620</v>
      </c>
      <c r="G455" s="3">
        <v>45757</v>
      </c>
      <c r="H455" s="2">
        <v>24</v>
      </c>
      <c r="I455" s="1">
        <v>3280.8</v>
      </c>
      <c r="J455" s="1">
        <v>136.69999999999999</v>
      </c>
      <c r="K455" t="s">
        <v>35</v>
      </c>
      <c r="L455" t="s">
        <v>20</v>
      </c>
      <c r="M455" s="2">
        <v>6</v>
      </c>
      <c r="N455" t="s">
        <v>21</v>
      </c>
    </row>
    <row r="456" spans="1:14" x14ac:dyDescent="0.3">
      <c r="A456" t="s">
        <v>492</v>
      </c>
      <c r="B456" s="2">
        <v>51</v>
      </c>
      <c r="C456" t="s">
        <v>16</v>
      </c>
      <c r="D456" t="s">
        <v>42</v>
      </c>
      <c r="E456" t="s">
        <v>34</v>
      </c>
      <c r="F456" s="3">
        <v>45332</v>
      </c>
      <c r="G456" s="3">
        <v>45458</v>
      </c>
      <c r="H456" s="2">
        <v>23</v>
      </c>
      <c r="I456" s="1">
        <v>3279.11</v>
      </c>
      <c r="J456" s="1">
        <v>142.57</v>
      </c>
      <c r="K456" t="s">
        <v>45</v>
      </c>
      <c r="L456" t="s">
        <v>26</v>
      </c>
      <c r="M456" s="2">
        <v>7</v>
      </c>
      <c r="N456" t="s">
        <v>21</v>
      </c>
    </row>
    <row r="457" spans="1:14" x14ac:dyDescent="0.3">
      <c r="A457" t="s">
        <v>493</v>
      </c>
      <c r="B457" s="2">
        <v>23</v>
      </c>
      <c r="C457" t="s">
        <v>16</v>
      </c>
      <c r="D457" t="s">
        <v>42</v>
      </c>
      <c r="E457" t="s">
        <v>29</v>
      </c>
      <c r="F457" s="3">
        <v>45347</v>
      </c>
      <c r="G457" s="3">
        <v>45360</v>
      </c>
      <c r="H457" s="2">
        <v>25</v>
      </c>
      <c r="I457" s="1">
        <v>3279</v>
      </c>
      <c r="J457" s="1">
        <v>131.16</v>
      </c>
      <c r="K457" t="s">
        <v>39</v>
      </c>
      <c r="L457" t="s">
        <v>20</v>
      </c>
      <c r="M457" s="2">
        <v>7</v>
      </c>
      <c r="N457" t="s">
        <v>21</v>
      </c>
    </row>
    <row r="458" spans="1:14" x14ac:dyDescent="0.3">
      <c r="A458" t="s">
        <v>494</v>
      </c>
      <c r="B458" s="2">
        <v>35</v>
      </c>
      <c r="C458" t="s">
        <v>23</v>
      </c>
      <c r="D458" t="s">
        <v>50</v>
      </c>
      <c r="E458" t="s">
        <v>29</v>
      </c>
      <c r="F458" s="3">
        <v>45523</v>
      </c>
      <c r="G458" s="3">
        <v>45539</v>
      </c>
      <c r="H458" s="2">
        <v>14</v>
      </c>
      <c r="I458" s="1">
        <v>3276.98</v>
      </c>
      <c r="J458" s="1">
        <v>234.07</v>
      </c>
      <c r="K458" t="s">
        <v>25</v>
      </c>
      <c r="L458" t="s">
        <v>30</v>
      </c>
      <c r="M458" s="2">
        <v>3</v>
      </c>
      <c r="N458" t="s">
        <v>31</v>
      </c>
    </row>
    <row r="459" spans="1:14" x14ac:dyDescent="0.3">
      <c r="A459" t="s">
        <v>495</v>
      </c>
      <c r="B459" s="2">
        <v>38</v>
      </c>
      <c r="C459" t="s">
        <v>16</v>
      </c>
      <c r="D459" t="s">
        <v>61</v>
      </c>
      <c r="E459" t="s">
        <v>29</v>
      </c>
      <c r="F459" s="3">
        <v>45569</v>
      </c>
      <c r="G459" s="3">
        <v>45716</v>
      </c>
      <c r="H459" s="2">
        <v>20</v>
      </c>
      <c r="I459" s="1">
        <v>3275.6</v>
      </c>
      <c r="J459" s="1">
        <v>163.78</v>
      </c>
      <c r="K459" t="s">
        <v>45</v>
      </c>
      <c r="L459" t="s">
        <v>26</v>
      </c>
      <c r="M459" s="2">
        <v>4</v>
      </c>
      <c r="N459" t="s">
        <v>21</v>
      </c>
    </row>
    <row r="460" spans="1:14" x14ac:dyDescent="0.3">
      <c r="A460" t="s">
        <v>496</v>
      </c>
      <c r="B460" s="2">
        <v>31</v>
      </c>
      <c r="C460" t="s">
        <v>16</v>
      </c>
      <c r="D460" t="s">
        <v>24</v>
      </c>
      <c r="E460" t="s">
        <v>18</v>
      </c>
      <c r="F460" s="3">
        <v>45443</v>
      </c>
      <c r="G460" s="3">
        <v>45450</v>
      </c>
      <c r="H460" s="2">
        <v>12</v>
      </c>
      <c r="I460" s="1">
        <v>3273</v>
      </c>
      <c r="J460" s="1">
        <v>272.75</v>
      </c>
      <c r="K460" t="s">
        <v>39</v>
      </c>
      <c r="L460" t="s">
        <v>30</v>
      </c>
      <c r="M460" s="2">
        <v>9</v>
      </c>
      <c r="N460" t="s">
        <v>31</v>
      </c>
    </row>
    <row r="461" spans="1:14" x14ac:dyDescent="0.3">
      <c r="A461" t="s">
        <v>497</v>
      </c>
      <c r="B461" s="2">
        <v>50</v>
      </c>
      <c r="C461" t="s">
        <v>16</v>
      </c>
      <c r="D461" t="s">
        <v>50</v>
      </c>
      <c r="E461" t="s">
        <v>29</v>
      </c>
      <c r="F461" s="3">
        <v>45807</v>
      </c>
      <c r="G461" s="3">
        <v>45914</v>
      </c>
      <c r="H461" s="2">
        <v>12</v>
      </c>
      <c r="I461" s="1">
        <v>3272.52</v>
      </c>
      <c r="J461" s="1">
        <v>272.70999999999998</v>
      </c>
      <c r="K461" t="s">
        <v>45</v>
      </c>
      <c r="L461" t="s">
        <v>20</v>
      </c>
      <c r="M461" s="2">
        <v>10</v>
      </c>
      <c r="N461" t="s">
        <v>21</v>
      </c>
    </row>
    <row r="462" spans="1:14" x14ac:dyDescent="0.3">
      <c r="A462" t="s">
        <v>498</v>
      </c>
      <c r="B462" s="2">
        <v>38</v>
      </c>
      <c r="C462" t="s">
        <v>23</v>
      </c>
      <c r="D462" t="s">
        <v>17</v>
      </c>
      <c r="E462" t="s">
        <v>38</v>
      </c>
      <c r="F462" s="3">
        <v>45838</v>
      </c>
      <c r="G462" s="3">
        <v>46064</v>
      </c>
      <c r="H462" s="2">
        <v>12</v>
      </c>
      <c r="I462" s="1">
        <v>3272.4</v>
      </c>
      <c r="J462" s="1">
        <v>272.7</v>
      </c>
      <c r="K462" t="s">
        <v>45</v>
      </c>
      <c r="L462" t="s">
        <v>20</v>
      </c>
      <c r="M462" s="2">
        <v>4</v>
      </c>
      <c r="N462" t="s">
        <v>21</v>
      </c>
    </row>
    <row r="463" spans="1:14" x14ac:dyDescent="0.3">
      <c r="A463" t="s">
        <v>499</v>
      </c>
      <c r="B463" s="2">
        <v>44</v>
      </c>
      <c r="C463" t="s">
        <v>16</v>
      </c>
      <c r="D463" t="s">
        <v>61</v>
      </c>
      <c r="E463" t="s">
        <v>29</v>
      </c>
      <c r="F463" s="3">
        <v>45370</v>
      </c>
      <c r="G463" s="3">
        <v>45555</v>
      </c>
      <c r="H463" s="2">
        <v>21</v>
      </c>
      <c r="I463" s="1">
        <v>3266.76</v>
      </c>
      <c r="J463" s="1">
        <v>155.56</v>
      </c>
      <c r="K463" t="s">
        <v>19</v>
      </c>
      <c r="L463" t="s">
        <v>30</v>
      </c>
      <c r="M463" s="2">
        <v>7</v>
      </c>
      <c r="N463" t="s">
        <v>21</v>
      </c>
    </row>
    <row r="464" spans="1:14" x14ac:dyDescent="0.3">
      <c r="A464" t="s">
        <v>500</v>
      </c>
      <c r="B464" s="2">
        <v>56</v>
      </c>
      <c r="C464" t="s">
        <v>16</v>
      </c>
      <c r="D464" t="s">
        <v>61</v>
      </c>
      <c r="E464" t="s">
        <v>38</v>
      </c>
      <c r="F464" s="3">
        <v>45812</v>
      </c>
      <c r="G464" s="3">
        <v>45926</v>
      </c>
      <c r="H464" s="2">
        <v>12</v>
      </c>
      <c r="I464" s="1">
        <v>3256.32</v>
      </c>
      <c r="J464" s="1">
        <v>271.36</v>
      </c>
      <c r="K464" t="s">
        <v>45</v>
      </c>
      <c r="L464" t="s">
        <v>20</v>
      </c>
      <c r="M464" s="2">
        <v>1</v>
      </c>
      <c r="N464" t="s">
        <v>21</v>
      </c>
    </row>
    <row r="465" spans="1:14" x14ac:dyDescent="0.3">
      <c r="A465" t="s">
        <v>501</v>
      </c>
      <c r="B465" s="2">
        <v>64</v>
      </c>
      <c r="C465" t="s">
        <v>23</v>
      </c>
      <c r="D465" t="s">
        <v>50</v>
      </c>
      <c r="E465" t="s">
        <v>34</v>
      </c>
      <c r="F465" s="3">
        <v>45625</v>
      </c>
      <c r="G465" s="3">
        <v>45889</v>
      </c>
      <c r="H465" s="2">
        <v>16</v>
      </c>
      <c r="I465" s="1">
        <v>3247.68</v>
      </c>
      <c r="J465" s="1">
        <v>202.98</v>
      </c>
      <c r="K465" t="s">
        <v>35</v>
      </c>
      <c r="L465" t="s">
        <v>26</v>
      </c>
      <c r="M465" s="2">
        <v>6</v>
      </c>
      <c r="N465" t="s">
        <v>21</v>
      </c>
    </row>
    <row r="466" spans="1:14" x14ac:dyDescent="0.3">
      <c r="A466" t="s">
        <v>502</v>
      </c>
      <c r="B466" s="2">
        <v>27</v>
      </c>
      <c r="C466" t="s">
        <v>16</v>
      </c>
      <c r="D466" t="s">
        <v>61</v>
      </c>
      <c r="E466" t="s">
        <v>34</v>
      </c>
      <c r="F466" s="3">
        <v>45516</v>
      </c>
      <c r="G466" s="3">
        <v>45771</v>
      </c>
      <c r="H466" s="2">
        <v>22</v>
      </c>
      <c r="I466" s="1">
        <v>3247.64</v>
      </c>
      <c r="J466" s="1">
        <v>147.62</v>
      </c>
      <c r="K466" t="s">
        <v>45</v>
      </c>
      <c r="L466" t="s">
        <v>20</v>
      </c>
      <c r="M466" s="2">
        <v>2</v>
      </c>
      <c r="N466" t="s">
        <v>21</v>
      </c>
    </row>
    <row r="467" spans="1:14" x14ac:dyDescent="0.3">
      <c r="A467" t="s">
        <v>503</v>
      </c>
      <c r="B467" s="2">
        <v>29</v>
      </c>
      <c r="C467" t="s">
        <v>16</v>
      </c>
      <c r="D467" t="s">
        <v>28</v>
      </c>
      <c r="E467" t="s">
        <v>34</v>
      </c>
      <c r="F467" s="3">
        <v>45349</v>
      </c>
      <c r="G467" s="3">
        <v>45485</v>
      </c>
      <c r="H467" s="2">
        <v>25</v>
      </c>
      <c r="I467" s="1">
        <v>3247</v>
      </c>
      <c r="J467" s="1">
        <v>129.88</v>
      </c>
      <c r="K467" t="s">
        <v>35</v>
      </c>
      <c r="L467" t="s">
        <v>30</v>
      </c>
      <c r="M467" s="2">
        <v>2</v>
      </c>
      <c r="N467" t="s">
        <v>21</v>
      </c>
    </row>
    <row r="468" spans="1:14" x14ac:dyDescent="0.3">
      <c r="A468" t="s">
        <v>504</v>
      </c>
      <c r="B468" s="2">
        <v>49</v>
      </c>
      <c r="C468" t="s">
        <v>16</v>
      </c>
      <c r="D468" t="s">
        <v>42</v>
      </c>
      <c r="E468" t="s">
        <v>34</v>
      </c>
      <c r="F468" s="3">
        <v>45380</v>
      </c>
      <c r="G468" s="3">
        <v>45551</v>
      </c>
      <c r="H468" s="2">
        <v>13</v>
      </c>
      <c r="I468" s="1">
        <v>3246.36</v>
      </c>
      <c r="J468" s="1">
        <v>249.72</v>
      </c>
      <c r="K468" t="s">
        <v>39</v>
      </c>
      <c r="L468" t="s">
        <v>30</v>
      </c>
      <c r="M468" s="2">
        <v>7</v>
      </c>
      <c r="N468" t="s">
        <v>21</v>
      </c>
    </row>
    <row r="469" spans="1:14" x14ac:dyDescent="0.3">
      <c r="A469" t="s">
        <v>505</v>
      </c>
      <c r="B469" s="2">
        <v>53</v>
      </c>
      <c r="C469" t="s">
        <v>16</v>
      </c>
      <c r="D469" t="s">
        <v>42</v>
      </c>
      <c r="E469" t="s">
        <v>38</v>
      </c>
      <c r="F469" s="3">
        <v>45622</v>
      </c>
      <c r="G469" s="3">
        <v>45810</v>
      </c>
      <c r="H469" s="2">
        <v>13</v>
      </c>
      <c r="I469" s="1">
        <v>3245.71</v>
      </c>
      <c r="J469" s="1">
        <v>249.67</v>
      </c>
      <c r="K469" t="s">
        <v>25</v>
      </c>
      <c r="L469" t="s">
        <v>30</v>
      </c>
      <c r="M469" s="2">
        <v>5</v>
      </c>
      <c r="N469" t="s">
        <v>21</v>
      </c>
    </row>
    <row r="470" spans="1:14" x14ac:dyDescent="0.3">
      <c r="A470" t="s">
        <v>506</v>
      </c>
      <c r="B470" s="2">
        <v>54</v>
      </c>
      <c r="C470" t="s">
        <v>23</v>
      </c>
      <c r="D470" t="s">
        <v>28</v>
      </c>
      <c r="E470" t="s">
        <v>18</v>
      </c>
      <c r="F470" s="3">
        <v>45843</v>
      </c>
      <c r="G470" s="3">
        <v>45929</v>
      </c>
      <c r="H470" s="2">
        <v>11</v>
      </c>
      <c r="I470" s="1">
        <v>3235.32</v>
      </c>
      <c r="J470" s="1">
        <v>294.12</v>
      </c>
      <c r="K470" t="s">
        <v>25</v>
      </c>
      <c r="L470" t="s">
        <v>26</v>
      </c>
      <c r="M470" s="2">
        <v>1</v>
      </c>
      <c r="N470" t="s">
        <v>21</v>
      </c>
    </row>
    <row r="471" spans="1:14" x14ac:dyDescent="0.3">
      <c r="A471" t="s">
        <v>507</v>
      </c>
      <c r="B471" s="2">
        <v>55</v>
      </c>
      <c r="C471" t="s">
        <v>16</v>
      </c>
      <c r="D471" t="s">
        <v>28</v>
      </c>
      <c r="E471" t="s">
        <v>29</v>
      </c>
      <c r="F471" s="3">
        <v>45844</v>
      </c>
      <c r="G471" s="3">
        <v>45902</v>
      </c>
      <c r="H471" s="2">
        <v>21</v>
      </c>
      <c r="I471" s="1">
        <v>3233.58</v>
      </c>
      <c r="J471" s="1">
        <v>153.97999999999999</v>
      </c>
      <c r="K471" t="s">
        <v>45</v>
      </c>
      <c r="L471" t="s">
        <v>26</v>
      </c>
      <c r="M471" s="2">
        <v>5</v>
      </c>
      <c r="N471" t="s">
        <v>21</v>
      </c>
    </row>
    <row r="472" spans="1:14" x14ac:dyDescent="0.3">
      <c r="A472" t="s">
        <v>508</v>
      </c>
      <c r="B472" s="2">
        <v>55</v>
      </c>
      <c r="C472" t="s">
        <v>23</v>
      </c>
      <c r="D472" t="s">
        <v>50</v>
      </c>
      <c r="E472" t="s">
        <v>18</v>
      </c>
      <c r="F472" s="3">
        <v>45877</v>
      </c>
      <c r="G472" s="3">
        <v>46139</v>
      </c>
      <c r="H472" s="2">
        <v>20</v>
      </c>
      <c r="I472" s="1">
        <v>3225</v>
      </c>
      <c r="J472" s="1">
        <v>161.25</v>
      </c>
      <c r="K472" t="s">
        <v>39</v>
      </c>
      <c r="L472" t="s">
        <v>26</v>
      </c>
      <c r="M472" s="2">
        <v>1</v>
      </c>
      <c r="N472" t="s">
        <v>21</v>
      </c>
    </row>
    <row r="473" spans="1:14" x14ac:dyDescent="0.3">
      <c r="A473" t="s">
        <v>509</v>
      </c>
      <c r="B473" s="2">
        <v>27</v>
      </c>
      <c r="C473" t="s">
        <v>16</v>
      </c>
      <c r="D473" t="s">
        <v>50</v>
      </c>
      <c r="E473" t="s">
        <v>29</v>
      </c>
      <c r="F473" s="3">
        <v>45883</v>
      </c>
      <c r="G473" s="3">
        <v>45953</v>
      </c>
      <c r="H473" s="2">
        <v>15</v>
      </c>
      <c r="I473" s="1">
        <v>3223.05</v>
      </c>
      <c r="J473" s="1">
        <v>214.87</v>
      </c>
      <c r="K473" t="s">
        <v>39</v>
      </c>
      <c r="L473" t="s">
        <v>26</v>
      </c>
      <c r="M473" s="2">
        <v>10</v>
      </c>
      <c r="N473" t="s">
        <v>21</v>
      </c>
    </row>
    <row r="474" spans="1:14" x14ac:dyDescent="0.3">
      <c r="A474" t="s">
        <v>510</v>
      </c>
      <c r="B474" s="2">
        <v>49</v>
      </c>
      <c r="C474" t="s">
        <v>23</v>
      </c>
      <c r="D474" t="s">
        <v>28</v>
      </c>
      <c r="E474" t="s">
        <v>34</v>
      </c>
      <c r="F474" s="3">
        <v>45742</v>
      </c>
      <c r="G474" s="3">
        <v>45939</v>
      </c>
      <c r="H474" s="2">
        <v>11</v>
      </c>
      <c r="I474" s="1">
        <v>3219.04</v>
      </c>
      <c r="J474" s="1">
        <v>292.64</v>
      </c>
      <c r="K474" t="s">
        <v>39</v>
      </c>
      <c r="L474" t="s">
        <v>20</v>
      </c>
      <c r="M474" s="2">
        <v>7</v>
      </c>
      <c r="N474" t="s">
        <v>21</v>
      </c>
    </row>
    <row r="475" spans="1:14" x14ac:dyDescent="0.3">
      <c r="A475" t="s">
        <v>511</v>
      </c>
      <c r="B475" s="2">
        <v>61</v>
      </c>
      <c r="C475" t="s">
        <v>23</v>
      </c>
      <c r="D475" t="s">
        <v>17</v>
      </c>
      <c r="E475" t="s">
        <v>34</v>
      </c>
      <c r="F475" s="3">
        <v>45433</v>
      </c>
      <c r="G475" s="3">
        <v>45702</v>
      </c>
      <c r="H475" s="2">
        <v>15</v>
      </c>
      <c r="I475" s="1">
        <v>3215.4</v>
      </c>
      <c r="J475" s="1">
        <v>214.36</v>
      </c>
      <c r="K475" t="s">
        <v>35</v>
      </c>
      <c r="L475" t="s">
        <v>26</v>
      </c>
      <c r="M475" s="2">
        <v>7</v>
      </c>
      <c r="N475" t="s">
        <v>21</v>
      </c>
    </row>
    <row r="476" spans="1:14" x14ac:dyDescent="0.3">
      <c r="A476" t="s">
        <v>512</v>
      </c>
      <c r="B476" s="2">
        <v>31</v>
      </c>
      <c r="C476" t="s">
        <v>16</v>
      </c>
      <c r="D476" t="s">
        <v>61</v>
      </c>
      <c r="E476" t="s">
        <v>18</v>
      </c>
      <c r="F476" s="3">
        <v>45680</v>
      </c>
      <c r="G476" s="3">
        <v>45847</v>
      </c>
      <c r="H476" s="2">
        <v>16</v>
      </c>
      <c r="I476" s="1">
        <v>3209.6</v>
      </c>
      <c r="J476" s="1">
        <v>200.6</v>
      </c>
      <c r="K476" t="s">
        <v>25</v>
      </c>
      <c r="L476" t="s">
        <v>20</v>
      </c>
      <c r="M476" s="2">
        <v>3</v>
      </c>
      <c r="N476" t="s">
        <v>31</v>
      </c>
    </row>
    <row r="477" spans="1:14" x14ac:dyDescent="0.3">
      <c r="A477" t="s">
        <v>513</v>
      </c>
      <c r="B477" s="2">
        <v>46</v>
      </c>
      <c r="C477" t="s">
        <v>16</v>
      </c>
      <c r="D477" t="s">
        <v>61</v>
      </c>
      <c r="E477" t="s">
        <v>34</v>
      </c>
      <c r="F477" s="3">
        <v>45420</v>
      </c>
      <c r="G477" s="3">
        <v>45640</v>
      </c>
      <c r="H477" s="2">
        <v>23</v>
      </c>
      <c r="I477" s="1">
        <v>3208.73</v>
      </c>
      <c r="J477" s="1">
        <v>139.51</v>
      </c>
      <c r="K477" t="s">
        <v>45</v>
      </c>
      <c r="L477" t="s">
        <v>30</v>
      </c>
      <c r="M477" s="2">
        <v>6</v>
      </c>
      <c r="N477" t="s">
        <v>31</v>
      </c>
    </row>
    <row r="478" spans="1:14" x14ac:dyDescent="0.3">
      <c r="A478" t="s">
        <v>514</v>
      </c>
      <c r="B478" s="2">
        <v>34</v>
      </c>
      <c r="C478" t="s">
        <v>16</v>
      </c>
      <c r="D478" t="s">
        <v>61</v>
      </c>
      <c r="E478" t="s">
        <v>18</v>
      </c>
      <c r="F478" s="3">
        <v>45653</v>
      </c>
      <c r="G478" s="3">
        <v>45743</v>
      </c>
      <c r="H478" s="2">
        <v>13</v>
      </c>
      <c r="I478" s="1">
        <v>3196.05</v>
      </c>
      <c r="J478" s="1">
        <v>245.85</v>
      </c>
      <c r="K478" t="s">
        <v>39</v>
      </c>
      <c r="L478" t="s">
        <v>30</v>
      </c>
      <c r="M478" s="2">
        <v>3</v>
      </c>
      <c r="N478" t="s">
        <v>21</v>
      </c>
    </row>
    <row r="479" spans="1:14" x14ac:dyDescent="0.3">
      <c r="A479" t="s">
        <v>515</v>
      </c>
      <c r="B479" s="2">
        <v>60</v>
      </c>
      <c r="C479" t="s">
        <v>16</v>
      </c>
      <c r="D479" t="s">
        <v>61</v>
      </c>
      <c r="E479" t="s">
        <v>29</v>
      </c>
      <c r="F479" s="3">
        <v>45751</v>
      </c>
      <c r="G479" s="3">
        <v>45822</v>
      </c>
      <c r="H479" s="2">
        <v>24</v>
      </c>
      <c r="I479" s="1">
        <v>3189.6</v>
      </c>
      <c r="J479" s="1">
        <v>132.9</v>
      </c>
      <c r="K479" t="s">
        <v>45</v>
      </c>
      <c r="L479" t="s">
        <v>30</v>
      </c>
      <c r="M479" s="2">
        <v>9</v>
      </c>
      <c r="N479" t="s">
        <v>21</v>
      </c>
    </row>
    <row r="480" spans="1:14" x14ac:dyDescent="0.3">
      <c r="A480" t="s">
        <v>516</v>
      </c>
      <c r="B480" s="2">
        <v>63</v>
      </c>
      <c r="C480" t="s">
        <v>16</v>
      </c>
      <c r="D480" t="s">
        <v>61</v>
      </c>
      <c r="E480" t="s">
        <v>29</v>
      </c>
      <c r="F480" s="3">
        <v>45471</v>
      </c>
      <c r="G480" s="3">
        <v>45503</v>
      </c>
      <c r="H480" s="2">
        <v>15</v>
      </c>
      <c r="I480" s="1">
        <v>3187.5</v>
      </c>
      <c r="J480" s="1">
        <v>212.5</v>
      </c>
      <c r="K480" t="s">
        <v>39</v>
      </c>
      <c r="L480" t="s">
        <v>26</v>
      </c>
      <c r="M480" s="2">
        <v>3</v>
      </c>
      <c r="N480" t="s">
        <v>21</v>
      </c>
    </row>
    <row r="481" spans="1:14" x14ac:dyDescent="0.3">
      <c r="A481" t="s">
        <v>517</v>
      </c>
      <c r="B481" s="2">
        <v>42</v>
      </c>
      <c r="C481" t="s">
        <v>23</v>
      </c>
      <c r="D481" t="s">
        <v>17</v>
      </c>
      <c r="E481" t="s">
        <v>29</v>
      </c>
      <c r="F481" s="3">
        <v>45843</v>
      </c>
      <c r="G481" s="3">
        <v>45858</v>
      </c>
      <c r="H481" s="2">
        <v>22</v>
      </c>
      <c r="I481" s="1">
        <v>3182.3</v>
      </c>
      <c r="J481" s="1">
        <v>144.65</v>
      </c>
      <c r="K481" t="s">
        <v>39</v>
      </c>
      <c r="L481" t="s">
        <v>30</v>
      </c>
      <c r="M481" s="2">
        <v>8</v>
      </c>
      <c r="N481" t="s">
        <v>31</v>
      </c>
    </row>
    <row r="482" spans="1:14" x14ac:dyDescent="0.3">
      <c r="A482" t="s">
        <v>518</v>
      </c>
      <c r="B482" s="2">
        <v>23</v>
      </c>
      <c r="C482" t="s">
        <v>16</v>
      </c>
      <c r="D482" t="s">
        <v>61</v>
      </c>
      <c r="E482" t="s">
        <v>18</v>
      </c>
      <c r="F482" s="3">
        <v>45495</v>
      </c>
      <c r="G482" s="3">
        <v>45600</v>
      </c>
      <c r="H482" s="2">
        <v>25</v>
      </c>
      <c r="I482" s="1">
        <v>3163.5</v>
      </c>
      <c r="J482" s="1">
        <v>126.54</v>
      </c>
      <c r="K482" t="s">
        <v>25</v>
      </c>
      <c r="L482" t="s">
        <v>30</v>
      </c>
      <c r="M482" s="2">
        <v>2</v>
      </c>
      <c r="N482" t="s">
        <v>21</v>
      </c>
    </row>
    <row r="483" spans="1:14" x14ac:dyDescent="0.3">
      <c r="A483" t="s">
        <v>519</v>
      </c>
      <c r="B483" s="2">
        <v>48</v>
      </c>
      <c r="C483" t="s">
        <v>23</v>
      </c>
      <c r="D483" t="s">
        <v>44</v>
      </c>
      <c r="E483" t="s">
        <v>34</v>
      </c>
      <c r="F483" s="3">
        <v>45907</v>
      </c>
      <c r="G483" s="3">
        <v>46045</v>
      </c>
      <c r="H483" s="2">
        <v>16</v>
      </c>
      <c r="I483" s="1">
        <v>3147.52</v>
      </c>
      <c r="J483" s="1">
        <v>196.72</v>
      </c>
      <c r="K483" t="s">
        <v>45</v>
      </c>
      <c r="L483" t="s">
        <v>20</v>
      </c>
      <c r="M483" s="2">
        <v>4</v>
      </c>
      <c r="N483" t="s">
        <v>21</v>
      </c>
    </row>
    <row r="484" spans="1:14" x14ac:dyDescent="0.3">
      <c r="A484" t="s">
        <v>520</v>
      </c>
      <c r="B484" s="2">
        <v>36</v>
      </c>
      <c r="C484" t="s">
        <v>23</v>
      </c>
      <c r="D484" t="s">
        <v>24</v>
      </c>
      <c r="E484" t="s">
        <v>34</v>
      </c>
      <c r="F484" s="3">
        <v>45572</v>
      </c>
      <c r="G484" s="3">
        <v>45865</v>
      </c>
      <c r="H484" s="2">
        <v>16</v>
      </c>
      <c r="I484" s="1">
        <v>3147.2</v>
      </c>
      <c r="J484" s="1">
        <v>196.7</v>
      </c>
      <c r="K484" t="s">
        <v>25</v>
      </c>
      <c r="L484" t="s">
        <v>20</v>
      </c>
      <c r="M484" s="2">
        <v>4</v>
      </c>
      <c r="N484" t="s">
        <v>21</v>
      </c>
    </row>
    <row r="485" spans="1:14" x14ac:dyDescent="0.3">
      <c r="A485" t="s">
        <v>521</v>
      </c>
      <c r="B485" s="2">
        <v>50</v>
      </c>
      <c r="C485" t="s">
        <v>23</v>
      </c>
      <c r="D485" t="s">
        <v>50</v>
      </c>
      <c r="E485" t="s">
        <v>38</v>
      </c>
      <c r="F485" s="3">
        <v>45377</v>
      </c>
      <c r="G485" s="3">
        <v>45652</v>
      </c>
      <c r="H485" s="2">
        <v>15</v>
      </c>
      <c r="I485" s="1">
        <v>3143.7</v>
      </c>
      <c r="J485" s="1">
        <v>209.58</v>
      </c>
      <c r="K485" t="s">
        <v>45</v>
      </c>
      <c r="L485" t="s">
        <v>20</v>
      </c>
      <c r="M485" s="2">
        <v>10</v>
      </c>
      <c r="N485" t="s">
        <v>21</v>
      </c>
    </row>
    <row r="486" spans="1:14" x14ac:dyDescent="0.3">
      <c r="A486" t="s">
        <v>522</v>
      </c>
      <c r="B486" s="2">
        <v>52</v>
      </c>
      <c r="C486" t="s">
        <v>16</v>
      </c>
      <c r="D486" t="s">
        <v>50</v>
      </c>
      <c r="E486" t="s">
        <v>29</v>
      </c>
      <c r="F486" s="3">
        <v>45329</v>
      </c>
      <c r="G486" s="3">
        <v>45601</v>
      </c>
      <c r="H486" s="2">
        <v>24</v>
      </c>
      <c r="I486" s="1">
        <v>3142.56</v>
      </c>
      <c r="J486" s="1">
        <v>130.94</v>
      </c>
      <c r="K486" t="s">
        <v>35</v>
      </c>
      <c r="L486" t="s">
        <v>26</v>
      </c>
      <c r="M486" s="2">
        <v>5</v>
      </c>
      <c r="N486" t="s">
        <v>31</v>
      </c>
    </row>
    <row r="487" spans="1:14" x14ac:dyDescent="0.3">
      <c r="A487" t="s">
        <v>523</v>
      </c>
      <c r="B487" s="2">
        <v>42</v>
      </c>
      <c r="C487" t="s">
        <v>23</v>
      </c>
      <c r="D487" t="s">
        <v>42</v>
      </c>
      <c r="E487" t="s">
        <v>29</v>
      </c>
      <c r="F487" s="3">
        <v>45756</v>
      </c>
      <c r="G487" s="3">
        <v>45960</v>
      </c>
      <c r="H487" s="2">
        <v>14</v>
      </c>
      <c r="I487" s="1">
        <v>3140.06</v>
      </c>
      <c r="J487" s="1">
        <v>224.29</v>
      </c>
      <c r="K487" t="s">
        <v>35</v>
      </c>
      <c r="L487" t="s">
        <v>30</v>
      </c>
      <c r="M487" s="2">
        <v>2</v>
      </c>
      <c r="N487" t="s">
        <v>21</v>
      </c>
    </row>
    <row r="488" spans="1:14" x14ac:dyDescent="0.3">
      <c r="A488" t="s">
        <v>524</v>
      </c>
      <c r="B488" s="2">
        <v>52</v>
      </c>
      <c r="C488" t="s">
        <v>23</v>
      </c>
      <c r="D488" t="s">
        <v>50</v>
      </c>
      <c r="E488" t="s">
        <v>18</v>
      </c>
      <c r="F488" s="3">
        <v>45774</v>
      </c>
      <c r="G488" s="3">
        <v>45892</v>
      </c>
      <c r="H488" s="2">
        <v>22</v>
      </c>
      <c r="I488" s="1">
        <v>3139.84</v>
      </c>
      <c r="J488" s="1">
        <v>142.72</v>
      </c>
      <c r="K488" t="s">
        <v>45</v>
      </c>
      <c r="L488" t="s">
        <v>26</v>
      </c>
      <c r="M488" s="2">
        <v>1</v>
      </c>
      <c r="N488" t="s">
        <v>21</v>
      </c>
    </row>
    <row r="489" spans="1:14" x14ac:dyDescent="0.3">
      <c r="A489" t="s">
        <v>525</v>
      </c>
      <c r="B489" s="2">
        <v>40</v>
      </c>
      <c r="C489" t="s">
        <v>16</v>
      </c>
      <c r="D489" t="s">
        <v>28</v>
      </c>
      <c r="E489" t="s">
        <v>29</v>
      </c>
      <c r="F489" s="3">
        <v>45786</v>
      </c>
      <c r="G489" s="3">
        <v>46077</v>
      </c>
      <c r="H489" s="2">
        <v>22</v>
      </c>
      <c r="I489" s="1">
        <v>3139.18</v>
      </c>
      <c r="J489" s="1">
        <v>142.69</v>
      </c>
      <c r="K489" t="s">
        <v>35</v>
      </c>
      <c r="L489" t="s">
        <v>26</v>
      </c>
      <c r="M489" s="2">
        <v>2</v>
      </c>
      <c r="N489" t="s">
        <v>21</v>
      </c>
    </row>
    <row r="490" spans="1:14" x14ac:dyDescent="0.3">
      <c r="A490" t="s">
        <v>526</v>
      </c>
      <c r="B490" s="2">
        <v>49</v>
      </c>
      <c r="C490" t="s">
        <v>16</v>
      </c>
      <c r="D490" t="s">
        <v>61</v>
      </c>
      <c r="E490" t="s">
        <v>29</v>
      </c>
      <c r="F490" s="3">
        <v>45649</v>
      </c>
      <c r="G490" s="3">
        <v>45741</v>
      </c>
      <c r="H490" s="2">
        <v>19</v>
      </c>
      <c r="I490" s="1">
        <v>3138.42</v>
      </c>
      <c r="J490" s="1">
        <v>165.18</v>
      </c>
      <c r="K490" t="s">
        <v>19</v>
      </c>
      <c r="L490" t="s">
        <v>26</v>
      </c>
      <c r="M490" s="2">
        <v>8</v>
      </c>
      <c r="N490" t="s">
        <v>21</v>
      </c>
    </row>
    <row r="491" spans="1:14" x14ac:dyDescent="0.3">
      <c r="A491" t="s">
        <v>527</v>
      </c>
      <c r="B491" s="2">
        <v>32</v>
      </c>
      <c r="C491" t="s">
        <v>23</v>
      </c>
      <c r="D491" t="s">
        <v>28</v>
      </c>
      <c r="E491" t="s">
        <v>38</v>
      </c>
      <c r="F491" s="3">
        <v>45961</v>
      </c>
      <c r="G491" s="3">
        <v>46051</v>
      </c>
      <c r="H491" s="2">
        <v>25</v>
      </c>
      <c r="I491" s="1">
        <v>3137</v>
      </c>
      <c r="J491" s="1">
        <v>125.48</v>
      </c>
      <c r="K491" t="s">
        <v>25</v>
      </c>
      <c r="L491" t="s">
        <v>20</v>
      </c>
      <c r="M491" s="2">
        <v>8</v>
      </c>
      <c r="N491" t="s">
        <v>21</v>
      </c>
    </row>
    <row r="492" spans="1:14" x14ac:dyDescent="0.3">
      <c r="A492" t="s">
        <v>528</v>
      </c>
      <c r="B492" s="2">
        <v>50</v>
      </c>
      <c r="C492" t="s">
        <v>23</v>
      </c>
      <c r="D492" t="s">
        <v>42</v>
      </c>
      <c r="E492" t="s">
        <v>34</v>
      </c>
      <c r="F492" s="3">
        <v>45641</v>
      </c>
      <c r="G492" s="3">
        <v>45665</v>
      </c>
      <c r="H492" s="2">
        <v>19</v>
      </c>
      <c r="I492" s="1">
        <v>3134.05</v>
      </c>
      <c r="J492" s="1">
        <v>164.95</v>
      </c>
      <c r="K492" t="s">
        <v>35</v>
      </c>
      <c r="L492" t="s">
        <v>26</v>
      </c>
      <c r="M492" s="2">
        <v>3</v>
      </c>
      <c r="N492" t="s">
        <v>21</v>
      </c>
    </row>
    <row r="493" spans="1:14" x14ac:dyDescent="0.3">
      <c r="A493" t="s">
        <v>529</v>
      </c>
      <c r="B493" s="2">
        <v>46</v>
      </c>
      <c r="C493" t="s">
        <v>23</v>
      </c>
      <c r="D493" t="s">
        <v>50</v>
      </c>
      <c r="E493" t="s">
        <v>18</v>
      </c>
      <c r="F493" s="3">
        <v>45908</v>
      </c>
      <c r="G493" s="3">
        <v>46047</v>
      </c>
      <c r="H493" s="2">
        <v>22</v>
      </c>
      <c r="I493" s="1">
        <v>3120.48</v>
      </c>
      <c r="J493" s="1">
        <v>141.84</v>
      </c>
      <c r="K493" t="s">
        <v>35</v>
      </c>
      <c r="L493" t="s">
        <v>26</v>
      </c>
      <c r="M493" s="2">
        <v>8</v>
      </c>
      <c r="N493" t="s">
        <v>21</v>
      </c>
    </row>
    <row r="494" spans="1:14" x14ac:dyDescent="0.3">
      <c r="A494" t="s">
        <v>530</v>
      </c>
      <c r="B494" s="2">
        <v>64</v>
      </c>
      <c r="C494" t="s">
        <v>23</v>
      </c>
      <c r="D494" t="s">
        <v>24</v>
      </c>
      <c r="E494" t="s">
        <v>34</v>
      </c>
      <c r="F494" s="3">
        <v>45786</v>
      </c>
      <c r="G494" s="3">
        <v>45925</v>
      </c>
      <c r="H494" s="2">
        <v>11</v>
      </c>
      <c r="I494" s="1">
        <v>3114.98</v>
      </c>
      <c r="J494" s="1">
        <v>283.18</v>
      </c>
      <c r="K494" t="s">
        <v>45</v>
      </c>
      <c r="L494" t="s">
        <v>30</v>
      </c>
      <c r="M494" s="2">
        <v>3</v>
      </c>
      <c r="N494" t="s">
        <v>21</v>
      </c>
    </row>
    <row r="495" spans="1:14" x14ac:dyDescent="0.3">
      <c r="A495" t="s">
        <v>531</v>
      </c>
      <c r="B495" s="2">
        <v>60</v>
      </c>
      <c r="C495" t="s">
        <v>16</v>
      </c>
      <c r="D495" t="s">
        <v>42</v>
      </c>
      <c r="E495" t="s">
        <v>29</v>
      </c>
      <c r="F495" s="3">
        <v>45966</v>
      </c>
      <c r="G495" s="3">
        <v>46246</v>
      </c>
      <c r="H495" s="2">
        <v>13</v>
      </c>
      <c r="I495" s="1">
        <v>3114.02</v>
      </c>
      <c r="J495" s="1">
        <v>239.54</v>
      </c>
      <c r="K495" t="s">
        <v>45</v>
      </c>
      <c r="L495" t="s">
        <v>30</v>
      </c>
      <c r="M495" s="2">
        <v>4</v>
      </c>
      <c r="N495" t="s">
        <v>21</v>
      </c>
    </row>
    <row r="496" spans="1:14" x14ac:dyDescent="0.3">
      <c r="A496" t="s">
        <v>532</v>
      </c>
      <c r="B496" s="2">
        <v>41</v>
      </c>
      <c r="C496" t="s">
        <v>16</v>
      </c>
      <c r="D496" t="s">
        <v>42</v>
      </c>
      <c r="E496" t="s">
        <v>34</v>
      </c>
      <c r="F496" s="3">
        <v>45448</v>
      </c>
      <c r="G496" s="3">
        <v>45491</v>
      </c>
      <c r="H496" s="2">
        <v>19</v>
      </c>
      <c r="I496" s="1">
        <v>3104.6</v>
      </c>
      <c r="J496" s="1">
        <v>163.4</v>
      </c>
      <c r="K496" t="s">
        <v>45</v>
      </c>
      <c r="L496" t="s">
        <v>26</v>
      </c>
      <c r="M496" s="2">
        <v>1</v>
      </c>
      <c r="N496" t="s">
        <v>21</v>
      </c>
    </row>
    <row r="497" spans="1:14" x14ac:dyDescent="0.3">
      <c r="A497" t="s">
        <v>533</v>
      </c>
      <c r="B497" s="2">
        <v>40</v>
      </c>
      <c r="C497" t="s">
        <v>16</v>
      </c>
      <c r="D497" t="s">
        <v>61</v>
      </c>
      <c r="E497" t="s">
        <v>34</v>
      </c>
      <c r="F497" s="3">
        <v>45821</v>
      </c>
      <c r="G497" s="3">
        <v>46028</v>
      </c>
      <c r="H497" s="2">
        <v>16</v>
      </c>
      <c r="I497" s="1">
        <v>3090.72</v>
      </c>
      <c r="J497" s="1">
        <v>193.17</v>
      </c>
      <c r="K497" t="s">
        <v>19</v>
      </c>
      <c r="L497" t="s">
        <v>26</v>
      </c>
      <c r="M497" s="2">
        <v>7</v>
      </c>
      <c r="N497" t="s">
        <v>31</v>
      </c>
    </row>
    <row r="498" spans="1:14" x14ac:dyDescent="0.3">
      <c r="A498" t="s">
        <v>534</v>
      </c>
      <c r="B498" s="2">
        <v>35</v>
      </c>
      <c r="C498" t="s">
        <v>16</v>
      </c>
      <c r="D498" t="s">
        <v>42</v>
      </c>
      <c r="E498" t="s">
        <v>18</v>
      </c>
      <c r="F498" s="3">
        <v>45360</v>
      </c>
      <c r="G498" s="3">
        <v>45590</v>
      </c>
      <c r="H498" s="2">
        <v>13</v>
      </c>
      <c r="I498" s="1">
        <v>3089.84</v>
      </c>
      <c r="J498" s="1">
        <v>237.68</v>
      </c>
      <c r="K498" t="s">
        <v>35</v>
      </c>
      <c r="L498" t="s">
        <v>30</v>
      </c>
      <c r="M498" s="2">
        <v>4</v>
      </c>
      <c r="N498" t="s">
        <v>21</v>
      </c>
    </row>
    <row r="499" spans="1:14" x14ac:dyDescent="0.3">
      <c r="A499" t="s">
        <v>535</v>
      </c>
      <c r="B499" s="2">
        <v>20</v>
      </c>
      <c r="C499" t="s">
        <v>23</v>
      </c>
      <c r="D499" t="s">
        <v>61</v>
      </c>
      <c r="E499" t="s">
        <v>18</v>
      </c>
      <c r="F499" s="3">
        <v>45681</v>
      </c>
      <c r="G499" s="3">
        <v>45730</v>
      </c>
      <c r="H499" s="2">
        <v>12</v>
      </c>
      <c r="I499" s="1">
        <v>3087.6</v>
      </c>
      <c r="J499" s="1">
        <v>257.3</v>
      </c>
      <c r="K499" t="s">
        <v>35</v>
      </c>
      <c r="L499" t="s">
        <v>30</v>
      </c>
      <c r="M499" s="2">
        <v>9</v>
      </c>
      <c r="N499" t="s">
        <v>21</v>
      </c>
    </row>
    <row r="500" spans="1:14" x14ac:dyDescent="0.3">
      <c r="A500" t="s">
        <v>536</v>
      </c>
      <c r="B500" s="2">
        <v>45</v>
      </c>
      <c r="C500" t="s">
        <v>23</v>
      </c>
      <c r="D500" t="s">
        <v>42</v>
      </c>
      <c r="E500" t="s">
        <v>29</v>
      </c>
      <c r="F500" s="3">
        <v>45968</v>
      </c>
      <c r="G500" s="3">
        <v>46006</v>
      </c>
      <c r="H500" s="2">
        <v>21</v>
      </c>
      <c r="I500" s="1">
        <v>3086.16</v>
      </c>
      <c r="J500" s="1">
        <v>146.96</v>
      </c>
      <c r="K500" t="s">
        <v>39</v>
      </c>
      <c r="L500" t="s">
        <v>26</v>
      </c>
      <c r="M500" s="2">
        <v>1</v>
      </c>
      <c r="N500" t="s">
        <v>21</v>
      </c>
    </row>
    <row r="501" spans="1:14" x14ac:dyDescent="0.3">
      <c r="A501" t="s">
        <v>537</v>
      </c>
      <c r="B501" s="2">
        <v>42</v>
      </c>
      <c r="C501" t="s">
        <v>16</v>
      </c>
      <c r="D501" t="s">
        <v>28</v>
      </c>
      <c r="E501" t="s">
        <v>38</v>
      </c>
      <c r="F501" s="3">
        <v>45521</v>
      </c>
      <c r="G501" s="3">
        <v>45576</v>
      </c>
      <c r="H501" s="2">
        <v>12</v>
      </c>
      <c r="I501" s="1">
        <v>3080.4</v>
      </c>
      <c r="J501" s="1">
        <v>256.7</v>
      </c>
      <c r="K501" t="s">
        <v>19</v>
      </c>
      <c r="L501" t="s">
        <v>20</v>
      </c>
      <c r="M501" s="2">
        <v>10</v>
      </c>
      <c r="N501" t="s">
        <v>21</v>
      </c>
    </row>
    <row r="502" spans="1:14" x14ac:dyDescent="0.3">
      <c r="A502" t="s">
        <v>538</v>
      </c>
      <c r="B502" s="2">
        <v>40</v>
      </c>
      <c r="C502" t="s">
        <v>23</v>
      </c>
      <c r="D502" t="s">
        <v>28</v>
      </c>
      <c r="E502" t="s">
        <v>34</v>
      </c>
      <c r="F502" s="3">
        <v>45865</v>
      </c>
      <c r="G502" s="3">
        <v>46066</v>
      </c>
      <c r="H502" s="2">
        <v>13</v>
      </c>
      <c r="I502" s="1">
        <v>3077.1</v>
      </c>
      <c r="J502" s="1">
        <v>236.7</v>
      </c>
      <c r="K502" t="s">
        <v>19</v>
      </c>
      <c r="L502" t="s">
        <v>30</v>
      </c>
      <c r="M502" s="2">
        <v>10</v>
      </c>
      <c r="N502" t="s">
        <v>21</v>
      </c>
    </row>
    <row r="503" spans="1:14" x14ac:dyDescent="0.3">
      <c r="A503" t="s">
        <v>539</v>
      </c>
      <c r="B503" s="2">
        <v>44</v>
      </c>
      <c r="C503" t="s">
        <v>16</v>
      </c>
      <c r="D503" t="s">
        <v>50</v>
      </c>
      <c r="E503" t="s">
        <v>34</v>
      </c>
      <c r="F503" s="3">
        <v>45522</v>
      </c>
      <c r="G503" s="3">
        <v>45587</v>
      </c>
      <c r="H503" s="2">
        <v>16</v>
      </c>
      <c r="I503" s="1">
        <v>3074.72</v>
      </c>
      <c r="J503" s="1">
        <v>192.17</v>
      </c>
      <c r="K503" t="s">
        <v>35</v>
      </c>
      <c r="L503" t="s">
        <v>30</v>
      </c>
      <c r="M503" s="2">
        <v>7</v>
      </c>
      <c r="N503" t="s">
        <v>21</v>
      </c>
    </row>
    <row r="504" spans="1:14" x14ac:dyDescent="0.3">
      <c r="A504" t="s">
        <v>540</v>
      </c>
      <c r="B504" s="2">
        <v>63</v>
      </c>
      <c r="C504" t="s">
        <v>23</v>
      </c>
      <c r="D504" t="s">
        <v>44</v>
      </c>
      <c r="E504" t="s">
        <v>34</v>
      </c>
      <c r="F504" s="3">
        <v>45961</v>
      </c>
      <c r="G504" s="3">
        <v>46005</v>
      </c>
      <c r="H504" s="2">
        <v>17</v>
      </c>
      <c r="I504" s="1">
        <v>3072.24</v>
      </c>
      <c r="J504" s="1">
        <v>180.72</v>
      </c>
      <c r="K504" t="s">
        <v>25</v>
      </c>
      <c r="L504" t="s">
        <v>20</v>
      </c>
      <c r="M504" s="2">
        <v>3</v>
      </c>
      <c r="N504" t="s">
        <v>21</v>
      </c>
    </row>
    <row r="505" spans="1:14" x14ac:dyDescent="0.3">
      <c r="A505" t="s">
        <v>541</v>
      </c>
      <c r="B505" s="2">
        <v>40</v>
      </c>
      <c r="C505" t="s">
        <v>16</v>
      </c>
      <c r="D505" t="s">
        <v>28</v>
      </c>
      <c r="E505" t="s">
        <v>29</v>
      </c>
      <c r="F505" s="3">
        <v>45835</v>
      </c>
      <c r="G505" s="3">
        <v>46108</v>
      </c>
      <c r="H505" s="2">
        <v>20</v>
      </c>
      <c r="I505" s="1">
        <v>3060.8</v>
      </c>
      <c r="J505" s="1">
        <v>153.04</v>
      </c>
      <c r="K505" t="s">
        <v>19</v>
      </c>
      <c r="L505" t="s">
        <v>20</v>
      </c>
      <c r="M505" s="2">
        <v>5</v>
      </c>
      <c r="N505" t="s">
        <v>21</v>
      </c>
    </row>
    <row r="506" spans="1:14" x14ac:dyDescent="0.3">
      <c r="A506" t="s">
        <v>542</v>
      </c>
      <c r="B506" s="2">
        <v>52</v>
      </c>
      <c r="C506" t="s">
        <v>16</v>
      </c>
      <c r="D506" t="s">
        <v>24</v>
      </c>
      <c r="E506" t="s">
        <v>34</v>
      </c>
      <c r="F506" s="3">
        <v>45377</v>
      </c>
      <c r="G506" s="3">
        <v>45507</v>
      </c>
      <c r="H506" s="2">
        <v>22</v>
      </c>
      <c r="I506" s="1">
        <v>3060.2</v>
      </c>
      <c r="J506" s="1">
        <v>139.1</v>
      </c>
      <c r="K506" t="s">
        <v>25</v>
      </c>
      <c r="L506" t="s">
        <v>20</v>
      </c>
      <c r="M506" s="2">
        <v>6</v>
      </c>
      <c r="N506" t="s">
        <v>21</v>
      </c>
    </row>
    <row r="507" spans="1:14" x14ac:dyDescent="0.3">
      <c r="A507" t="s">
        <v>543</v>
      </c>
      <c r="B507" s="2">
        <v>24</v>
      </c>
      <c r="C507" t="s">
        <v>23</v>
      </c>
      <c r="D507" t="s">
        <v>50</v>
      </c>
      <c r="E507" t="s">
        <v>18</v>
      </c>
      <c r="F507" s="3">
        <v>45576</v>
      </c>
      <c r="G507" s="3">
        <v>45631</v>
      </c>
      <c r="H507" s="2">
        <v>18</v>
      </c>
      <c r="I507" s="1">
        <v>3057.48</v>
      </c>
      <c r="J507" s="1">
        <v>169.86</v>
      </c>
      <c r="K507" t="s">
        <v>19</v>
      </c>
      <c r="L507" t="s">
        <v>30</v>
      </c>
      <c r="M507" s="2">
        <v>1</v>
      </c>
      <c r="N507" t="s">
        <v>31</v>
      </c>
    </row>
    <row r="508" spans="1:14" x14ac:dyDescent="0.3">
      <c r="A508" t="s">
        <v>544</v>
      </c>
      <c r="B508" s="2">
        <v>40</v>
      </c>
      <c r="C508" t="s">
        <v>23</v>
      </c>
      <c r="D508" t="s">
        <v>61</v>
      </c>
      <c r="E508" t="s">
        <v>29</v>
      </c>
      <c r="F508" s="3">
        <v>45816</v>
      </c>
      <c r="G508" s="3">
        <v>46033</v>
      </c>
      <c r="H508" s="2">
        <v>14</v>
      </c>
      <c r="I508" s="1">
        <v>3052.56</v>
      </c>
      <c r="J508" s="1">
        <v>218.04</v>
      </c>
      <c r="K508" t="s">
        <v>35</v>
      </c>
      <c r="L508" t="s">
        <v>26</v>
      </c>
      <c r="M508" s="2">
        <v>5</v>
      </c>
      <c r="N508" t="s">
        <v>31</v>
      </c>
    </row>
    <row r="509" spans="1:14" x14ac:dyDescent="0.3">
      <c r="A509" t="s">
        <v>545</v>
      </c>
      <c r="B509" s="2">
        <v>42</v>
      </c>
      <c r="C509" t="s">
        <v>23</v>
      </c>
      <c r="D509" t="s">
        <v>44</v>
      </c>
      <c r="E509" t="s">
        <v>34</v>
      </c>
      <c r="F509" s="3">
        <v>45569</v>
      </c>
      <c r="G509" s="3">
        <v>45596</v>
      </c>
      <c r="H509" s="2">
        <v>15</v>
      </c>
      <c r="I509" s="1">
        <v>3049.95</v>
      </c>
      <c r="J509" s="1">
        <v>203.33</v>
      </c>
      <c r="K509" t="s">
        <v>39</v>
      </c>
      <c r="L509" t="s">
        <v>30</v>
      </c>
      <c r="M509" s="2">
        <v>5</v>
      </c>
      <c r="N509" t="s">
        <v>31</v>
      </c>
    </row>
    <row r="510" spans="1:14" x14ac:dyDescent="0.3">
      <c r="A510" t="s">
        <v>546</v>
      </c>
      <c r="B510" s="2">
        <v>43</v>
      </c>
      <c r="C510" t="s">
        <v>16</v>
      </c>
      <c r="D510" t="s">
        <v>44</v>
      </c>
      <c r="E510" t="s">
        <v>38</v>
      </c>
      <c r="F510" s="3">
        <v>45904</v>
      </c>
      <c r="G510" s="3">
        <v>46155</v>
      </c>
      <c r="H510" s="2">
        <v>14</v>
      </c>
      <c r="I510" s="1">
        <v>3040.52</v>
      </c>
      <c r="J510" s="1">
        <v>217.18</v>
      </c>
      <c r="K510" t="s">
        <v>45</v>
      </c>
      <c r="L510" t="s">
        <v>20</v>
      </c>
      <c r="M510" s="2">
        <v>5</v>
      </c>
      <c r="N510" t="s">
        <v>21</v>
      </c>
    </row>
    <row r="511" spans="1:14" x14ac:dyDescent="0.3">
      <c r="A511" t="s">
        <v>547</v>
      </c>
      <c r="B511" s="2">
        <v>29</v>
      </c>
      <c r="C511" t="s">
        <v>23</v>
      </c>
      <c r="D511" t="s">
        <v>17</v>
      </c>
      <c r="E511" t="s">
        <v>38</v>
      </c>
      <c r="F511" s="3">
        <v>45429</v>
      </c>
      <c r="G511" s="3">
        <v>45686</v>
      </c>
      <c r="H511" s="2">
        <v>20</v>
      </c>
      <c r="I511" s="1">
        <v>3025</v>
      </c>
      <c r="J511" s="1">
        <v>151.25</v>
      </c>
      <c r="K511" t="s">
        <v>25</v>
      </c>
      <c r="L511" t="s">
        <v>30</v>
      </c>
      <c r="M511" s="2">
        <v>4</v>
      </c>
      <c r="N511" t="s">
        <v>21</v>
      </c>
    </row>
    <row r="512" spans="1:14" x14ac:dyDescent="0.3">
      <c r="A512" t="s">
        <v>548</v>
      </c>
      <c r="B512" s="2">
        <v>40</v>
      </c>
      <c r="C512" t="s">
        <v>16</v>
      </c>
      <c r="D512" t="s">
        <v>42</v>
      </c>
      <c r="E512" t="s">
        <v>18</v>
      </c>
      <c r="F512" s="3">
        <v>45388</v>
      </c>
      <c r="G512" s="3">
        <v>45419</v>
      </c>
      <c r="H512" s="2">
        <v>20</v>
      </c>
      <c r="I512" s="1">
        <v>3024.6</v>
      </c>
      <c r="J512" s="1">
        <v>151.22999999999999</v>
      </c>
      <c r="K512" t="s">
        <v>25</v>
      </c>
      <c r="L512" t="s">
        <v>26</v>
      </c>
      <c r="M512" s="2">
        <v>5</v>
      </c>
      <c r="N512" t="s">
        <v>31</v>
      </c>
    </row>
    <row r="513" spans="1:14" x14ac:dyDescent="0.3">
      <c r="A513" t="s">
        <v>549</v>
      </c>
      <c r="B513" s="2">
        <v>59</v>
      </c>
      <c r="C513" t="s">
        <v>16</v>
      </c>
      <c r="D513" t="s">
        <v>61</v>
      </c>
      <c r="E513" t="s">
        <v>18</v>
      </c>
      <c r="F513" s="3">
        <v>45736</v>
      </c>
      <c r="G513" s="3">
        <v>45767</v>
      </c>
      <c r="H513" s="2">
        <v>13</v>
      </c>
      <c r="I513" s="1">
        <v>3023.41</v>
      </c>
      <c r="J513" s="1">
        <v>232.57</v>
      </c>
      <c r="K513" t="s">
        <v>19</v>
      </c>
      <c r="L513" t="s">
        <v>26</v>
      </c>
      <c r="M513" s="2">
        <v>7</v>
      </c>
      <c r="N513" t="s">
        <v>21</v>
      </c>
    </row>
    <row r="514" spans="1:14" x14ac:dyDescent="0.3">
      <c r="A514" t="s">
        <v>550</v>
      </c>
      <c r="B514" s="2">
        <v>42</v>
      </c>
      <c r="C514" t="s">
        <v>23</v>
      </c>
      <c r="D514" t="s">
        <v>42</v>
      </c>
      <c r="E514" t="s">
        <v>18</v>
      </c>
      <c r="F514" s="3">
        <v>45944</v>
      </c>
      <c r="G514" s="3">
        <v>46099</v>
      </c>
      <c r="H514" s="2">
        <v>17</v>
      </c>
      <c r="I514" s="1">
        <v>3016.65</v>
      </c>
      <c r="J514" s="1">
        <v>177.45</v>
      </c>
      <c r="K514" t="s">
        <v>25</v>
      </c>
      <c r="L514" t="s">
        <v>26</v>
      </c>
      <c r="M514" s="2">
        <v>6</v>
      </c>
      <c r="N514" t="s">
        <v>21</v>
      </c>
    </row>
    <row r="515" spans="1:14" x14ac:dyDescent="0.3">
      <c r="A515" t="s">
        <v>551</v>
      </c>
      <c r="B515" s="2">
        <v>30</v>
      </c>
      <c r="C515" t="s">
        <v>16</v>
      </c>
      <c r="D515" t="s">
        <v>17</v>
      </c>
      <c r="E515" t="s">
        <v>18</v>
      </c>
      <c r="F515" s="3">
        <v>45809</v>
      </c>
      <c r="G515" s="3">
        <v>45884</v>
      </c>
      <c r="H515" s="2">
        <v>19</v>
      </c>
      <c r="I515" s="1">
        <v>3009.22</v>
      </c>
      <c r="J515" s="1">
        <v>158.38</v>
      </c>
      <c r="K515" t="s">
        <v>25</v>
      </c>
      <c r="L515" t="s">
        <v>30</v>
      </c>
      <c r="M515" s="2">
        <v>7</v>
      </c>
      <c r="N515" t="s">
        <v>21</v>
      </c>
    </row>
    <row r="516" spans="1:14" x14ac:dyDescent="0.3">
      <c r="A516" t="s">
        <v>552</v>
      </c>
      <c r="B516" s="2">
        <v>20</v>
      </c>
      <c r="C516" t="s">
        <v>16</v>
      </c>
      <c r="D516" t="s">
        <v>17</v>
      </c>
      <c r="E516" t="s">
        <v>29</v>
      </c>
      <c r="F516" s="3">
        <v>45940</v>
      </c>
      <c r="G516" s="3">
        <v>46089</v>
      </c>
      <c r="H516" s="2">
        <v>18</v>
      </c>
      <c r="I516" s="1">
        <v>2990.88</v>
      </c>
      <c r="J516" s="1">
        <v>166.16</v>
      </c>
      <c r="K516" t="s">
        <v>35</v>
      </c>
      <c r="L516" t="s">
        <v>30</v>
      </c>
      <c r="M516" s="2">
        <v>5</v>
      </c>
      <c r="N516" t="s">
        <v>21</v>
      </c>
    </row>
    <row r="517" spans="1:14" x14ac:dyDescent="0.3">
      <c r="A517" t="s">
        <v>553</v>
      </c>
      <c r="B517" s="2">
        <v>27</v>
      </c>
      <c r="C517" t="s">
        <v>16</v>
      </c>
      <c r="D517" t="s">
        <v>24</v>
      </c>
      <c r="E517" t="s">
        <v>38</v>
      </c>
      <c r="F517" s="3">
        <v>45574</v>
      </c>
      <c r="G517" s="3">
        <v>45857</v>
      </c>
      <c r="H517" s="2">
        <v>17</v>
      </c>
      <c r="I517" s="1">
        <v>2988.09</v>
      </c>
      <c r="J517" s="1">
        <v>175.77</v>
      </c>
      <c r="K517" t="s">
        <v>45</v>
      </c>
      <c r="L517" t="s">
        <v>30</v>
      </c>
      <c r="M517" s="2">
        <v>3</v>
      </c>
      <c r="N517" t="s">
        <v>21</v>
      </c>
    </row>
    <row r="518" spans="1:14" x14ac:dyDescent="0.3">
      <c r="A518" t="s">
        <v>554</v>
      </c>
      <c r="B518" s="2">
        <v>28</v>
      </c>
      <c r="C518" t="s">
        <v>16</v>
      </c>
      <c r="D518" t="s">
        <v>44</v>
      </c>
      <c r="E518" t="s">
        <v>29</v>
      </c>
      <c r="F518" s="3">
        <v>45628</v>
      </c>
      <c r="G518" s="3">
        <v>45919</v>
      </c>
      <c r="H518" s="2">
        <v>15</v>
      </c>
      <c r="I518" s="1">
        <v>2983.8</v>
      </c>
      <c r="J518" s="1">
        <v>198.92</v>
      </c>
      <c r="K518" t="s">
        <v>39</v>
      </c>
      <c r="L518" t="s">
        <v>20</v>
      </c>
      <c r="M518" s="2">
        <v>10</v>
      </c>
      <c r="N518" t="s">
        <v>21</v>
      </c>
    </row>
    <row r="519" spans="1:14" x14ac:dyDescent="0.3">
      <c r="A519" t="s">
        <v>555</v>
      </c>
      <c r="B519" s="2">
        <v>59</v>
      </c>
      <c r="C519" t="s">
        <v>23</v>
      </c>
      <c r="D519" t="s">
        <v>61</v>
      </c>
      <c r="E519" t="s">
        <v>34</v>
      </c>
      <c r="F519" s="3">
        <v>45400</v>
      </c>
      <c r="G519" s="3">
        <v>45686</v>
      </c>
      <c r="H519" s="2">
        <v>23</v>
      </c>
      <c r="I519" s="1">
        <v>2979.42</v>
      </c>
      <c r="J519" s="1">
        <v>129.54</v>
      </c>
      <c r="K519" t="s">
        <v>35</v>
      </c>
      <c r="L519" t="s">
        <v>20</v>
      </c>
      <c r="M519" s="2">
        <v>6</v>
      </c>
      <c r="N519" t="s">
        <v>21</v>
      </c>
    </row>
    <row r="520" spans="1:14" x14ac:dyDescent="0.3">
      <c r="A520" t="s">
        <v>556</v>
      </c>
      <c r="B520" s="2">
        <v>45</v>
      </c>
      <c r="C520" t="s">
        <v>16</v>
      </c>
      <c r="D520" t="s">
        <v>28</v>
      </c>
      <c r="E520" t="s">
        <v>29</v>
      </c>
      <c r="F520" s="3">
        <v>45635</v>
      </c>
      <c r="G520" s="3">
        <v>45900</v>
      </c>
      <c r="H520" s="2">
        <v>22</v>
      </c>
      <c r="I520" s="1">
        <v>2975.06</v>
      </c>
      <c r="J520" s="1">
        <v>135.22999999999999</v>
      </c>
      <c r="K520" t="s">
        <v>45</v>
      </c>
      <c r="L520" t="s">
        <v>30</v>
      </c>
      <c r="M520" s="2">
        <v>6</v>
      </c>
      <c r="N520" t="s">
        <v>21</v>
      </c>
    </row>
    <row r="521" spans="1:14" x14ac:dyDescent="0.3">
      <c r="A521" t="s">
        <v>557</v>
      </c>
      <c r="B521" s="2">
        <v>41</v>
      </c>
      <c r="C521" t="s">
        <v>23</v>
      </c>
      <c r="D521" t="s">
        <v>50</v>
      </c>
      <c r="E521" t="s">
        <v>34</v>
      </c>
      <c r="F521" s="3">
        <v>45681</v>
      </c>
      <c r="G521" s="3">
        <v>45823</v>
      </c>
      <c r="H521" s="2">
        <v>15</v>
      </c>
      <c r="I521" s="1">
        <v>2969.85</v>
      </c>
      <c r="J521" s="1">
        <v>197.99</v>
      </c>
      <c r="K521" t="s">
        <v>39</v>
      </c>
      <c r="L521" t="s">
        <v>20</v>
      </c>
      <c r="M521" s="2">
        <v>3</v>
      </c>
      <c r="N521" t="s">
        <v>21</v>
      </c>
    </row>
    <row r="522" spans="1:14" x14ac:dyDescent="0.3">
      <c r="A522" t="s">
        <v>558</v>
      </c>
      <c r="B522" s="2">
        <v>35</v>
      </c>
      <c r="C522" t="s">
        <v>23</v>
      </c>
      <c r="D522" t="s">
        <v>17</v>
      </c>
      <c r="E522" t="s">
        <v>18</v>
      </c>
      <c r="F522" s="3">
        <v>45401</v>
      </c>
      <c r="G522" s="3">
        <v>45583</v>
      </c>
      <c r="H522" s="2">
        <v>14</v>
      </c>
      <c r="I522" s="1">
        <v>2967.44</v>
      </c>
      <c r="J522" s="1">
        <v>211.96</v>
      </c>
      <c r="K522" t="s">
        <v>35</v>
      </c>
      <c r="L522" t="s">
        <v>26</v>
      </c>
      <c r="M522" s="2">
        <v>7</v>
      </c>
      <c r="N522" t="s">
        <v>21</v>
      </c>
    </row>
    <row r="523" spans="1:14" x14ac:dyDescent="0.3">
      <c r="A523" t="s">
        <v>559</v>
      </c>
      <c r="B523" s="2">
        <v>46</v>
      </c>
      <c r="C523" t="s">
        <v>23</v>
      </c>
      <c r="D523" t="s">
        <v>50</v>
      </c>
      <c r="E523" t="s">
        <v>18</v>
      </c>
      <c r="F523" s="3">
        <v>45960</v>
      </c>
      <c r="G523" s="3">
        <v>46213</v>
      </c>
      <c r="H523" s="2">
        <v>14</v>
      </c>
      <c r="I523" s="1">
        <v>2964.08</v>
      </c>
      <c r="J523" s="1">
        <v>211.72</v>
      </c>
      <c r="K523" t="s">
        <v>19</v>
      </c>
      <c r="L523" t="s">
        <v>30</v>
      </c>
      <c r="M523" s="2">
        <v>4</v>
      </c>
      <c r="N523" t="s">
        <v>21</v>
      </c>
    </row>
    <row r="524" spans="1:14" x14ac:dyDescent="0.3">
      <c r="A524" t="s">
        <v>560</v>
      </c>
      <c r="B524" s="2">
        <v>49</v>
      </c>
      <c r="C524" t="s">
        <v>23</v>
      </c>
      <c r="D524" t="s">
        <v>61</v>
      </c>
      <c r="E524" t="s">
        <v>34</v>
      </c>
      <c r="F524" s="3">
        <v>45295</v>
      </c>
      <c r="G524" s="3">
        <v>45578</v>
      </c>
      <c r="H524" s="2">
        <v>20</v>
      </c>
      <c r="I524" s="1">
        <v>2960.8</v>
      </c>
      <c r="J524" s="1">
        <v>148.04</v>
      </c>
      <c r="K524" t="s">
        <v>19</v>
      </c>
      <c r="L524" t="s">
        <v>20</v>
      </c>
      <c r="M524" s="2">
        <v>5</v>
      </c>
      <c r="N524" t="s">
        <v>21</v>
      </c>
    </row>
    <row r="525" spans="1:14" x14ac:dyDescent="0.3">
      <c r="A525" t="s">
        <v>561</v>
      </c>
      <c r="B525" s="2">
        <v>25</v>
      </c>
      <c r="C525" t="s">
        <v>23</v>
      </c>
      <c r="D525" t="s">
        <v>42</v>
      </c>
      <c r="E525" t="s">
        <v>38</v>
      </c>
      <c r="F525" s="3">
        <v>45607</v>
      </c>
      <c r="G525" s="3">
        <v>45760</v>
      </c>
      <c r="H525" s="2">
        <v>17</v>
      </c>
      <c r="I525" s="1">
        <v>2958</v>
      </c>
      <c r="J525" s="1">
        <v>174</v>
      </c>
      <c r="K525" t="s">
        <v>19</v>
      </c>
      <c r="L525" t="s">
        <v>20</v>
      </c>
      <c r="M525" s="2">
        <v>1</v>
      </c>
      <c r="N525" t="s">
        <v>21</v>
      </c>
    </row>
    <row r="526" spans="1:14" x14ac:dyDescent="0.3">
      <c r="A526" t="s">
        <v>562</v>
      </c>
      <c r="B526" s="2">
        <v>45</v>
      </c>
      <c r="C526" t="s">
        <v>23</v>
      </c>
      <c r="D526" t="s">
        <v>17</v>
      </c>
      <c r="E526" t="s">
        <v>29</v>
      </c>
      <c r="F526" s="3">
        <v>45314</v>
      </c>
      <c r="G526" s="3">
        <v>45538</v>
      </c>
      <c r="H526" s="2">
        <v>20</v>
      </c>
      <c r="I526" s="1">
        <v>2956.2</v>
      </c>
      <c r="J526" s="1">
        <v>147.81</v>
      </c>
      <c r="K526" t="s">
        <v>45</v>
      </c>
      <c r="L526" t="s">
        <v>20</v>
      </c>
      <c r="M526" s="2">
        <v>6</v>
      </c>
      <c r="N526" t="s">
        <v>21</v>
      </c>
    </row>
    <row r="527" spans="1:14" x14ac:dyDescent="0.3">
      <c r="A527" t="s">
        <v>563</v>
      </c>
      <c r="B527" s="2">
        <v>31</v>
      </c>
      <c r="C527" t="s">
        <v>23</v>
      </c>
      <c r="D527" t="s">
        <v>28</v>
      </c>
      <c r="E527" t="s">
        <v>18</v>
      </c>
      <c r="F527" s="3">
        <v>45559</v>
      </c>
      <c r="G527" s="3">
        <v>45661</v>
      </c>
      <c r="H527" s="2">
        <v>11</v>
      </c>
      <c r="I527" s="1">
        <v>2955.15</v>
      </c>
      <c r="J527" s="1">
        <v>268.64999999999998</v>
      </c>
      <c r="K527" t="s">
        <v>25</v>
      </c>
      <c r="L527" t="s">
        <v>26</v>
      </c>
      <c r="M527" s="2">
        <v>2</v>
      </c>
      <c r="N527" t="s">
        <v>31</v>
      </c>
    </row>
    <row r="528" spans="1:14" x14ac:dyDescent="0.3">
      <c r="A528" t="s">
        <v>564</v>
      </c>
      <c r="B528" s="2">
        <v>29</v>
      </c>
      <c r="C528" t="s">
        <v>16</v>
      </c>
      <c r="D528" t="s">
        <v>44</v>
      </c>
      <c r="E528" t="s">
        <v>29</v>
      </c>
      <c r="F528" s="3">
        <v>45858</v>
      </c>
      <c r="G528" s="3">
        <v>46079</v>
      </c>
      <c r="H528" s="2">
        <v>19</v>
      </c>
      <c r="I528" s="1">
        <v>2949.18</v>
      </c>
      <c r="J528" s="1">
        <v>155.22</v>
      </c>
      <c r="K528" t="s">
        <v>39</v>
      </c>
      <c r="L528" t="s">
        <v>26</v>
      </c>
      <c r="M528" s="2">
        <v>10</v>
      </c>
      <c r="N528" t="s">
        <v>21</v>
      </c>
    </row>
    <row r="529" spans="1:14" x14ac:dyDescent="0.3">
      <c r="A529" t="s">
        <v>565</v>
      </c>
      <c r="B529" s="2">
        <v>52</v>
      </c>
      <c r="C529" t="s">
        <v>23</v>
      </c>
      <c r="D529" t="s">
        <v>17</v>
      </c>
      <c r="E529" t="s">
        <v>29</v>
      </c>
      <c r="F529" s="3">
        <v>45690</v>
      </c>
      <c r="G529" s="3">
        <v>45782</v>
      </c>
      <c r="H529" s="2">
        <v>12</v>
      </c>
      <c r="I529" s="1">
        <v>2948.4</v>
      </c>
      <c r="J529" s="1">
        <v>245.7</v>
      </c>
      <c r="K529" t="s">
        <v>45</v>
      </c>
      <c r="L529" t="s">
        <v>30</v>
      </c>
      <c r="M529" s="2">
        <v>9</v>
      </c>
      <c r="N529" t="s">
        <v>21</v>
      </c>
    </row>
    <row r="530" spans="1:14" x14ac:dyDescent="0.3">
      <c r="A530" t="s">
        <v>566</v>
      </c>
      <c r="B530" s="2">
        <v>55</v>
      </c>
      <c r="C530" t="s">
        <v>16</v>
      </c>
      <c r="D530" t="s">
        <v>44</v>
      </c>
      <c r="E530" t="s">
        <v>29</v>
      </c>
      <c r="F530" s="3">
        <v>45469</v>
      </c>
      <c r="G530" s="3">
        <v>45757</v>
      </c>
      <c r="H530" s="2">
        <v>14</v>
      </c>
      <c r="I530" s="1">
        <v>2941.4</v>
      </c>
      <c r="J530" s="1">
        <v>210.1</v>
      </c>
      <c r="K530" t="s">
        <v>45</v>
      </c>
      <c r="L530" t="s">
        <v>30</v>
      </c>
      <c r="M530" s="2">
        <v>7</v>
      </c>
      <c r="N530" t="s">
        <v>21</v>
      </c>
    </row>
    <row r="531" spans="1:14" x14ac:dyDescent="0.3">
      <c r="A531" t="s">
        <v>567</v>
      </c>
      <c r="B531" s="2">
        <v>32</v>
      </c>
      <c r="C531" t="s">
        <v>16</v>
      </c>
      <c r="D531" t="s">
        <v>42</v>
      </c>
      <c r="E531" t="s">
        <v>29</v>
      </c>
      <c r="F531" s="3">
        <v>45976</v>
      </c>
      <c r="G531" s="3">
        <v>46035</v>
      </c>
      <c r="H531" s="2">
        <v>12</v>
      </c>
      <c r="I531" s="1">
        <v>2940.24</v>
      </c>
      <c r="J531" s="1">
        <v>245.02</v>
      </c>
      <c r="K531" t="s">
        <v>19</v>
      </c>
      <c r="L531" t="s">
        <v>26</v>
      </c>
      <c r="M531" s="2">
        <v>5</v>
      </c>
      <c r="N531" t="s">
        <v>21</v>
      </c>
    </row>
    <row r="532" spans="1:14" x14ac:dyDescent="0.3">
      <c r="A532" t="s">
        <v>568</v>
      </c>
      <c r="B532" s="2">
        <v>33</v>
      </c>
      <c r="C532" t="s">
        <v>23</v>
      </c>
      <c r="D532" t="s">
        <v>24</v>
      </c>
      <c r="E532" t="s">
        <v>18</v>
      </c>
      <c r="F532" s="3">
        <v>45900</v>
      </c>
      <c r="G532" s="3">
        <v>46080</v>
      </c>
      <c r="H532" s="2">
        <v>16</v>
      </c>
      <c r="I532" s="1">
        <v>2932.48</v>
      </c>
      <c r="J532" s="1">
        <v>183.28</v>
      </c>
      <c r="K532" t="s">
        <v>39</v>
      </c>
      <c r="L532" t="s">
        <v>20</v>
      </c>
      <c r="M532" s="2">
        <v>5</v>
      </c>
      <c r="N532" t="s">
        <v>21</v>
      </c>
    </row>
    <row r="533" spans="1:14" x14ac:dyDescent="0.3">
      <c r="A533" t="s">
        <v>569</v>
      </c>
      <c r="B533" s="2">
        <v>56</v>
      </c>
      <c r="C533" t="s">
        <v>23</v>
      </c>
      <c r="D533" t="s">
        <v>24</v>
      </c>
      <c r="E533" t="s">
        <v>18</v>
      </c>
      <c r="F533" s="3">
        <v>45699</v>
      </c>
      <c r="G533" s="3">
        <v>45807</v>
      </c>
      <c r="H533" s="2">
        <v>23</v>
      </c>
      <c r="I533" s="1">
        <v>2929.74</v>
      </c>
      <c r="J533" s="1">
        <v>127.38</v>
      </c>
      <c r="K533" t="s">
        <v>19</v>
      </c>
      <c r="L533" t="s">
        <v>30</v>
      </c>
      <c r="M533" s="2">
        <v>1</v>
      </c>
      <c r="N533" t="s">
        <v>21</v>
      </c>
    </row>
    <row r="534" spans="1:14" x14ac:dyDescent="0.3">
      <c r="A534" t="s">
        <v>570</v>
      </c>
      <c r="B534" s="2">
        <v>60</v>
      </c>
      <c r="C534" t="s">
        <v>16</v>
      </c>
      <c r="D534" t="s">
        <v>24</v>
      </c>
      <c r="E534" t="s">
        <v>29</v>
      </c>
      <c r="F534" s="3">
        <v>45820</v>
      </c>
      <c r="G534" s="3">
        <v>45827</v>
      </c>
      <c r="H534" s="2">
        <v>22</v>
      </c>
      <c r="I534" s="1">
        <v>2923.58</v>
      </c>
      <c r="J534" s="1">
        <v>132.88999999999999</v>
      </c>
      <c r="K534" t="s">
        <v>19</v>
      </c>
      <c r="L534" t="s">
        <v>30</v>
      </c>
      <c r="M534" s="2">
        <v>5</v>
      </c>
      <c r="N534" t="s">
        <v>21</v>
      </c>
    </row>
    <row r="535" spans="1:14" x14ac:dyDescent="0.3">
      <c r="A535" t="s">
        <v>571</v>
      </c>
      <c r="B535" s="2">
        <v>35</v>
      </c>
      <c r="C535" t="s">
        <v>23</v>
      </c>
      <c r="D535" t="s">
        <v>61</v>
      </c>
      <c r="E535" t="s">
        <v>29</v>
      </c>
      <c r="F535" s="3">
        <v>45479</v>
      </c>
      <c r="G535" s="3">
        <v>45703</v>
      </c>
      <c r="H535" s="2">
        <v>12</v>
      </c>
      <c r="I535" s="1">
        <v>2922.84</v>
      </c>
      <c r="J535" s="1">
        <v>243.57</v>
      </c>
      <c r="K535" t="s">
        <v>45</v>
      </c>
      <c r="L535" t="s">
        <v>20</v>
      </c>
      <c r="M535" s="2">
        <v>2</v>
      </c>
      <c r="N535" t="s">
        <v>21</v>
      </c>
    </row>
    <row r="536" spans="1:14" x14ac:dyDescent="0.3">
      <c r="A536" t="s">
        <v>572</v>
      </c>
      <c r="B536" s="2">
        <v>56</v>
      </c>
      <c r="C536" t="s">
        <v>23</v>
      </c>
      <c r="D536" t="s">
        <v>61</v>
      </c>
      <c r="E536" t="s">
        <v>18</v>
      </c>
      <c r="F536" s="3">
        <v>45791</v>
      </c>
      <c r="G536" s="3">
        <v>45899</v>
      </c>
      <c r="H536" s="2">
        <v>12</v>
      </c>
      <c r="I536" s="1">
        <v>2920.68</v>
      </c>
      <c r="J536" s="1">
        <v>243.39</v>
      </c>
      <c r="K536" t="s">
        <v>19</v>
      </c>
      <c r="L536" t="s">
        <v>30</v>
      </c>
      <c r="M536" s="2">
        <v>2</v>
      </c>
      <c r="N536" t="s">
        <v>21</v>
      </c>
    </row>
    <row r="537" spans="1:14" x14ac:dyDescent="0.3">
      <c r="A537" t="s">
        <v>573</v>
      </c>
      <c r="B537" s="2">
        <v>20</v>
      </c>
      <c r="C537" t="s">
        <v>23</v>
      </c>
      <c r="D537" t="s">
        <v>24</v>
      </c>
      <c r="E537" t="s">
        <v>38</v>
      </c>
      <c r="F537" s="3">
        <v>45466</v>
      </c>
      <c r="G537" s="3">
        <v>45761</v>
      </c>
      <c r="H537" s="2">
        <v>13</v>
      </c>
      <c r="I537" s="1">
        <v>2915.77</v>
      </c>
      <c r="J537" s="1">
        <v>224.29</v>
      </c>
      <c r="K537" t="s">
        <v>25</v>
      </c>
      <c r="L537" t="s">
        <v>30</v>
      </c>
      <c r="M537" s="2">
        <v>7</v>
      </c>
      <c r="N537" t="s">
        <v>21</v>
      </c>
    </row>
    <row r="538" spans="1:14" x14ac:dyDescent="0.3">
      <c r="A538" t="s">
        <v>574</v>
      </c>
      <c r="B538" s="2">
        <v>44</v>
      </c>
      <c r="C538" t="s">
        <v>16</v>
      </c>
      <c r="D538" t="s">
        <v>28</v>
      </c>
      <c r="E538" t="s">
        <v>34</v>
      </c>
      <c r="F538" s="3">
        <v>45412</v>
      </c>
      <c r="G538" s="3">
        <v>45457</v>
      </c>
      <c r="H538" s="2">
        <v>10</v>
      </c>
      <c r="I538" s="1">
        <v>2912.2</v>
      </c>
      <c r="J538" s="1">
        <v>291.22000000000003</v>
      </c>
      <c r="K538" t="s">
        <v>19</v>
      </c>
      <c r="L538" t="s">
        <v>20</v>
      </c>
      <c r="M538" s="2">
        <v>6</v>
      </c>
      <c r="N538" t="s">
        <v>21</v>
      </c>
    </row>
    <row r="539" spans="1:14" x14ac:dyDescent="0.3">
      <c r="A539" t="s">
        <v>575</v>
      </c>
      <c r="B539" s="2">
        <v>56</v>
      </c>
      <c r="C539" t="s">
        <v>16</v>
      </c>
      <c r="D539" t="s">
        <v>17</v>
      </c>
      <c r="E539" t="s">
        <v>34</v>
      </c>
      <c r="F539" s="3">
        <v>45704</v>
      </c>
      <c r="G539" s="3">
        <v>45843</v>
      </c>
      <c r="H539" s="2">
        <v>17</v>
      </c>
      <c r="I539" s="1">
        <v>2910.23</v>
      </c>
      <c r="J539" s="1">
        <v>171.19</v>
      </c>
      <c r="K539" t="s">
        <v>19</v>
      </c>
      <c r="L539" t="s">
        <v>26</v>
      </c>
      <c r="M539" s="2">
        <v>1</v>
      </c>
      <c r="N539" t="s">
        <v>21</v>
      </c>
    </row>
    <row r="540" spans="1:14" x14ac:dyDescent="0.3">
      <c r="A540" t="s">
        <v>576</v>
      </c>
      <c r="B540" s="2">
        <v>18</v>
      </c>
      <c r="C540" t="s">
        <v>23</v>
      </c>
      <c r="D540" t="s">
        <v>50</v>
      </c>
      <c r="E540" t="s">
        <v>29</v>
      </c>
      <c r="F540" s="3">
        <v>45483</v>
      </c>
      <c r="G540" s="3">
        <v>45644</v>
      </c>
      <c r="H540" s="2">
        <v>15</v>
      </c>
      <c r="I540" s="1">
        <v>2901.45</v>
      </c>
      <c r="J540" s="1">
        <v>193.43</v>
      </c>
      <c r="K540" t="s">
        <v>35</v>
      </c>
      <c r="L540" t="s">
        <v>20</v>
      </c>
      <c r="M540" s="2">
        <v>9</v>
      </c>
      <c r="N540" t="s">
        <v>21</v>
      </c>
    </row>
    <row r="541" spans="1:14" x14ac:dyDescent="0.3">
      <c r="A541" t="s">
        <v>577</v>
      </c>
      <c r="B541" s="2">
        <v>18</v>
      </c>
      <c r="C541" t="s">
        <v>23</v>
      </c>
      <c r="D541" t="s">
        <v>44</v>
      </c>
      <c r="E541" t="s">
        <v>29</v>
      </c>
      <c r="F541" s="3">
        <v>45792</v>
      </c>
      <c r="G541" s="3">
        <v>45902</v>
      </c>
      <c r="H541" s="2">
        <v>19</v>
      </c>
      <c r="I541" s="1">
        <v>2899.02</v>
      </c>
      <c r="J541" s="1">
        <v>152.58000000000001</v>
      </c>
      <c r="K541" t="s">
        <v>25</v>
      </c>
      <c r="L541" t="s">
        <v>26</v>
      </c>
      <c r="M541" s="2">
        <v>7</v>
      </c>
      <c r="N541" t="s">
        <v>21</v>
      </c>
    </row>
    <row r="542" spans="1:14" x14ac:dyDescent="0.3">
      <c r="A542" t="s">
        <v>578</v>
      </c>
      <c r="B542" s="2">
        <v>48</v>
      </c>
      <c r="C542" t="s">
        <v>16</v>
      </c>
      <c r="D542" t="s">
        <v>61</v>
      </c>
      <c r="E542" t="s">
        <v>18</v>
      </c>
      <c r="F542" s="3">
        <v>45779</v>
      </c>
      <c r="G542" s="3">
        <v>45798</v>
      </c>
      <c r="H542" s="2">
        <v>18</v>
      </c>
      <c r="I542" s="1">
        <v>2896.74</v>
      </c>
      <c r="J542" s="1">
        <v>160.93</v>
      </c>
      <c r="K542" t="s">
        <v>35</v>
      </c>
      <c r="L542" t="s">
        <v>20</v>
      </c>
      <c r="M542" s="2">
        <v>7</v>
      </c>
      <c r="N542" t="s">
        <v>31</v>
      </c>
    </row>
    <row r="543" spans="1:14" x14ac:dyDescent="0.3">
      <c r="A543" t="s">
        <v>579</v>
      </c>
      <c r="B543" s="2">
        <v>19</v>
      </c>
      <c r="C543" t="s">
        <v>16</v>
      </c>
      <c r="D543" t="s">
        <v>50</v>
      </c>
      <c r="E543" t="s">
        <v>18</v>
      </c>
      <c r="F543" s="3">
        <v>45908</v>
      </c>
      <c r="G543" s="3">
        <v>46193</v>
      </c>
      <c r="H543" s="2">
        <v>15</v>
      </c>
      <c r="I543" s="1">
        <v>2896.05</v>
      </c>
      <c r="J543" s="1">
        <v>193.07</v>
      </c>
      <c r="K543" t="s">
        <v>39</v>
      </c>
      <c r="L543" t="s">
        <v>26</v>
      </c>
      <c r="M543" s="2">
        <v>1</v>
      </c>
      <c r="N543" t="s">
        <v>21</v>
      </c>
    </row>
    <row r="544" spans="1:14" x14ac:dyDescent="0.3">
      <c r="A544" t="s">
        <v>580</v>
      </c>
      <c r="B544" s="2">
        <v>18</v>
      </c>
      <c r="C544" t="s">
        <v>23</v>
      </c>
      <c r="D544" t="s">
        <v>42</v>
      </c>
      <c r="E544" t="s">
        <v>38</v>
      </c>
      <c r="F544" s="3">
        <v>45950</v>
      </c>
      <c r="G544" s="3">
        <v>46009</v>
      </c>
      <c r="H544" s="2">
        <v>11</v>
      </c>
      <c r="I544" s="1">
        <v>2894.98</v>
      </c>
      <c r="J544" s="1">
        <v>263.18</v>
      </c>
      <c r="K544" t="s">
        <v>39</v>
      </c>
      <c r="L544" t="s">
        <v>20</v>
      </c>
      <c r="M544" s="2">
        <v>4</v>
      </c>
      <c r="N544" t="s">
        <v>31</v>
      </c>
    </row>
    <row r="545" spans="1:14" x14ac:dyDescent="0.3">
      <c r="A545" t="s">
        <v>581</v>
      </c>
      <c r="B545" s="2">
        <v>38</v>
      </c>
      <c r="C545" t="s">
        <v>16</v>
      </c>
      <c r="D545" t="s">
        <v>50</v>
      </c>
      <c r="E545" t="s">
        <v>34</v>
      </c>
      <c r="F545" s="3">
        <v>45426</v>
      </c>
      <c r="G545" s="3">
        <v>45433</v>
      </c>
      <c r="H545" s="2">
        <v>12</v>
      </c>
      <c r="I545" s="1">
        <v>2894.4</v>
      </c>
      <c r="J545" s="1">
        <v>241.2</v>
      </c>
      <c r="K545" t="s">
        <v>39</v>
      </c>
      <c r="L545" t="s">
        <v>30</v>
      </c>
      <c r="M545" s="2">
        <v>7</v>
      </c>
      <c r="N545" t="s">
        <v>21</v>
      </c>
    </row>
    <row r="546" spans="1:14" x14ac:dyDescent="0.3">
      <c r="A546" t="s">
        <v>582</v>
      </c>
      <c r="B546" s="2">
        <v>24</v>
      </c>
      <c r="C546" t="s">
        <v>23</v>
      </c>
      <c r="D546" t="s">
        <v>61</v>
      </c>
      <c r="E546" t="s">
        <v>29</v>
      </c>
      <c r="F546" s="3">
        <v>45980</v>
      </c>
      <c r="G546" s="3">
        <v>46051</v>
      </c>
      <c r="H546" s="2">
        <v>23</v>
      </c>
      <c r="I546" s="1">
        <v>2892.25</v>
      </c>
      <c r="J546" s="1">
        <v>125.75</v>
      </c>
      <c r="K546" t="s">
        <v>45</v>
      </c>
      <c r="L546" t="s">
        <v>26</v>
      </c>
      <c r="M546" s="2">
        <v>2</v>
      </c>
      <c r="N546" t="s">
        <v>21</v>
      </c>
    </row>
    <row r="547" spans="1:14" x14ac:dyDescent="0.3">
      <c r="A547" t="s">
        <v>583</v>
      </c>
      <c r="B547" s="2">
        <v>43</v>
      </c>
      <c r="C547" t="s">
        <v>23</v>
      </c>
      <c r="D547" t="s">
        <v>44</v>
      </c>
      <c r="E547" t="s">
        <v>38</v>
      </c>
      <c r="F547" s="3">
        <v>45739</v>
      </c>
      <c r="G547" s="3">
        <v>45928</v>
      </c>
      <c r="H547" s="2">
        <v>19</v>
      </c>
      <c r="I547" s="1">
        <v>2891.99</v>
      </c>
      <c r="J547" s="1">
        <v>152.21</v>
      </c>
      <c r="K547" t="s">
        <v>39</v>
      </c>
      <c r="L547" t="s">
        <v>26</v>
      </c>
      <c r="M547" s="2">
        <v>4</v>
      </c>
      <c r="N547" t="s">
        <v>21</v>
      </c>
    </row>
    <row r="548" spans="1:14" x14ac:dyDescent="0.3">
      <c r="A548" t="s">
        <v>584</v>
      </c>
      <c r="B548" s="2">
        <v>44</v>
      </c>
      <c r="C548" t="s">
        <v>23</v>
      </c>
      <c r="D548" t="s">
        <v>42</v>
      </c>
      <c r="E548" t="s">
        <v>38</v>
      </c>
      <c r="F548" s="3">
        <v>45808</v>
      </c>
      <c r="G548" s="3">
        <v>45961</v>
      </c>
      <c r="H548" s="2">
        <v>14</v>
      </c>
      <c r="I548" s="1">
        <v>2880.78</v>
      </c>
      <c r="J548" s="1">
        <v>205.77</v>
      </c>
      <c r="K548" t="s">
        <v>19</v>
      </c>
      <c r="L548" t="s">
        <v>30</v>
      </c>
      <c r="M548" s="2">
        <v>1</v>
      </c>
      <c r="N548" t="s">
        <v>21</v>
      </c>
    </row>
    <row r="549" spans="1:14" x14ac:dyDescent="0.3">
      <c r="A549" t="s">
        <v>585</v>
      </c>
      <c r="B549" s="2">
        <v>61</v>
      </c>
      <c r="C549" t="s">
        <v>23</v>
      </c>
      <c r="D549" t="s">
        <v>61</v>
      </c>
      <c r="E549" t="s">
        <v>18</v>
      </c>
      <c r="F549" s="3">
        <v>45787</v>
      </c>
      <c r="G549" s="3">
        <v>45911</v>
      </c>
      <c r="H549" s="2">
        <v>25</v>
      </c>
      <c r="I549" s="1">
        <v>2877.75</v>
      </c>
      <c r="J549" s="1">
        <v>115.11</v>
      </c>
      <c r="K549" t="s">
        <v>35</v>
      </c>
      <c r="L549" t="s">
        <v>30</v>
      </c>
      <c r="M549" s="2">
        <v>5</v>
      </c>
      <c r="N549" t="s">
        <v>21</v>
      </c>
    </row>
    <row r="550" spans="1:14" x14ac:dyDescent="0.3">
      <c r="A550" t="s">
        <v>586</v>
      </c>
      <c r="B550" s="2">
        <v>48</v>
      </c>
      <c r="C550" t="s">
        <v>16</v>
      </c>
      <c r="D550" t="s">
        <v>44</v>
      </c>
      <c r="E550" t="s">
        <v>34</v>
      </c>
      <c r="F550" s="3">
        <v>45449</v>
      </c>
      <c r="G550" s="3">
        <v>45583</v>
      </c>
      <c r="H550" s="2">
        <v>10</v>
      </c>
      <c r="I550" s="1">
        <v>2876.9</v>
      </c>
      <c r="J550" s="1">
        <v>287.69</v>
      </c>
      <c r="K550" t="s">
        <v>35</v>
      </c>
      <c r="L550" t="s">
        <v>30</v>
      </c>
      <c r="M550" s="2">
        <v>8</v>
      </c>
      <c r="N550" t="s">
        <v>21</v>
      </c>
    </row>
    <row r="551" spans="1:14" x14ac:dyDescent="0.3">
      <c r="A551" t="s">
        <v>587</v>
      </c>
      <c r="B551" s="2">
        <v>44</v>
      </c>
      <c r="C551" t="s">
        <v>23</v>
      </c>
      <c r="D551" t="s">
        <v>44</v>
      </c>
      <c r="E551" t="s">
        <v>18</v>
      </c>
      <c r="F551" s="3">
        <v>45414</v>
      </c>
      <c r="G551" s="3">
        <v>45478</v>
      </c>
      <c r="H551" s="2">
        <v>11</v>
      </c>
      <c r="I551" s="1">
        <v>2874.63</v>
      </c>
      <c r="J551" s="1">
        <v>261.33</v>
      </c>
      <c r="K551" t="s">
        <v>19</v>
      </c>
      <c r="L551" t="s">
        <v>20</v>
      </c>
      <c r="M551" s="2">
        <v>4</v>
      </c>
      <c r="N551" t="s">
        <v>21</v>
      </c>
    </row>
    <row r="552" spans="1:14" x14ac:dyDescent="0.3">
      <c r="A552" t="s">
        <v>588</v>
      </c>
      <c r="B552" s="2">
        <v>63</v>
      </c>
      <c r="C552" t="s">
        <v>23</v>
      </c>
      <c r="D552" t="s">
        <v>17</v>
      </c>
      <c r="E552" t="s">
        <v>34</v>
      </c>
      <c r="F552" s="3">
        <v>45475</v>
      </c>
      <c r="G552" s="3">
        <v>45639</v>
      </c>
      <c r="H552" s="2">
        <v>23</v>
      </c>
      <c r="I552" s="1">
        <v>2867.87</v>
      </c>
      <c r="J552" s="1">
        <v>124.69</v>
      </c>
      <c r="K552" t="s">
        <v>19</v>
      </c>
      <c r="L552" t="s">
        <v>26</v>
      </c>
      <c r="M552" s="2">
        <v>10</v>
      </c>
      <c r="N552" t="s">
        <v>21</v>
      </c>
    </row>
    <row r="553" spans="1:14" x14ac:dyDescent="0.3">
      <c r="A553" t="s">
        <v>589</v>
      </c>
      <c r="B553" s="2">
        <v>46</v>
      </c>
      <c r="C553" t="s">
        <v>16</v>
      </c>
      <c r="D553" t="s">
        <v>61</v>
      </c>
      <c r="E553" t="s">
        <v>29</v>
      </c>
      <c r="F553" s="3">
        <v>45984</v>
      </c>
      <c r="G553" s="3">
        <v>46105</v>
      </c>
      <c r="H553" s="2">
        <v>15</v>
      </c>
      <c r="I553" s="1">
        <v>2864.55</v>
      </c>
      <c r="J553" s="1">
        <v>190.97</v>
      </c>
      <c r="K553" t="s">
        <v>45</v>
      </c>
      <c r="L553" t="s">
        <v>26</v>
      </c>
      <c r="M553" s="2">
        <v>4</v>
      </c>
      <c r="N553" t="s">
        <v>21</v>
      </c>
    </row>
    <row r="554" spans="1:14" x14ac:dyDescent="0.3">
      <c r="A554" t="s">
        <v>590</v>
      </c>
      <c r="B554" s="2">
        <v>58</v>
      </c>
      <c r="C554" t="s">
        <v>16</v>
      </c>
      <c r="D554" t="s">
        <v>17</v>
      </c>
      <c r="E554" t="s">
        <v>34</v>
      </c>
      <c r="F554" s="3">
        <v>45883</v>
      </c>
      <c r="G554" s="3">
        <v>46020</v>
      </c>
      <c r="H554" s="2">
        <v>21</v>
      </c>
      <c r="I554" s="1">
        <v>2855.58</v>
      </c>
      <c r="J554" s="1">
        <v>135.97999999999999</v>
      </c>
      <c r="K554" t="s">
        <v>45</v>
      </c>
      <c r="L554" t="s">
        <v>26</v>
      </c>
      <c r="M554" s="2">
        <v>8</v>
      </c>
      <c r="N554" t="s">
        <v>21</v>
      </c>
    </row>
    <row r="555" spans="1:14" x14ac:dyDescent="0.3">
      <c r="A555" t="s">
        <v>591</v>
      </c>
      <c r="B555" s="2">
        <v>37</v>
      </c>
      <c r="C555" t="s">
        <v>16</v>
      </c>
      <c r="D555" t="s">
        <v>61</v>
      </c>
      <c r="E555" t="s">
        <v>38</v>
      </c>
      <c r="F555" s="3">
        <v>45945</v>
      </c>
      <c r="G555" s="3">
        <v>46150</v>
      </c>
      <c r="H555" s="2">
        <v>10</v>
      </c>
      <c r="I555" s="1">
        <v>2848.1</v>
      </c>
      <c r="J555" s="1">
        <v>284.81</v>
      </c>
      <c r="K555" t="s">
        <v>25</v>
      </c>
      <c r="L555" t="s">
        <v>30</v>
      </c>
      <c r="M555" s="2">
        <v>5</v>
      </c>
      <c r="N555" t="s">
        <v>21</v>
      </c>
    </row>
    <row r="556" spans="1:14" x14ac:dyDescent="0.3">
      <c r="A556" t="s">
        <v>592</v>
      </c>
      <c r="B556" s="2">
        <v>28</v>
      </c>
      <c r="C556" t="s">
        <v>23</v>
      </c>
      <c r="D556" t="s">
        <v>28</v>
      </c>
      <c r="E556" t="s">
        <v>34</v>
      </c>
      <c r="F556" s="3">
        <v>45333</v>
      </c>
      <c r="G556" s="3">
        <v>45532</v>
      </c>
      <c r="H556" s="2">
        <v>10</v>
      </c>
      <c r="I556" s="1">
        <v>2847.3</v>
      </c>
      <c r="J556" s="1">
        <v>284.73</v>
      </c>
      <c r="K556" t="s">
        <v>45</v>
      </c>
      <c r="L556" t="s">
        <v>30</v>
      </c>
      <c r="M556" s="2">
        <v>3</v>
      </c>
      <c r="N556" t="s">
        <v>21</v>
      </c>
    </row>
    <row r="557" spans="1:14" x14ac:dyDescent="0.3">
      <c r="A557" t="s">
        <v>593</v>
      </c>
      <c r="B557" s="2">
        <v>40</v>
      </c>
      <c r="C557" t="s">
        <v>16</v>
      </c>
      <c r="D557" t="s">
        <v>44</v>
      </c>
      <c r="E557" t="s">
        <v>29</v>
      </c>
      <c r="F557" s="3">
        <v>45300</v>
      </c>
      <c r="G557" s="3">
        <v>45327</v>
      </c>
      <c r="H557" s="2">
        <v>11</v>
      </c>
      <c r="I557" s="1">
        <v>2846.03</v>
      </c>
      <c r="J557" s="1">
        <v>258.73</v>
      </c>
      <c r="K557" t="s">
        <v>25</v>
      </c>
      <c r="L557" t="s">
        <v>26</v>
      </c>
      <c r="M557" s="2">
        <v>2</v>
      </c>
      <c r="N557" t="s">
        <v>21</v>
      </c>
    </row>
    <row r="558" spans="1:14" x14ac:dyDescent="0.3">
      <c r="A558" t="s">
        <v>594</v>
      </c>
      <c r="B558" s="2">
        <v>22</v>
      </c>
      <c r="C558" t="s">
        <v>23</v>
      </c>
      <c r="D558" t="s">
        <v>50</v>
      </c>
      <c r="E558" t="s">
        <v>38</v>
      </c>
      <c r="F558" s="3">
        <v>45435</v>
      </c>
      <c r="G558" s="3">
        <v>45437</v>
      </c>
      <c r="H558" s="2">
        <v>12</v>
      </c>
      <c r="I558" s="1">
        <v>2841.96</v>
      </c>
      <c r="J558" s="1">
        <v>236.83</v>
      </c>
      <c r="K558" t="s">
        <v>25</v>
      </c>
      <c r="L558" t="s">
        <v>30</v>
      </c>
      <c r="M558" s="2">
        <v>10</v>
      </c>
      <c r="N558" t="s">
        <v>21</v>
      </c>
    </row>
    <row r="559" spans="1:14" x14ac:dyDescent="0.3">
      <c r="A559" t="s">
        <v>595</v>
      </c>
      <c r="B559" s="2">
        <v>44</v>
      </c>
      <c r="C559" t="s">
        <v>23</v>
      </c>
      <c r="D559" t="s">
        <v>24</v>
      </c>
      <c r="E559" t="s">
        <v>34</v>
      </c>
      <c r="F559" s="3">
        <v>45313</v>
      </c>
      <c r="G559" s="3">
        <v>45581</v>
      </c>
      <c r="H559" s="2">
        <v>23</v>
      </c>
      <c r="I559" s="1">
        <v>2831.76</v>
      </c>
      <c r="J559" s="1">
        <v>123.12</v>
      </c>
      <c r="K559" t="s">
        <v>35</v>
      </c>
      <c r="L559" t="s">
        <v>20</v>
      </c>
      <c r="M559" s="2">
        <v>7</v>
      </c>
      <c r="N559" t="s">
        <v>21</v>
      </c>
    </row>
    <row r="560" spans="1:14" x14ac:dyDescent="0.3">
      <c r="A560" t="s">
        <v>596</v>
      </c>
      <c r="B560" s="2">
        <v>23</v>
      </c>
      <c r="C560" t="s">
        <v>16</v>
      </c>
      <c r="D560" t="s">
        <v>17</v>
      </c>
      <c r="E560" t="s">
        <v>29</v>
      </c>
      <c r="F560" s="3">
        <v>45951</v>
      </c>
      <c r="G560" s="3">
        <v>46147</v>
      </c>
      <c r="H560" s="2">
        <v>13</v>
      </c>
      <c r="I560" s="1">
        <v>2830.1</v>
      </c>
      <c r="J560" s="1">
        <v>217.7</v>
      </c>
      <c r="K560" t="s">
        <v>35</v>
      </c>
      <c r="L560" t="s">
        <v>26</v>
      </c>
      <c r="M560" s="2">
        <v>5</v>
      </c>
      <c r="N560" t="s">
        <v>21</v>
      </c>
    </row>
    <row r="561" spans="1:14" x14ac:dyDescent="0.3">
      <c r="A561" t="s">
        <v>597</v>
      </c>
      <c r="B561" s="2">
        <v>26</v>
      </c>
      <c r="C561" t="s">
        <v>16</v>
      </c>
      <c r="D561" t="s">
        <v>61</v>
      </c>
      <c r="E561" t="s">
        <v>29</v>
      </c>
      <c r="F561" s="3">
        <v>45885</v>
      </c>
      <c r="G561" s="3">
        <v>46009</v>
      </c>
      <c r="H561" s="2">
        <v>21</v>
      </c>
      <c r="I561" s="1">
        <v>2811.06</v>
      </c>
      <c r="J561" s="1">
        <v>133.86000000000001</v>
      </c>
      <c r="K561" t="s">
        <v>45</v>
      </c>
      <c r="L561" t="s">
        <v>20</v>
      </c>
      <c r="M561" s="2">
        <v>7</v>
      </c>
      <c r="N561" t="s">
        <v>21</v>
      </c>
    </row>
    <row r="562" spans="1:14" x14ac:dyDescent="0.3">
      <c r="A562" t="s">
        <v>598</v>
      </c>
      <c r="B562" s="2">
        <v>56</v>
      </c>
      <c r="C562" t="s">
        <v>16</v>
      </c>
      <c r="D562" t="s">
        <v>42</v>
      </c>
      <c r="E562" t="s">
        <v>38</v>
      </c>
      <c r="F562" s="3">
        <v>45410</v>
      </c>
      <c r="G562" s="3">
        <v>45412</v>
      </c>
      <c r="H562" s="2">
        <v>10</v>
      </c>
      <c r="I562" s="1">
        <v>2810.5</v>
      </c>
      <c r="J562" s="1">
        <v>281.05</v>
      </c>
      <c r="K562" t="s">
        <v>39</v>
      </c>
      <c r="L562" t="s">
        <v>30</v>
      </c>
      <c r="M562" s="2">
        <v>9</v>
      </c>
      <c r="N562" t="s">
        <v>21</v>
      </c>
    </row>
    <row r="563" spans="1:14" x14ac:dyDescent="0.3">
      <c r="A563" t="s">
        <v>599</v>
      </c>
      <c r="B563" s="2">
        <v>42</v>
      </c>
      <c r="C563" t="s">
        <v>23</v>
      </c>
      <c r="D563" t="s">
        <v>17</v>
      </c>
      <c r="E563" t="s">
        <v>18</v>
      </c>
      <c r="F563" s="3">
        <v>45539</v>
      </c>
      <c r="G563" s="3">
        <v>45747</v>
      </c>
      <c r="H563" s="2">
        <v>16</v>
      </c>
      <c r="I563" s="1">
        <v>2807.2</v>
      </c>
      <c r="J563" s="1">
        <v>175.45</v>
      </c>
      <c r="K563" t="s">
        <v>39</v>
      </c>
      <c r="L563" t="s">
        <v>26</v>
      </c>
      <c r="M563" s="2">
        <v>4</v>
      </c>
      <c r="N563" t="s">
        <v>21</v>
      </c>
    </row>
    <row r="564" spans="1:14" x14ac:dyDescent="0.3">
      <c r="A564" t="s">
        <v>600</v>
      </c>
      <c r="B564" s="2">
        <v>23</v>
      </c>
      <c r="C564" t="s">
        <v>23</v>
      </c>
      <c r="D564" t="s">
        <v>50</v>
      </c>
      <c r="E564" t="s">
        <v>18</v>
      </c>
      <c r="F564" s="3">
        <v>45342</v>
      </c>
      <c r="G564" s="3">
        <v>45547</v>
      </c>
      <c r="H564" s="2">
        <v>20</v>
      </c>
      <c r="I564" s="1">
        <v>2801.8</v>
      </c>
      <c r="J564" s="1">
        <v>140.09</v>
      </c>
      <c r="K564" t="s">
        <v>39</v>
      </c>
      <c r="L564" t="s">
        <v>20</v>
      </c>
      <c r="M564" s="2">
        <v>9</v>
      </c>
      <c r="N564" t="s">
        <v>21</v>
      </c>
    </row>
    <row r="565" spans="1:14" x14ac:dyDescent="0.3">
      <c r="A565" t="s">
        <v>601</v>
      </c>
      <c r="B565" s="2">
        <v>44</v>
      </c>
      <c r="C565" t="s">
        <v>16</v>
      </c>
      <c r="D565" t="s">
        <v>50</v>
      </c>
      <c r="E565" t="s">
        <v>29</v>
      </c>
      <c r="F565" s="3">
        <v>45834</v>
      </c>
      <c r="G565" s="3">
        <v>46078</v>
      </c>
      <c r="H565" s="2">
        <v>11</v>
      </c>
      <c r="I565" s="1">
        <v>2801.26</v>
      </c>
      <c r="J565" s="1">
        <v>254.66</v>
      </c>
      <c r="K565" t="s">
        <v>25</v>
      </c>
      <c r="L565" t="s">
        <v>20</v>
      </c>
      <c r="M565" s="2">
        <v>10</v>
      </c>
      <c r="N565" t="s">
        <v>21</v>
      </c>
    </row>
    <row r="566" spans="1:14" x14ac:dyDescent="0.3">
      <c r="A566" t="s">
        <v>602</v>
      </c>
      <c r="B566" s="2">
        <v>26</v>
      </c>
      <c r="C566" t="s">
        <v>16</v>
      </c>
      <c r="D566" t="s">
        <v>50</v>
      </c>
      <c r="E566" t="s">
        <v>38</v>
      </c>
      <c r="F566" s="3">
        <v>45356</v>
      </c>
      <c r="G566" s="3">
        <v>45543</v>
      </c>
      <c r="H566" s="2">
        <v>14</v>
      </c>
      <c r="I566" s="1">
        <v>2797.76</v>
      </c>
      <c r="J566" s="1">
        <v>199.84</v>
      </c>
      <c r="K566" t="s">
        <v>39</v>
      </c>
      <c r="L566" t="s">
        <v>30</v>
      </c>
      <c r="M566" s="2">
        <v>9</v>
      </c>
      <c r="N566" t="s">
        <v>21</v>
      </c>
    </row>
    <row r="567" spans="1:14" x14ac:dyDescent="0.3">
      <c r="A567" t="s">
        <v>603</v>
      </c>
      <c r="B567" s="2">
        <v>48</v>
      </c>
      <c r="C567" t="s">
        <v>23</v>
      </c>
      <c r="D567" t="s">
        <v>28</v>
      </c>
      <c r="E567" t="s">
        <v>18</v>
      </c>
      <c r="F567" s="3">
        <v>45471</v>
      </c>
      <c r="G567" s="3">
        <v>45570</v>
      </c>
      <c r="H567" s="2">
        <v>11</v>
      </c>
      <c r="I567" s="1">
        <v>2788.17</v>
      </c>
      <c r="J567" s="1">
        <v>253.47</v>
      </c>
      <c r="K567" t="s">
        <v>25</v>
      </c>
      <c r="L567" t="s">
        <v>26</v>
      </c>
      <c r="M567" s="2">
        <v>3</v>
      </c>
      <c r="N567" t="s">
        <v>21</v>
      </c>
    </row>
    <row r="568" spans="1:14" x14ac:dyDescent="0.3">
      <c r="A568" t="s">
        <v>604</v>
      </c>
      <c r="B568" s="2">
        <v>22</v>
      </c>
      <c r="C568" t="s">
        <v>16</v>
      </c>
      <c r="D568" t="s">
        <v>28</v>
      </c>
      <c r="E568" t="s">
        <v>38</v>
      </c>
      <c r="F568" s="3">
        <v>45340</v>
      </c>
      <c r="G568" s="3">
        <v>45462</v>
      </c>
      <c r="H568" s="2">
        <v>14</v>
      </c>
      <c r="I568" s="1">
        <v>2784.74</v>
      </c>
      <c r="J568" s="1">
        <v>198.91</v>
      </c>
      <c r="K568" t="s">
        <v>19</v>
      </c>
      <c r="L568" t="s">
        <v>20</v>
      </c>
      <c r="M568" s="2">
        <v>1</v>
      </c>
      <c r="N568" t="s">
        <v>21</v>
      </c>
    </row>
    <row r="569" spans="1:14" x14ac:dyDescent="0.3">
      <c r="A569" t="s">
        <v>605</v>
      </c>
      <c r="B569" s="2">
        <v>51</v>
      </c>
      <c r="C569" t="s">
        <v>23</v>
      </c>
      <c r="D569" t="s">
        <v>50</v>
      </c>
      <c r="E569" t="s">
        <v>29</v>
      </c>
      <c r="F569" s="3">
        <v>45749</v>
      </c>
      <c r="G569" s="3">
        <v>45818</v>
      </c>
      <c r="H569" s="2">
        <v>24</v>
      </c>
      <c r="I569" s="1">
        <v>2784.48</v>
      </c>
      <c r="J569" s="1">
        <v>116.02</v>
      </c>
      <c r="K569" t="s">
        <v>19</v>
      </c>
      <c r="L569" t="s">
        <v>20</v>
      </c>
      <c r="M569" s="2">
        <v>4</v>
      </c>
      <c r="N569" t="s">
        <v>21</v>
      </c>
    </row>
    <row r="570" spans="1:14" x14ac:dyDescent="0.3">
      <c r="A570" t="s">
        <v>606</v>
      </c>
      <c r="B570" s="2">
        <v>25</v>
      </c>
      <c r="C570" t="s">
        <v>23</v>
      </c>
      <c r="D570" t="s">
        <v>17</v>
      </c>
      <c r="E570" t="s">
        <v>38</v>
      </c>
      <c r="F570" s="3">
        <v>45904</v>
      </c>
      <c r="G570" s="3">
        <v>46086</v>
      </c>
      <c r="H570" s="2">
        <v>18</v>
      </c>
      <c r="I570" s="1">
        <v>2784.06</v>
      </c>
      <c r="J570" s="1">
        <v>154.66999999999999</v>
      </c>
      <c r="K570" t="s">
        <v>45</v>
      </c>
      <c r="L570" t="s">
        <v>30</v>
      </c>
      <c r="M570" s="2">
        <v>7</v>
      </c>
      <c r="N570" t="s">
        <v>31</v>
      </c>
    </row>
    <row r="571" spans="1:14" x14ac:dyDescent="0.3">
      <c r="A571" t="s">
        <v>607</v>
      </c>
      <c r="B571" s="2">
        <v>42</v>
      </c>
      <c r="C571" t="s">
        <v>23</v>
      </c>
      <c r="D571" t="s">
        <v>24</v>
      </c>
      <c r="E571" t="s">
        <v>38</v>
      </c>
      <c r="F571" s="3">
        <v>45892</v>
      </c>
      <c r="G571" s="3">
        <v>45994</v>
      </c>
      <c r="H571" s="2">
        <v>21</v>
      </c>
      <c r="I571" s="1">
        <v>2783.55</v>
      </c>
      <c r="J571" s="1">
        <v>132.55000000000001</v>
      </c>
      <c r="K571" t="s">
        <v>35</v>
      </c>
      <c r="L571" t="s">
        <v>20</v>
      </c>
      <c r="M571" s="2">
        <v>4</v>
      </c>
      <c r="N571" t="s">
        <v>21</v>
      </c>
    </row>
    <row r="572" spans="1:14" x14ac:dyDescent="0.3">
      <c r="A572" t="s">
        <v>608</v>
      </c>
      <c r="B572" s="2">
        <v>60</v>
      </c>
      <c r="C572" t="s">
        <v>23</v>
      </c>
      <c r="D572" t="s">
        <v>44</v>
      </c>
      <c r="E572" t="s">
        <v>34</v>
      </c>
      <c r="F572" s="3">
        <v>45410</v>
      </c>
      <c r="G572" s="3">
        <v>45590</v>
      </c>
      <c r="H572" s="2">
        <v>18</v>
      </c>
      <c r="I572" s="1">
        <v>2781</v>
      </c>
      <c r="J572" s="1">
        <v>154.5</v>
      </c>
      <c r="K572" t="s">
        <v>35</v>
      </c>
      <c r="L572" t="s">
        <v>30</v>
      </c>
      <c r="M572" s="2">
        <v>9</v>
      </c>
      <c r="N572" t="s">
        <v>21</v>
      </c>
    </row>
    <row r="573" spans="1:14" x14ac:dyDescent="0.3">
      <c r="A573" t="s">
        <v>609</v>
      </c>
      <c r="B573" s="2">
        <v>38</v>
      </c>
      <c r="C573" t="s">
        <v>16</v>
      </c>
      <c r="D573" t="s">
        <v>50</v>
      </c>
      <c r="E573" t="s">
        <v>18</v>
      </c>
      <c r="F573" s="3">
        <v>45842</v>
      </c>
      <c r="G573" s="3">
        <v>45856</v>
      </c>
      <c r="H573" s="2">
        <v>19</v>
      </c>
      <c r="I573" s="1">
        <v>2777.23</v>
      </c>
      <c r="J573" s="1">
        <v>146.16999999999999</v>
      </c>
      <c r="K573" t="s">
        <v>35</v>
      </c>
      <c r="L573" t="s">
        <v>30</v>
      </c>
      <c r="M573" s="2">
        <v>4</v>
      </c>
      <c r="N573" t="s">
        <v>21</v>
      </c>
    </row>
    <row r="574" spans="1:14" x14ac:dyDescent="0.3">
      <c r="A574" t="s">
        <v>610</v>
      </c>
      <c r="B574" s="2">
        <v>55</v>
      </c>
      <c r="C574" t="s">
        <v>16</v>
      </c>
      <c r="D574" t="s">
        <v>24</v>
      </c>
      <c r="E574" t="s">
        <v>29</v>
      </c>
      <c r="F574" s="3">
        <v>45838</v>
      </c>
      <c r="G574" s="3">
        <v>45895</v>
      </c>
      <c r="H574" s="2">
        <v>18</v>
      </c>
      <c r="I574" s="1">
        <v>2775.78</v>
      </c>
      <c r="J574" s="1">
        <v>154.21</v>
      </c>
      <c r="K574" t="s">
        <v>19</v>
      </c>
      <c r="L574" t="s">
        <v>30</v>
      </c>
      <c r="M574" s="2">
        <v>3</v>
      </c>
      <c r="N574" t="s">
        <v>21</v>
      </c>
    </row>
    <row r="575" spans="1:14" x14ac:dyDescent="0.3">
      <c r="A575" t="s">
        <v>611</v>
      </c>
      <c r="B575" s="2">
        <v>31</v>
      </c>
      <c r="C575" t="s">
        <v>16</v>
      </c>
      <c r="D575" t="s">
        <v>42</v>
      </c>
      <c r="E575" t="s">
        <v>29</v>
      </c>
      <c r="F575" s="3">
        <v>45756</v>
      </c>
      <c r="G575" s="3">
        <v>45811</v>
      </c>
      <c r="H575" s="2">
        <v>11</v>
      </c>
      <c r="I575" s="1">
        <v>2769.03</v>
      </c>
      <c r="J575" s="1">
        <v>251.73</v>
      </c>
      <c r="K575" t="s">
        <v>35</v>
      </c>
      <c r="L575" t="s">
        <v>26</v>
      </c>
      <c r="M575" s="2">
        <v>9</v>
      </c>
      <c r="N575" t="s">
        <v>21</v>
      </c>
    </row>
    <row r="576" spans="1:14" x14ac:dyDescent="0.3">
      <c r="A576" t="s">
        <v>612</v>
      </c>
      <c r="B576" s="2">
        <v>37</v>
      </c>
      <c r="C576" t="s">
        <v>23</v>
      </c>
      <c r="D576" t="s">
        <v>44</v>
      </c>
      <c r="E576" t="s">
        <v>34</v>
      </c>
      <c r="F576" s="3">
        <v>45848</v>
      </c>
      <c r="G576" s="3">
        <v>46013</v>
      </c>
      <c r="H576" s="2">
        <v>11</v>
      </c>
      <c r="I576" s="1">
        <v>2766.61</v>
      </c>
      <c r="J576" s="1">
        <v>251.51</v>
      </c>
      <c r="K576" t="s">
        <v>39</v>
      </c>
      <c r="L576" t="s">
        <v>20</v>
      </c>
      <c r="M576" s="2">
        <v>10</v>
      </c>
      <c r="N576" t="s">
        <v>21</v>
      </c>
    </row>
    <row r="577" spans="1:14" x14ac:dyDescent="0.3">
      <c r="A577" t="s">
        <v>613</v>
      </c>
      <c r="B577" s="2">
        <v>35</v>
      </c>
      <c r="C577" t="s">
        <v>23</v>
      </c>
      <c r="D577" t="s">
        <v>24</v>
      </c>
      <c r="E577" t="s">
        <v>34</v>
      </c>
      <c r="F577" s="3">
        <v>45602</v>
      </c>
      <c r="G577" s="3">
        <v>45748</v>
      </c>
      <c r="H577" s="2">
        <v>19</v>
      </c>
      <c r="I577" s="1">
        <v>2764.88</v>
      </c>
      <c r="J577" s="1">
        <v>145.52000000000001</v>
      </c>
      <c r="K577" t="s">
        <v>35</v>
      </c>
      <c r="L577" t="s">
        <v>26</v>
      </c>
      <c r="M577" s="2">
        <v>3</v>
      </c>
      <c r="N577" t="s">
        <v>21</v>
      </c>
    </row>
    <row r="578" spans="1:14" x14ac:dyDescent="0.3">
      <c r="A578" t="s">
        <v>614</v>
      </c>
      <c r="B578" s="2">
        <v>28</v>
      </c>
      <c r="C578" t="s">
        <v>23</v>
      </c>
      <c r="D578" t="s">
        <v>24</v>
      </c>
      <c r="E578" t="s">
        <v>29</v>
      </c>
      <c r="F578" s="3">
        <v>45549</v>
      </c>
      <c r="G578" s="3">
        <v>45748</v>
      </c>
      <c r="H578" s="2">
        <v>23</v>
      </c>
      <c r="I578" s="1">
        <v>2764.83</v>
      </c>
      <c r="J578" s="1">
        <v>120.21</v>
      </c>
      <c r="K578" t="s">
        <v>19</v>
      </c>
      <c r="L578" t="s">
        <v>20</v>
      </c>
      <c r="M578" s="2">
        <v>9</v>
      </c>
      <c r="N578" t="s">
        <v>21</v>
      </c>
    </row>
    <row r="579" spans="1:14" x14ac:dyDescent="0.3">
      <c r="A579" t="s">
        <v>615</v>
      </c>
      <c r="B579" s="2">
        <v>63</v>
      </c>
      <c r="C579" t="s">
        <v>16</v>
      </c>
      <c r="D579" t="s">
        <v>24</v>
      </c>
      <c r="E579" t="s">
        <v>29</v>
      </c>
      <c r="F579" s="3">
        <v>45457</v>
      </c>
      <c r="G579" s="3">
        <v>45528</v>
      </c>
      <c r="H579" s="2">
        <v>12</v>
      </c>
      <c r="I579" s="1">
        <v>2750.28</v>
      </c>
      <c r="J579" s="1">
        <v>229.19</v>
      </c>
      <c r="K579" t="s">
        <v>45</v>
      </c>
      <c r="L579" t="s">
        <v>30</v>
      </c>
      <c r="M579" s="2">
        <v>3</v>
      </c>
      <c r="N579" t="s">
        <v>31</v>
      </c>
    </row>
    <row r="580" spans="1:14" x14ac:dyDescent="0.3">
      <c r="A580" t="s">
        <v>616</v>
      </c>
      <c r="B580" s="2">
        <v>30</v>
      </c>
      <c r="C580" t="s">
        <v>23</v>
      </c>
      <c r="D580" t="s">
        <v>24</v>
      </c>
      <c r="E580" t="s">
        <v>18</v>
      </c>
      <c r="F580" s="3">
        <v>45883</v>
      </c>
      <c r="G580" s="3">
        <v>46103</v>
      </c>
      <c r="H580" s="2">
        <v>13</v>
      </c>
      <c r="I580" s="1">
        <v>2742.35</v>
      </c>
      <c r="J580" s="1">
        <v>210.95</v>
      </c>
      <c r="K580" t="s">
        <v>45</v>
      </c>
      <c r="L580" t="s">
        <v>30</v>
      </c>
      <c r="M580" s="2">
        <v>1</v>
      </c>
      <c r="N580" t="s">
        <v>21</v>
      </c>
    </row>
    <row r="581" spans="1:14" x14ac:dyDescent="0.3">
      <c r="A581" t="s">
        <v>617</v>
      </c>
      <c r="B581" s="2">
        <v>33</v>
      </c>
      <c r="C581" t="s">
        <v>23</v>
      </c>
      <c r="D581" t="s">
        <v>24</v>
      </c>
      <c r="E581" t="s">
        <v>38</v>
      </c>
      <c r="F581" s="3">
        <v>45577</v>
      </c>
      <c r="G581" s="3">
        <v>45824</v>
      </c>
      <c r="H581" s="2">
        <v>10</v>
      </c>
      <c r="I581" s="1">
        <v>2741.5</v>
      </c>
      <c r="J581" s="1">
        <v>274.14999999999998</v>
      </c>
      <c r="K581" t="s">
        <v>35</v>
      </c>
      <c r="L581" t="s">
        <v>26</v>
      </c>
      <c r="M581" s="2">
        <v>9</v>
      </c>
      <c r="N581" t="s">
        <v>21</v>
      </c>
    </row>
    <row r="582" spans="1:14" x14ac:dyDescent="0.3">
      <c r="A582" t="s">
        <v>618</v>
      </c>
      <c r="B582" s="2">
        <v>26</v>
      </c>
      <c r="C582" t="s">
        <v>16</v>
      </c>
      <c r="D582" t="s">
        <v>24</v>
      </c>
      <c r="E582" t="s">
        <v>38</v>
      </c>
      <c r="F582" s="3">
        <v>45817</v>
      </c>
      <c r="G582" s="3">
        <v>45827</v>
      </c>
      <c r="H582" s="2">
        <v>17</v>
      </c>
      <c r="I582" s="1">
        <v>2741.42</v>
      </c>
      <c r="J582" s="1">
        <v>161.26</v>
      </c>
      <c r="K582" t="s">
        <v>25</v>
      </c>
      <c r="L582" t="s">
        <v>30</v>
      </c>
      <c r="M582" s="2">
        <v>4</v>
      </c>
      <c r="N582" t="s">
        <v>31</v>
      </c>
    </row>
    <row r="583" spans="1:14" x14ac:dyDescent="0.3">
      <c r="A583" t="s">
        <v>619</v>
      </c>
      <c r="B583" s="2">
        <v>34</v>
      </c>
      <c r="C583" t="s">
        <v>23</v>
      </c>
      <c r="D583" t="s">
        <v>28</v>
      </c>
      <c r="E583" t="s">
        <v>29</v>
      </c>
      <c r="F583" s="3">
        <v>45676</v>
      </c>
      <c r="G583" s="3">
        <v>45766</v>
      </c>
      <c r="H583" s="2">
        <v>13</v>
      </c>
      <c r="I583" s="1">
        <v>2732.08</v>
      </c>
      <c r="J583" s="1">
        <v>210.16</v>
      </c>
      <c r="K583" t="s">
        <v>25</v>
      </c>
      <c r="L583" t="s">
        <v>20</v>
      </c>
      <c r="M583" s="2">
        <v>1</v>
      </c>
      <c r="N583" t="s">
        <v>21</v>
      </c>
    </row>
    <row r="584" spans="1:14" x14ac:dyDescent="0.3">
      <c r="A584" t="s">
        <v>620</v>
      </c>
      <c r="B584" s="2">
        <v>28</v>
      </c>
      <c r="C584" t="s">
        <v>23</v>
      </c>
      <c r="D584" t="s">
        <v>28</v>
      </c>
      <c r="E584" t="s">
        <v>38</v>
      </c>
      <c r="F584" s="3">
        <v>45844</v>
      </c>
      <c r="G584" s="3">
        <v>46031</v>
      </c>
      <c r="H584" s="2">
        <v>17</v>
      </c>
      <c r="I584" s="1">
        <v>2728.5</v>
      </c>
      <c r="J584" s="1">
        <v>160.5</v>
      </c>
      <c r="K584" t="s">
        <v>45</v>
      </c>
      <c r="L584" t="s">
        <v>20</v>
      </c>
      <c r="M584" s="2">
        <v>6</v>
      </c>
      <c r="N584" t="s">
        <v>21</v>
      </c>
    </row>
    <row r="585" spans="1:14" x14ac:dyDescent="0.3">
      <c r="A585" t="s">
        <v>621</v>
      </c>
      <c r="B585" s="2">
        <v>53</v>
      </c>
      <c r="C585" t="s">
        <v>16</v>
      </c>
      <c r="D585" t="s">
        <v>61</v>
      </c>
      <c r="E585" t="s">
        <v>29</v>
      </c>
      <c r="F585" s="3">
        <v>45601</v>
      </c>
      <c r="G585" s="3">
        <v>45803</v>
      </c>
      <c r="H585" s="2">
        <v>22</v>
      </c>
      <c r="I585" s="1">
        <v>2724.7</v>
      </c>
      <c r="J585" s="1">
        <v>123.85</v>
      </c>
      <c r="K585" t="s">
        <v>45</v>
      </c>
      <c r="L585" t="s">
        <v>30</v>
      </c>
      <c r="M585" s="2">
        <v>9</v>
      </c>
      <c r="N585" t="s">
        <v>21</v>
      </c>
    </row>
    <row r="586" spans="1:14" x14ac:dyDescent="0.3">
      <c r="A586" t="s">
        <v>622</v>
      </c>
      <c r="B586" s="2">
        <v>19</v>
      </c>
      <c r="C586" t="s">
        <v>16</v>
      </c>
      <c r="D586" t="s">
        <v>61</v>
      </c>
      <c r="E586" t="s">
        <v>34</v>
      </c>
      <c r="F586" s="3">
        <v>45346</v>
      </c>
      <c r="G586" s="3">
        <v>45398</v>
      </c>
      <c r="H586" s="2">
        <v>22</v>
      </c>
      <c r="I586" s="1">
        <v>2722.72</v>
      </c>
      <c r="J586" s="1">
        <v>123.76</v>
      </c>
      <c r="K586" t="s">
        <v>19</v>
      </c>
      <c r="L586" t="s">
        <v>20</v>
      </c>
      <c r="M586" s="2">
        <v>2</v>
      </c>
      <c r="N586" t="s">
        <v>21</v>
      </c>
    </row>
    <row r="587" spans="1:14" x14ac:dyDescent="0.3">
      <c r="A587" t="s">
        <v>623</v>
      </c>
      <c r="B587" s="2">
        <v>63</v>
      </c>
      <c r="C587" t="s">
        <v>16</v>
      </c>
      <c r="D587" t="s">
        <v>17</v>
      </c>
      <c r="E587" t="s">
        <v>38</v>
      </c>
      <c r="F587" s="3">
        <v>45411</v>
      </c>
      <c r="G587" s="3">
        <v>45565</v>
      </c>
      <c r="H587" s="2">
        <v>25</v>
      </c>
      <c r="I587" s="1">
        <v>2717.25</v>
      </c>
      <c r="J587" s="1">
        <v>108.69</v>
      </c>
      <c r="K587" t="s">
        <v>25</v>
      </c>
      <c r="L587" t="s">
        <v>20</v>
      </c>
      <c r="M587" s="2">
        <v>8</v>
      </c>
      <c r="N587" t="s">
        <v>21</v>
      </c>
    </row>
    <row r="588" spans="1:14" x14ac:dyDescent="0.3">
      <c r="A588" t="s">
        <v>624</v>
      </c>
      <c r="B588" s="2">
        <v>60</v>
      </c>
      <c r="C588" t="s">
        <v>16</v>
      </c>
      <c r="D588" t="s">
        <v>17</v>
      </c>
      <c r="E588" t="s">
        <v>34</v>
      </c>
      <c r="F588" s="3">
        <v>45696</v>
      </c>
      <c r="G588" s="3">
        <v>45911</v>
      </c>
      <c r="H588" s="2">
        <v>24</v>
      </c>
      <c r="I588" s="1">
        <v>2705.76</v>
      </c>
      <c r="J588" s="1">
        <v>112.74</v>
      </c>
      <c r="K588" t="s">
        <v>39</v>
      </c>
      <c r="L588" t="s">
        <v>26</v>
      </c>
      <c r="M588" s="2">
        <v>8</v>
      </c>
      <c r="N588" t="s">
        <v>31</v>
      </c>
    </row>
    <row r="589" spans="1:14" x14ac:dyDescent="0.3">
      <c r="A589" t="s">
        <v>625</v>
      </c>
      <c r="B589" s="2">
        <v>53</v>
      </c>
      <c r="C589" t="s">
        <v>23</v>
      </c>
      <c r="D589" t="s">
        <v>44</v>
      </c>
      <c r="E589" t="s">
        <v>18</v>
      </c>
      <c r="F589" s="3">
        <v>45482</v>
      </c>
      <c r="G589" s="3">
        <v>45612</v>
      </c>
      <c r="H589" s="2">
        <v>11</v>
      </c>
      <c r="I589" s="1">
        <v>2705.56</v>
      </c>
      <c r="J589" s="1">
        <v>245.96</v>
      </c>
      <c r="K589" t="s">
        <v>45</v>
      </c>
      <c r="L589" t="s">
        <v>20</v>
      </c>
      <c r="M589" s="2">
        <v>5</v>
      </c>
      <c r="N589" t="s">
        <v>21</v>
      </c>
    </row>
    <row r="590" spans="1:14" x14ac:dyDescent="0.3">
      <c r="A590" t="s">
        <v>626</v>
      </c>
      <c r="B590" s="2">
        <v>61</v>
      </c>
      <c r="C590" t="s">
        <v>23</v>
      </c>
      <c r="D590" t="s">
        <v>44</v>
      </c>
      <c r="E590" t="s">
        <v>18</v>
      </c>
      <c r="F590" s="3">
        <v>45363</v>
      </c>
      <c r="G590" s="3">
        <v>45606</v>
      </c>
      <c r="H590" s="2">
        <v>22</v>
      </c>
      <c r="I590" s="1">
        <v>2703.36</v>
      </c>
      <c r="J590" s="1">
        <v>122.88</v>
      </c>
      <c r="K590" t="s">
        <v>35</v>
      </c>
      <c r="L590" t="s">
        <v>26</v>
      </c>
      <c r="M590" s="2">
        <v>9</v>
      </c>
      <c r="N590" t="s">
        <v>31</v>
      </c>
    </row>
    <row r="591" spans="1:14" x14ac:dyDescent="0.3">
      <c r="A591" t="s">
        <v>627</v>
      </c>
      <c r="B591" s="2">
        <v>36</v>
      </c>
      <c r="C591" t="s">
        <v>23</v>
      </c>
      <c r="D591" t="s">
        <v>44</v>
      </c>
      <c r="E591" t="s">
        <v>38</v>
      </c>
      <c r="F591" s="3">
        <v>45326</v>
      </c>
      <c r="G591" s="3">
        <v>45622</v>
      </c>
      <c r="H591" s="2">
        <v>12</v>
      </c>
      <c r="I591" s="1">
        <v>2700.72</v>
      </c>
      <c r="J591" s="1">
        <v>225.06</v>
      </c>
      <c r="K591" t="s">
        <v>25</v>
      </c>
      <c r="L591" t="s">
        <v>30</v>
      </c>
      <c r="M591" s="2">
        <v>3</v>
      </c>
      <c r="N591" t="s">
        <v>31</v>
      </c>
    </row>
    <row r="592" spans="1:14" x14ac:dyDescent="0.3">
      <c r="A592" t="s">
        <v>628</v>
      </c>
      <c r="B592" s="2">
        <v>46</v>
      </c>
      <c r="C592" t="s">
        <v>16</v>
      </c>
      <c r="D592" t="s">
        <v>24</v>
      </c>
      <c r="E592" t="s">
        <v>34</v>
      </c>
      <c r="F592" s="3">
        <v>45570</v>
      </c>
      <c r="G592" s="3">
        <v>45859</v>
      </c>
      <c r="H592" s="2">
        <v>14</v>
      </c>
      <c r="I592" s="1">
        <v>2696.54</v>
      </c>
      <c r="J592" s="1">
        <v>192.61</v>
      </c>
      <c r="K592" t="s">
        <v>25</v>
      </c>
      <c r="L592" t="s">
        <v>20</v>
      </c>
      <c r="M592" s="2">
        <v>7</v>
      </c>
      <c r="N592" t="s">
        <v>21</v>
      </c>
    </row>
    <row r="593" spans="1:14" x14ac:dyDescent="0.3">
      <c r="A593" t="s">
        <v>629</v>
      </c>
      <c r="B593" s="2">
        <v>54</v>
      </c>
      <c r="C593" t="s">
        <v>23</v>
      </c>
      <c r="D593" t="s">
        <v>50</v>
      </c>
      <c r="E593" t="s">
        <v>38</v>
      </c>
      <c r="F593" s="3">
        <v>45689</v>
      </c>
      <c r="G593" s="3">
        <v>45836</v>
      </c>
      <c r="H593" s="2">
        <v>18</v>
      </c>
      <c r="I593" s="1">
        <v>2696.04</v>
      </c>
      <c r="J593" s="1">
        <v>149.78</v>
      </c>
      <c r="K593" t="s">
        <v>35</v>
      </c>
      <c r="L593" t="s">
        <v>20</v>
      </c>
      <c r="M593" s="2">
        <v>4</v>
      </c>
      <c r="N593" t="s">
        <v>21</v>
      </c>
    </row>
    <row r="594" spans="1:14" x14ac:dyDescent="0.3">
      <c r="A594" t="s">
        <v>630</v>
      </c>
      <c r="B594" s="2">
        <v>23</v>
      </c>
      <c r="C594" t="s">
        <v>16</v>
      </c>
      <c r="D594" t="s">
        <v>44</v>
      </c>
      <c r="E594" t="s">
        <v>29</v>
      </c>
      <c r="F594" s="3">
        <v>45604</v>
      </c>
      <c r="G594" s="3">
        <v>45812</v>
      </c>
      <c r="H594" s="2">
        <v>25</v>
      </c>
      <c r="I594" s="1">
        <v>2689.25</v>
      </c>
      <c r="J594" s="1">
        <v>107.57</v>
      </c>
      <c r="K594" t="s">
        <v>39</v>
      </c>
      <c r="L594" t="s">
        <v>30</v>
      </c>
      <c r="M594" s="2">
        <v>10</v>
      </c>
      <c r="N594" t="s">
        <v>31</v>
      </c>
    </row>
    <row r="595" spans="1:14" x14ac:dyDescent="0.3">
      <c r="A595" t="s">
        <v>631</v>
      </c>
      <c r="B595" s="2">
        <v>46</v>
      </c>
      <c r="C595" t="s">
        <v>23</v>
      </c>
      <c r="D595" t="s">
        <v>61</v>
      </c>
      <c r="E595" t="s">
        <v>29</v>
      </c>
      <c r="F595" s="3">
        <v>45827</v>
      </c>
      <c r="G595" s="3">
        <v>45860</v>
      </c>
      <c r="H595" s="2">
        <v>17</v>
      </c>
      <c r="I595" s="1">
        <v>2688.72</v>
      </c>
      <c r="J595" s="1">
        <v>158.16</v>
      </c>
      <c r="K595" t="s">
        <v>25</v>
      </c>
      <c r="L595" t="s">
        <v>30</v>
      </c>
      <c r="M595" s="2">
        <v>7</v>
      </c>
      <c r="N595" t="s">
        <v>21</v>
      </c>
    </row>
    <row r="596" spans="1:14" x14ac:dyDescent="0.3">
      <c r="A596" t="s">
        <v>632</v>
      </c>
      <c r="B596" s="2">
        <v>63</v>
      </c>
      <c r="C596" t="s">
        <v>23</v>
      </c>
      <c r="D596" t="s">
        <v>61</v>
      </c>
      <c r="E596" t="s">
        <v>38</v>
      </c>
      <c r="F596" s="3">
        <v>45798</v>
      </c>
      <c r="G596" s="3">
        <v>45911</v>
      </c>
      <c r="H596" s="2">
        <v>19</v>
      </c>
      <c r="I596" s="1">
        <v>2687.55</v>
      </c>
      <c r="J596" s="1">
        <v>141.44999999999999</v>
      </c>
      <c r="K596" t="s">
        <v>19</v>
      </c>
      <c r="L596" t="s">
        <v>20</v>
      </c>
      <c r="M596" s="2">
        <v>7</v>
      </c>
      <c r="N596" t="s">
        <v>21</v>
      </c>
    </row>
    <row r="597" spans="1:14" x14ac:dyDescent="0.3">
      <c r="A597" t="s">
        <v>633</v>
      </c>
      <c r="B597" s="2">
        <v>47</v>
      </c>
      <c r="C597" t="s">
        <v>23</v>
      </c>
      <c r="D597" t="s">
        <v>17</v>
      </c>
      <c r="E597" t="s">
        <v>18</v>
      </c>
      <c r="F597" s="3">
        <v>45789</v>
      </c>
      <c r="G597" s="3">
        <v>45982</v>
      </c>
      <c r="H597" s="2">
        <v>9</v>
      </c>
      <c r="I597" s="1">
        <v>2682.81</v>
      </c>
      <c r="J597" s="1">
        <v>298.08999999999997</v>
      </c>
      <c r="K597" t="s">
        <v>39</v>
      </c>
      <c r="L597" t="s">
        <v>30</v>
      </c>
      <c r="M597" s="2">
        <v>3</v>
      </c>
      <c r="N597" t="s">
        <v>21</v>
      </c>
    </row>
    <row r="598" spans="1:14" x14ac:dyDescent="0.3">
      <c r="A598" t="s">
        <v>634</v>
      </c>
      <c r="B598" s="2">
        <v>30</v>
      </c>
      <c r="C598" t="s">
        <v>23</v>
      </c>
      <c r="D598" t="s">
        <v>42</v>
      </c>
      <c r="E598" t="s">
        <v>38</v>
      </c>
      <c r="F598" s="3">
        <v>45899</v>
      </c>
      <c r="G598" s="3">
        <v>46129</v>
      </c>
      <c r="H598" s="2">
        <v>10</v>
      </c>
      <c r="I598" s="1">
        <v>2677.5</v>
      </c>
      <c r="J598" s="1">
        <v>267.75</v>
      </c>
      <c r="K598" t="s">
        <v>39</v>
      </c>
      <c r="L598" t="s">
        <v>26</v>
      </c>
      <c r="M598" s="2">
        <v>6</v>
      </c>
      <c r="N598" t="s">
        <v>31</v>
      </c>
    </row>
    <row r="599" spans="1:14" x14ac:dyDescent="0.3">
      <c r="A599" t="s">
        <v>635</v>
      </c>
      <c r="B599" s="2">
        <v>45</v>
      </c>
      <c r="C599" t="s">
        <v>16</v>
      </c>
      <c r="D599" t="s">
        <v>61</v>
      </c>
      <c r="E599" t="s">
        <v>29</v>
      </c>
      <c r="F599" s="3">
        <v>45702</v>
      </c>
      <c r="G599" s="3">
        <v>45721</v>
      </c>
      <c r="H599" s="2">
        <v>9</v>
      </c>
      <c r="I599" s="1">
        <v>2675.79</v>
      </c>
      <c r="J599" s="1">
        <v>297.31</v>
      </c>
      <c r="K599" t="s">
        <v>39</v>
      </c>
      <c r="L599" t="s">
        <v>30</v>
      </c>
      <c r="M599" s="2">
        <v>7</v>
      </c>
      <c r="N599" t="s">
        <v>21</v>
      </c>
    </row>
    <row r="600" spans="1:14" x14ac:dyDescent="0.3">
      <c r="A600" t="s">
        <v>636</v>
      </c>
      <c r="B600" s="2">
        <v>48</v>
      </c>
      <c r="C600" t="s">
        <v>16</v>
      </c>
      <c r="D600" t="s">
        <v>42</v>
      </c>
      <c r="E600" t="s">
        <v>29</v>
      </c>
      <c r="F600" s="3">
        <v>45457</v>
      </c>
      <c r="G600" s="3">
        <v>45691</v>
      </c>
      <c r="H600" s="2">
        <v>12</v>
      </c>
      <c r="I600" s="1">
        <v>2669.52</v>
      </c>
      <c r="J600" s="1">
        <v>222.46</v>
      </c>
      <c r="K600" t="s">
        <v>45</v>
      </c>
      <c r="L600" t="s">
        <v>30</v>
      </c>
      <c r="M600" s="2">
        <v>1</v>
      </c>
      <c r="N600" t="s">
        <v>21</v>
      </c>
    </row>
    <row r="601" spans="1:14" x14ac:dyDescent="0.3">
      <c r="A601" t="s">
        <v>637</v>
      </c>
      <c r="B601" s="2">
        <v>61</v>
      </c>
      <c r="C601" t="s">
        <v>23</v>
      </c>
      <c r="D601" t="s">
        <v>44</v>
      </c>
      <c r="E601" t="s">
        <v>18</v>
      </c>
      <c r="F601" s="3">
        <v>45817</v>
      </c>
      <c r="G601" s="3">
        <v>46029</v>
      </c>
      <c r="H601" s="2">
        <v>15</v>
      </c>
      <c r="I601" s="1">
        <v>2668.5</v>
      </c>
      <c r="J601" s="1">
        <v>177.9</v>
      </c>
      <c r="K601" t="s">
        <v>35</v>
      </c>
      <c r="L601" t="s">
        <v>26</v>
      </c>
      <c r="M601" s="2">
        <v>1</v>
      </c>
      <c r="N601" t="s">
        <v>21</v>
      </c>
    </row>
    <row r="602" spans="1:14" x14ac:dyDescent="0.3">
      <c r="A602" t="s">
        <v>638</v>
      </c>
      <c r="B602" s="2">
        <v>21</v>
      </c>
      <c r="C602" t="s">
        <v>16</v>
      </c>
      <c r="D602" t="s">
        <v>24</v>
      </c>
      <c r="E602" t="s">
        <v>34</v>
      </c>
      <c r="F602" s="3">
        <v>45790</v>
      </c>
      <c r="G602" s="3">
        <v>45917</v>
      </c>
      <c r="H602" s="2">
        <v>9</v>
      </c>
      <c r="I602" s="1">
        <v>2667.06</v>
      </c>
      <c r="J602" s="1">
        <v>296.33999999999997</v>
      </c>
      <c r="K602" t="s">
        <v>45</v>
      </c>
      <c r="L602" t="s">
        <v>20</v>
      </c>
      <c r="M602" s="2">
        <v>6</v>
      </c>
      <c r="N602" t="s">
        <v>21</v>
      </c>
    </row>
    <row r="603" spans="1:14" x14ac:dyDescent="0.3">
      <c r="A603" t="s">
        <v>639</v>
      </c>
      <c r="B603" s="2">
        <v>45</v>
      </c>
      <c r="C603" t="s">
        <v>16</v>
      </c>
      <c r="D603" t="s">
        <v>24</v>
      </c>
      <c r="E603" t="s">
        <v>34</v>
      </c>
      <c r="F603" s="3">
        <v>45721</v>
      </c>
      <c r="G603" s="3">
        <v>45787</v>
      </c>
      <c r="H603" s="2">
        <v>12</v>
      </c>
      <c r="I603" s="1">
        <v>2666.76</v>
      </c>
      <c r="J603" s="1">
        <v>222.23</v>
      </c>
      <c r="K603" t="s">
        <v>45</v>
      </c>
      <c r="L603" t="s">
        <v>30</v>
      </c>
      <c r="M603" s="2">
        <v>8</v>
      </c>
      <c r="N603" t="s">
        <v>21</v>
      </c>
    </row>
    <row r="604" spans="1:14" x14ac:dyDescent="0.3">
      <c r="A604" t="s">
        <v>640</v>
      </c>
      <c r="B604" s="2">
        <v>31</v>
      </c>
      <c r="C604" t="s">
        <v>16</v>
      </c>
      <c r="D604" t="s">
        <v>42</v>
      </c>
      <c r="E604" t="s">
        <v>18</v>
      </c>
      <c r="F604" s="3">
        <v>45494</v>
      </c>
      <c r="G604" s="3">
        <v>45724</v>
      </c>
      <c r="H604" s="2">
        <v>19</v>
      </c>
      <c r="I604" s="1">
        <v>2665.13</v>
      </c>
      <c r="J604" s="1">
        <v>140.27000000000001</v>
      </c>
      <c r="K604" t="s">
        <v>19</v>
      </c>
      <c r="L604" t="s">
        <v>30</v>
      </c>
      <c r="M604" s="2">
        <v>9</v>
      </c>
      <c r="N604" t="s">
        <v>31</v>
      </c>
    </row>
    <row r="605" spans="1:14" x14ac:dyDescent="0.3">
      <c r="A605" t="s">
        <v>641</v>
      </c>
      <c r="B605" s="2">
        <v>45</v>
      </c>
      <c r="C605" t="s">
        <v>23</v>
      </c>
      <c r="D605" t="s">
        <v>17</v>
      </c>
      <c r="E605" t="s">
        <v>34</v>
      </c>
      <c r="F605" s="3">
        <v>45815</v>
      </c>
      <c r="G605" s="3">
        <v>45843</v>
      </c>
      <c r="H605" s="2">
        <v>22</v>
      </c>
      <c r="I605" s="1">
        <v>2664.2</v>
      </c>
      <c r="J605" s="1">
        <v>121.1</v>
      </c>
      <c r="K605" t="s">
        <v>39</v>
      </c>
      <c r="L605" t="s">
        <v>26</v>
      </c>
      <c r="M605" s="2">
        <v>6</v>
      </c>
      <c r="N605" t="s">
        <v>31</v>
      </c>
    </row>
    <row r="606" spans="1:14" x14ac:dyDescent="0.3">
      <c r="A606" t="s">
        <v>642</v>
      </c>
      <c r="B606" s="2">
        <v>22</v>
      </c>
      <c r="C606" t="s">
        <v>23</v>
      </c>
      <c r="D606" t="s">
        <v>17</v>
      </c>
      <c r="E606" t="s">
        <v>18</v>
      </c>
      <c r="F606" s="3">
        <v>45323</v>
      </c>
      <c r="G606" s="3">
        <v>45512</v>
      </c>
      <c r="H606" s="2">
        <v>19</v>
      </c>
      <c r="I606" s="1">
        <v>2660.95</v>
      </c>
      <c r="J606" s="1">
        <v>140.05000000000001</v>
      </c>
      <c r="K606" t="s">
        <v>19</v>
      </c>
      <c r="L606" t="s">
        <v>30</v>
      </c>
      <c r="M606" s="2">
        <v>3</v>
      </c>
      <c r="N606" t="s">
        <v>21</v>
      </c>
    </row>
    <row r="607" spans="1:14" x14ac:dyDescent="0.3">
      <c r="A607" t="s">
        <v>643</v>
      </c>
      <c r="B607" s="2">
        <v>27</v>
      </c>
      <c r="C607" t="s">
        <v>23</v>
      </c>
      <c r="D607" t="s">
        <v>61</v>
      </c>
      <c r="E607" t="s">
        <v>29</v>
      </c>
      <c r="F607" s="3">
        <v>45975</v>
      </c>
      <c r="G607" s="3">
        <v>46063</v>
      </c>
      <c r="H607" s="2">
        <v>9</v>
      </c>
      <c r="I607" s="1">
        <v>2658.78</v>
      </c>
      <c r="J607" s="1">
        <v>295.42</v>
      </c>
      <c r="K607" t="s">
        <v>25</v>
      </c>
      <c r="L607" t="s">
        <v>26</v>
      </c>
      <c r="M607" s="2">
        <v>6</v>
      </c>
      <c r="N607" t="s">
        <v>21</v>
      </c>
    </row>
    <row r="608" spans="1:14" x14ac:dyDescent="0.3">
      <c r="A608" t="s">
        <v>644</v>
      </c>
      <c r="B608" s="2">
        <v>28</v>
      </c>
      <c r="C608" t="s">
        <v>16</v>
      </c>
      <c r="D608" t="s">
        <v>42</v>
      </c>
      <c r="E608" t="s">
        <v>18</v>
      </c>
      <c r="F608" s="3">
        <v>45839</v>
      </c>
      <c r="G608" s="3">
        <v>46082</v>
      </c>
      <c r="H608" s="2">
        <v>22</v>
      </c>
      <c r="I608" s="1">
        <v>2648.36</v>
      </c>
      <c r="J608" s="1">
        <v>120.38</v>
      </c>
      <c r="K608" t="s">
        <v>35</v>
      </c>
      <c r="L608" t="s">
        <v>30</v>
      </c>
      <c r="M608" s="2">
        <v>5</v>
      </c>
      <c r="N608" t="s">
        <v>21</v>
      </c>
    </row>
    <row r="609" spans="1:14" x14ac:dyDescent="0.3">
      <c r="A609" t="s">
        <v>645</v>
      </c>
      <c r="B609" s="2">
        <v>23</v>
      </c>
      <c r="C609" t="s">
        <v>23</v>
      </c>
      <c r="D609" t="s">
        <v>17</v>
      </c>
      <c r="E609" t="s">
        <v>38</v>
      </c>
      <c r="F609" s="3">
        <v>45520</v>
      </c>
      <c r="G609" s="3">
        <v>45801</v>
      </c>
      <c r="H609" s="2">
        <v>21</v>
      </c>
      <c r="I609" s="1">
        <v>2646.42</v>
      </c>
      <c r="J609" s="1">
        <v>126.02</v>
      </c>
      <c r="K609" t="s">
        <v>39</v>
      </c>
      <c r="L609" t="s">
        <v>26</v>
      </c>
      <c r="M609" s="2">
        <v>8</v>
      </c>
      <c r="N609" t="s">
        <v>21</v>
      </c>
    </row>
    <row r="610" spans="1:14" x14ac:dyDescent="0.3">
      <c r="A610" t="s">
        <v>646</v>
      </c>
      <c r="B610" s="2">
        <v>22</v>
      </c>
      <c r="C610" t="s">
        <v>23</v>
      </c>
      <c r="D610" t="s">
        <v>17</v>
      </c>
      <c r="E610" t="s">
        <v>29</v>
      </c>
      <c r="F610" s="3">
        <v>45470</v>
      </c>
      <c r="G610" s="3">
        <v>45662</v>
      </c>
      <c r="H610" s="2">
        <v>21</v>
      </c>
      <c r="I610" s="1">
        <v>2645.79</v>
      </c>
      <c r="J610" s="1">
        <v>125.99</v>
      </c>
      <c r="K610" t="s">
        <v>19</v>
      </c>
      <c r="L610" t="s">
        <v>26</v>
      </c>
      <c r="M610" s="2">
        <v>6</v>
      </c>
      <c r="N610" t="s">
        <v>21</v>
      </c>
    </row>
    <row r="611" spans="1:14" x14ac:dyDescent="0.3">
      <c r="A611" t="s">
        <v>647</v>
      </c>
      <c r="B611" s="2">
        <v>48</v>
      </c>
      <c r="C611" t="s">
        <v>16</v>
      </c>
      <c r="D611" t="s">
        <v>50</v>
      </c>
      <c r="E611" t="s">
        <v>34</v>
      </c>
      <c r="F611" s="3">
        <v>45712</v>
      </c>
      <c r="G611" s="3">
        <v>45847</v>
      </c>
      <c r="H611" s="2">
        <v>13</v>
      </c>
      <c r="I611" s="1">
        <v>2643.42</v>
      </c>
      <c r="J611" s="1">
        <v>203.34</v>
      </c>
      <c r="K611" t="s">
        <v>35</v>
      </c>
      <c r="L611" t="s">
        <v>30</v>
      </c>
      <c r="M611" s="2">
        <v>10</v>
      </c>
      <c r="N611" t="s">
        <v>21</v>
      </c>
    </row>
    <row r="612" spans="1:14" x14ac:dyDescent="0.3">
      <c r="A612" t="s">
        <v>648</v>
      </c>
      <c r="B612" s="2">
        <v>50</v>
      </c>
      <c r="C612" t="s">
        <v>23</v>
      </c>
      <c r="D612" t="s">
        <v>28</v>
      </c>
      <c r="E612" t="s">
        <v>34</v>
      </c>
      <c r="F612" s="3">
        <v>45428</v>
      </c>
      <c r="G612" s="3">
        <v>45498</v>
      </c>
      <c r="H612" s="2">
        <v>14</v>
      </c>
      <c r="I612" s="1">
        <v>2641.94</v>
      </c>
      <c r="J612" s="1">
        <v>188.71</v>
      </c>
      <c r="K612" t="s">
        <v>19</v>
      </c>
      <c r="L612" t="s">
        <v>20</v>
      </c>
      <c r="M612" s="2">
        <v>4</v>
      </c>
      <c r="N612" t="s">
        <v>21</v>
      </c>
    </row>
    <row r="613" spans="1:14" x14ac:dyDescent="0.3">
      <c r="A613" t="s">
        <v>649</v>
      </c>
      <c r="B613" s="2">
        <v>25</v>
      </c>
      <c r="C613" t="s">
        <v>23</v>
      </c>
      <c r="D613" t="s">
        <v>28</v>
      </c>
      <c r="E613" t="s">
        <v>34</v>
      </c>
      <c r="F613" s="3">
        <v>45318</v>
      </c>
      <c r="G613" s="3">
        <v>45413</v>
      </c>
      <c r="H613" s="2">
        <v>16</v>
      </c>
      <c r="I613" s="1">
        <v>2639.52</v>
      </c>
      <c r="J613" s="1">
        <v>164.97</v>
      </c>
      <c r="K613" t="s">
        <v>35</v>
      </c>
      <c r="L613" t="s">
        <v>30</v>
      </c>
      <c r="M613" s="2">
        <v>10</v>
      </c>
      <c r="N613" t="s">
        <v>21</v>
      </c>
    </row>
    <row r="614" spans="1:14" x14ac:dyDescent="0.3">
      <c r="A614" t="s">
        <v>650</v>
      </c>
      <c r="B614" s="2">
        <v>24</v>
      </c>
      <c r="C614" t="s">
        <v>23</v>
      </c>
      <c r="D614" t="s">
        <v>24</v>
      </c>
      <c r="E614" t="s">
        <v>29</v>
      </c>
      <c r="F614" s="3">
        <v>45323</v>
      </c>
      <c r="G614" s="3">
        <v>45530</v>
      </c>
      <c r="H614" s="2">
        <v>15</v>
      </c>
      <c r="I614" s="1">
        <v>2635.05</v>
      </c>
      <c r="J614" s="1">
        <v>175.67</v>
      </c>
      <c r="K614" t="s">
        <v>39</v>
      </c>
      <c r="L614" t="s">
        <v>30</v>
      </c>
      <c r="M614" s="2">
        <v>1</v>
      </c>
      <c r="N614" t="s">
        <v>21</v>
      </c>
    </row>
    <row r="615" spans="1:14" x14ac:dyDescent="0.3">
      <c r="A615" t="s">
        <v>651</v>
      </c>
      <c r="B615" s="2">
        <v>42</v>
      </c>
      <c r="C615" t="s">
        <v>16</v>
      </c>
      <c r="D615" t="s">
        <v>44</v>
      </c>
      <c r="E615" t="s">
        <v>18</v>
      </c>
      <c r="F615" s="3">
        <v>45788</v>
      </c>
      <c r="G615" s="3">
        <v>45874</v>
      </c>
      <c r="H615" s="2">
        <v>17</v>
      </c>
      <c r="I615" s="1">
        <v>2634.49</v>
      </c>
      <c r="J615" s="1">
        <v>154.97</v>
      </c>
      <c r="K615" t="s">
        <v>45</v>
      </c>
      <c r="L615" t="s">
        <v>30</v>
      </c>
      <c r="M615" s="2">
        <v>5</v>
      </c>
      <c r="N615" t="s">
        <v>21</v>
      </c>
    </row>
    <row r="616" spans="1:14" x14ac:dyDescent="0.3">
      <c r="A616" t="s">
        <v>652</v>
      </c>
      <c r="B616" s="2">
        <v>35</v>
      </c>
      <c r="C616" t="s">
        <v>23</v>
      </c>
      <c r="D616" t="s">
        <v>44</v>
      </c>
      <c r="E616" t="s">
        <v>18</v>
      </c>
      <c r="F616" s="3">
        <v>45667</v>
      </c>
      <c r="G616" s="3">
        <v>45949</v>
      </c>
      <c r="H616" s="2">
        <v>10</v>
      </c>
      <c r="I616" s="1">
        <v>2633.1</v>
      </c>
      <c r="J616" s="1">
        <v>263.31</v>
      </c>
      <c r="K616" t="s">
        <v>39</v>
      </c>
      <c r="L616" t="s">
        <v>26</v>
      </c>
      <c r="M616" s="2">
        <v>7</v>
      </c>
      <c r="N616" t="s">
        <v>21</v>
      </c>
    </row>
    <row r="617" spans="1:14" x14ac:dyDescent="0.3">
      <c r="A617" t="s">
        <v>653</v>
      </c>
      <c r="B617" s="2">
        <v>42</v>
      </c>
      <c r="C617" t="s">
        <v>23</v>
      </c>
      <c r="D617" t="s">
        <v>17</v>
      </c>
      <c r="E617" t="s">
        <v>18</v>
      </c>
      <c r="F617" s="3">
        <v>45499</v>
      </c>
      <c r="G617" s="3">
        <v>45550</v>
      </c>
      <c r="H617" s="2">
        <v>9</v>
      </c>
      <c r="I617" s="1">
        <v>2622.51</v>
      </c>
      <c r="J617" s="1">
        <v>291.39</v>
      </c>
      <c r="K617" t="s">
        <v>25</v>
      </c>
      <c r="L617" t="s">
        <v>26</v>
      </c>
      <c r="M617" s="2">
        <v>9</v>
      </c>
      <c r="N617" t="s">
        <v>21</v>
      </c>
    </row>
    <row r="618" spans="1:14" x14ac:dyDescent="0.3">
      <c r="A618" t="s">
        <v>654</v>
      </c>
      <c r="B618" s="2">
        <v>20</v>
      </c>
      <c r="C618" t="s">
        <v>16</v>
      </c>
      <c r="D618" t="s">
        <v>61</v>
      </c>
      <c r="E618" t="s">
        <v>29</v>
      </c>
      <c r="F618" s="3">
        <v>45476</v>
      </c>
      <c r="G618" s="3">
        <v>45478</v>
      </c>
      <c r="H618" s="2">
        <v>18</v>
      </c>
      <c r="I618" s="1">
        <v>2614.14</v>
      </c>
      <c r="J618" s="1">
        <v>145.22999999999999</v>
      </c>
      <c r="K618" t="s">
        <v>25</v>
      </c>
      <c r="L618" t="s">
        <v>30</v>
      </c>
      <c r="M618" s="2">
        <v>9</v>
      </c>
      <c r="N618" t="s">
        <v>21</v>
      </c>
    </row>
    <row r="619" spans="1:14" x14ac:dyDescent="0.3">
      <c r="A619" t="s">
        <v>655</v>
      </c>
      <c r="B619" s="2">
        <v>45</v>
      </c>
      <c r="C619" t="s">
        <v>23</v>
      </c>
      <c r="D619" t="s">
        <v>42</v>
      </c>
      <c r="E619" t="s">
        <v>29</v>
      </c>
      <c r="F619" s="3">
        <v>45398</v>
      </c>
      <c r="G619" s="3">
        <v>45416</v>
      </c>
      <c r="H619" s="2">
        <v>16</v>
      </c>
      <c r="I619" s="1">
        <v>2594.08</v>
      </c>
      <c r="J619" s="1">
        <v>162.13</v>
      </c>
      <c r="K619" t="s">
        <v>39</v>
      </c>
      <c r="L619" t="s">
        <v>30</v>
      </c>
      <c r="M619" s="2">
        <v>1</v>
      </c>
      <c r="N619" t="s">
        <v>21</v>
      </c>
    </row>
    <row r="620" spans="1:14" x14ac:dyDescent="0.3">
      <c r="A620" t="s">
        <v>656</v>
      </c>
      <c r="B620" s="2">
        <v>22</v>
      </c>
      <c r="C620" t="s">
        <v>23</v>
      </c>
      <c r="D620" t="s">
        <v>61</v>
      </c>
      <c r="E620" t="s">
        <v>38</v>
      </c>
      <c r="F620" s="3">
        <v>45438</v>
      </c>
      <c r="G620" s="3">
        <v>45648</v>
      </c>
      <c r="H620" s="2">
        <v>14</v>
      </c>
      <c r="I620" s="1">
        <v>2593.7800000000002</v>
      </c>
      <c r="J620" s="1">
        <v>185.27</v>
      </c>
      <c r="K620" t="s">
        <v>35</v>
      </c>
      <c r="L620" t="s">
        <v>30</v>
      </c>
      <c r="M620" s="2">
        <v>9</v>
      </c>
      <c r="N620" t="s">
        <v>21</v>
      </c>
    </row>
    <row r="621" spans="1:14" x14ac:dyDescent="0.3">
      <c r="A621" t="s">
        <v>657</v>
      </c>
      <c r="B621" s="2">
        <v>37</v>
      </c>
      <c r="C621" t="s">
        <v>23</v>
      </c>
      <c r="D621" t="s">
        <v>61</v>
      </c>
      <c r="E621" t="s">
        <v>29</v>
      </c>
      <c r="F621" s="3">
        <v>45586</v>
      </c>
      <c r="G621" s="3">
        <v>45819</v>
      </c>
      <c r="H621" s="2">
        <v>12</v>
      </c>
      <c r="I621" s="1">
        <v>2593.08</v>
      </c>
      <c r="J621" s="1">
        <v>216.09</v>
      </c>
      <c r="K621" t="s">
        <v>35</v>
      </c>
      <c r="L621" t="s">
        <v>30</v>
      </c>
      <c r="M621" s="2">
        <v>3</v>
      </c>
      <c r="N621" t="s">
        <v>21</v>
      </c>
    </row>
    <row r="622" spans="1:14" x14ac:dyDescent="0.3">
      <c r="A622" t="s">
        <v>658</v>
      </c>
      <c r="B622" s="2">
        <v>65</v>
      </c>
      <c r="C622" t="s">
        <v>16</v>
      </c>
      <c r="D622" t="s">
        <v>44</v>
      </c>
      <c r="E622" t="s">
        <v>18</v>
      </c>
      <c r="F622" s="3">
        <v>45983</v>
      </c>
      <c r="G622" s="3">
        <v>46092</v>
      </c>
      <c r="H622" s="2">
        <v>17</v>
      </c>
      <c r="I622" s="1">
        <v>2592.33</v>
      </c>
      <c r="J622" s="1">
        <v>152.49</v>
      </c>
      <c r="K622" t="s">
        <v>45</v>
      </c>
      <c r="L622" t="s">
        <v>20</v>
      </c>
      <c r="M622" s="2">
        <v>10</v>
      </c>
      <c r="N622" t="s">
        <v>21</v>
      </c>
    </row>
    <row r="623" spans="1:14" x14ac:dyDescent="0.3">
      <c r="A623" t="s">
        <v>659</v>
      </c>
      <c r="B623" s="2">
        <v>20</v>
      </c>
      <c r="C623" t="s">
        <v>23</v>
      </c>
      <c r="D623" t="s">
        <v>50</v>
      </c>
      <c r="E623" t="s">
        <v>18</v>
      </c>
      <c r="F623" s="3">
        <v>45688</v>
      </c>
      <c r="G623" s="3">
        <v>45852</v>
      </c>
      <c r="H623" s="2">
        <v>21</v>
      </c>
      <c r="I623" s="1">
        <v>2588.88</v>
      </c>
      <c r="J623" s="1">
        <v>123.28</v>
      </c>
      <c r="K623" t="s">
        <v>19</v>
      </c>
      <c r="L623" t="s">
        <v>26</v>
      </c>
      <c r="M623" s="2">
        <v>1</v>
      </c>
      <c r="N623" t="s">
        <v>21</v>
      </c>
    </row>
    <row r="624" spans="1:14" x14ac:dyDescent="0.3">
      <c r="A624" t="s">
        <v>660</v>
      </c>
      <c r="B624" s="2">
        <v>35</v>
      </c>
      <c r="C624" t="s">
        <v>16</v>
      </c>
      <c r="D624" t="s">
        <v>50</v>
      </c>
      <c r="E624" t="s">
        <v>29</v>
      </c>
      <c r="F624" s="3">
        <v>45829</v>
      </c>
      <c r="G624" s="3">
        <v>45961</v>
      </c>
      <c r="H624" s="2">
        <v>10</v>
      </c>
      <c r="I624" s="1">
        <v>2586.9</v>
      </c>
      <c r="J624" s="1">
        <v>258.69</v>
      </c>
      <c r="K624" t="s">
        <v>39</v>
      </c>
      <c r="L624" t="s">
        <v>20</v>
      </c>
      <c r="M624" s="2">
        <v>4</v>
      </c>
      <c r="N624" t="s">
        <v>21</v>
      </c>
    </row>
    <row r="625" spans="1:14" x14ac:dyDescent="0.3">
      <c r="A625" t="s">
        <v>661</v>
      </c>
      <c r="B625" s="2">
        <v>18</v>
      </c>
      <c r="C625" t="s">
        <v>23</v>
      </c>
      <c r="D625" t="s">
        <v>17</v>
      </c>
      <c r="E625" t="s">
        <v>38</v>
      </c>
      <c r="F625" s="3">
        <v>45564</v>
      </c>
      <c r="G625" s="3">
        <v>45641</v>
      </c>
      <c r="H625" s="2">
        <v>23</v>
      </c>
      <c r="I625" s="1">
        <v>2584.0500000000002</v>
      </c>
      <c r="J625" s="1">
        <v>112.35</v>
      </c>
      <c r="K625" t="s">
        <v>35</v>
      </c>
      <c r="L625" t="s">
        <v>20</v>
      </c>
      <c r="M625" s="2">
        <v>2</v>
      </c>
      <c r="N625" t="s">
        <v>21</v>
      </c>
    </row>
    <row r="626" spans="1:14" x14ac:dyDescent="0.3">
      <c r="A626" t="s">
        <v>662</v>
      </c>
      <c r="B626" s="2">
        <v>26</v>
      </c>
      <c r="C626" t="s">
        <v>16</v>
      </c>
      <c r="D626" t="s">
        <v>28</v>
      </c>
      <c r="E626" t="s">
        <v>29</v>
      </c>
      <c r="F626" s="3">
        <v>45611</v>
      </c>
      <c r="G626" s="3">
        <v>45779</v>
      </c>
      <c r="H626" s="2">
        <v>15</v>
      </c>
      <c r="I626" s="1">
        <v>2577.4499999999998</v>
      </c>
      <c r="J626" s="1">
        <v>171.83</v>
      </c>
      <c r="K626" t="s">
        <v>45</v>
      </c>
      <c r="L626" t="s">
        <v>20</v>
      </c>
      <c r="M626" s="2">
        <v>9</v>
      </c>
      <c r="N626" t="s">
        <v>21</v>
      </c>
    </row>
    <row r="627" spans="1:14" x14ac:dyDescent="0.3">
      <c r="A627" t="s">
        <v>663</v>
      </c>
      <c r="B627" s="2">
        <v>41</v>
      </c>
      <c r="C627" t="s">
        <v>16</v>
      </c>
      <c r="D627" t="s">
        <v>44</v>
      </c>
      <c r="E627" t="s">
        <v>34</v>
      </c>
      <c r="F627" s="3">
        <v>45865</v>
      </c>
      <c r="G627" s="3">
        <v>46082</v>
      </c>
      <c r="H627" s="2">
        <v>14</v>
      </c>
      <c r="I627" s="1">
        <v>2574.04</v>
      </c>
      <c r="J627" s="1">
        <v>183.86</v>
      </c>
      <c r="K627" t="s">
        <v>19</v>
      </c>
      <c r="L627" t="s">
        <v>20</v>
      </c>
      <c r="M627" s="2">
        <v>1</v>
      </c>
      <c r="N627" t="s">
        <v>21</v>
      </c>
    </row>
    <row r="628" spans="1:14" x14ac:dyDescent="0.3">
      <c r="A628" t="s">
        <v>664</v>
      </c>
      <c r="B628" s="2">
        <v>40</v>
      </c>
      <c r="C628" t="s">
        <v>23</v>
      </c>
      <c r="D628" t="s">
        <v>24</v>
      </c>
      <c r="E628" t="s">
        <v>38</v>
      </c>
      <c r="F628" s="3">
        <v>45316</v>
      </c>
      <c r="G628" s="3">
        <v>45384</v>
      </c>
      <c r="H628" s="2">
        <v>9</v>
      </c>
      <c r="I628" s="1">
        <v>2569.0500000000002</v>
      </c>
      <c r="J628" s="1">
        <v>285.45</v>
      </c>
      <c r="K628" t="s">
        <v>39</v>
      </c>
      <c r="L628" t="s">
        <v>30</v>
      </c>
      <c r="M628" s="2">
        <v>2</v>
      </c>
      <c r="N628" t="s">
        <v>21</v>
      </c>
    </row>
    <row r="629" spans="1:14" x14ac:dyDescent="0.3">
      <c r="A629" t="s">
        <v>665</v>
      </c>
      <c r="B629" s="2">
        <v>26</v>
      </c>
      <c r="C629" t="s">
        <v>16</v>
      </c>
      <c r="D629" t="s">
        <v>44</v>
      </c>
      <c r="E629" t="s">
        <v>29</v>
      </c>
      <c r="F629" s="3">
        <v>45337</v>
      </c>
      <c r="G629" s="3">
        <v>45460</v>
      </c>
      <c r="H629" s="2">
        <v>16</v>
      </c>
      <c r="I629" s="1">
        <v>2564.3200000000002</v>
      </c>
      <c r="J629" s="1">
        <v>160.27000000000001</v>
      </c>
      <c r="K629" t="s">
        <v>19</v>
      </c>
      <c r="L629" t="s">
        <v>26</v>
      </c>
      <c r="M629" s="2">
        <v>5</v>
      </c>
      <c r="N629" t="s">
        <v>21</v>
      </c>
    </row>
    <row r="630" spans="1:14" x14ac:dyDescent="0.3">
      <c r="A630" t="s">
        <v>666</v>
      </c>
      <c r="B630" s="2">
        <v>40</v>
      </c>
      <c r="C630" t="s">
        <v>16</v>
      </c>
      <c r="D630" t="s">
        <v>24</v>
      </c>
      <c r="E630" t="s">
        <v>18</v>
      </c>
      <c r="F630" s="3">
        <v>45347</v>
      </c>
      <c r="G630" s="3">
        <v>45402</v>
      </c>
      <c r="H630" s="2">
        <v>13</v>
      </c>
      <c r="I630" s="1">
        <v>2562.69</v>
      </c>
      <c r="J630" s="1">
        <v>197.13</v>
      </c>
      <c r="K630" t="s">
        <v>35</v>
      </c>
      <c r="L630" t="s">
        <v>30</v>
      </c>
      <c r="M630" s="2">
        <v>3</v>
      </c>
      <c r="N630" t="s">
        <v>21</v>
      </c>
    </row>
    <row r="631" spans="1:14" x14ac:dyDescent="0.3">
      <c r="A631" t="s">
        <v>667</v>
      </c>
      <c r="B631" s="2">
        <v>33</v>
      </c>
      <c r="C631" t="s">
        <v>23</v>
      </c>
      <c r="D631" t="s">
        <v>17</v>
      </c>
      <c r="E631" t="s">
        <v>18</v>
      </c>
      <c r="F631" s="3">
        <v>45551</v>
      </c>
      <c r="G631" s="3">
        <v>45734</v>
      </c>
      <c r="H631" s="2">
        <v>22</v>
      </c>
      <c r="I631" s="1">
        <v>2559.2600000000002</v>
      </c>
      <c r="J631" s="1">
        <v>116.33</v>
      </c>
      <c r="K631" t="s">
        <v>45</v>
      </c>
      <c r="L631" t="s">
        <v>26</v>
      </c>
      <c r="M631" s="2">
        <v>5</v>
      </c>
      <c r="N631" t="s">
        <v>21</v>
      </c>
    </row>
    <row r="632" spans="1:14" x14ac:dyDescent="0.3">
      <c r="A632" t="s">
        <v>668</v>
      </c>
      <c r="B632" s="2">
        <v>46</v>
      </c>
      <c r="C632" t="s">
        <v>16</v>
      </c>
      <c r="D632" t="s">
        <v>61</v>
      </c>
      <c r="E632" t="s">
        <v>29</v>
      </c>
      <c r="F632" s="3">
        <v>45707</v>
      </c>
      <c r="G632" s="3">
        <v>45846</v>
      </c>
      <c r="H632" s="2">
        <v>18</v>
      </c>
      <c r="I632" s="1">
        <v>2554.56</v>
      </c>
      <c r="J632" s="1">
        <v>141.91999999999999</v>
      </c>
      <c r="K632" t="s">
        <v>45</v>
      </c>
      <c r="L632" t="s">
        <v>26</v>
      </c>
      <c r="M632" s="2">
        <v>9</v>
      </c>
      <c r="N632" t="s">
        <v>21</v>
      </c>
    </row>
    <row r="633" spans="1:14" x14ac:dyDescent="0.3">
      <c r="A633" t="s">
        <v>669</v>
      </c>
      <c r="B633" s="2">
        <v>42</v>
      </c>
      <c r="C633" t="s">
        <v>23</v>
      </c>
      <c r="D633" t="s">
        <v>17</v>
      </c>
      <c r="E633" t="s">
        <v>18</v>
      </c>
      <c r="F633" s="3">
        <v>45741</v>
      </c>
      <c r="G633" s="3">
        <v>45991</v>
      </c>
      <c r="H633" s="2">
        <v>23</v>
      </c>
      <c r="I633" s="1">
        <v>2552.31</v>
      </c>
      <c r="J633" s="1">
        <v>110.97</v>
      </c>
      <c r="K633" t="s">
        <v>19</v>
      </c>
      <c r="L633" t="s">
        <v>20</v>
      </c>
      <c r="M633" s="2">
        <v>7</v>
      </c>
      <c r="N633" t="s">
        <v>21</v>
      </c>
    </row>
    <row r="634" spans="1:14" x14ac:dyDescent="0.3">
      <c r="A634" t="s">
        <v>670</v>
      </c>
      <c r="B634" s="2">
        <v>39</v>
      </c>
      <c r="C634" t="s">
        <v>16</v>
      </c>
      <c r="D634" t="s">
        <v>61</v>
      </c>
      <c r="E634" t="s">
        <v>18</v>
      </c>
      <c r="F634" s="3">
        <v>45881</v>
      </c>
      <c r="G634" s="3">
        <v>46012</v>
      </c>
      <c r="H634" s="2">
        <v>13</v>
      </c>
      <c r="I634" s="1">
        <v>2549.9499999999998</v>
      </c>
      <c r="J634" s="1">
        <v>196.15</v>
      </c>
      <c r="K634" t="s">
        <v>39</v>
      </c>
      <c r="L634" t="s">
        <v>30</v>
      </c>
      <c r="M634" s="2">
        <v>1</v>
      </c>
      <c r="N634" t="s">
        <v>21</v>
      </c>
    </row>
    <row r="635" spans="1:14" x14ac:dyDescent="0.3">
      <c r="A635" t="s">
        <v>671</v>
      </c>
      <c r="B635" s="2">
        <v>43</v>
      </c>
      <c r="C635" t="s">
        <v>23</v>
      </c>
      <c r="D635" t="s">
        <v>61</v>
      </c>
      <c r="E635" t="s">
        <v>38</v>
      </c>
      <c r="F635" s="3">
        <v>45484</v>
      </c>
      <c r="G635" s="3">
        <v>45579</v>
      </c>
      <c r="H635" s="2">
        <v>11</v>
      </c>
      <c r="I635" s="1">
        <v>2549.36</v>
      </c>
      <c r="J635" s="1">
        <v>231.76</v>
      </c>
      <c r="K635" t="s">
        <v>19</v>
      </c>
      <c r="L635" t="s">
        <v>20</v>
      </c>
      <c r="M635" s="2">
        <v>5</v>
      </c>
      <c r="N635" t="s">
        <v>21</v>
      </c>
    </row>
    <row r="636" spans="1:14" x14ac:dyDescent="0.3">
      <c r="A636" t="s">
        <v>672</v>
      </c>
      <c r="B636" s="2">
        <v>44</v>
      </c>
      <c r="C636" t="s">
        <v>16</v>
      </c>
      <c r="D636" t="s">
        <v>24</v>
      </c>
      <c r="E636" t="s">
        <v>38</v>
      </c>
      <c r="F636" s="3">
        <v>45966</v>
      </c>
      <c r="G636" s="3">
        <v>46101</v>
      </c>
      <c r="H636" s="2">
        <v>10</v>
      </c>
      <c r="I636" s="1">
        <v>2547.8000000000002</v>
      </c>
      <c r="J636" s="1">
        <v>254.78</v>
      </c>
      <c r="K636" t="s">
        <v>39</v>
      </c>
      <c r="L636" t="s">
        <v>30</v>
      </c>
      <c r="M636" s="2">
        <v>1</v>
      </c>
      <c r="N636" t="s">
        <v>21</v>
      </c>
    </row>
    <row r="637" spans="1:14" x14ac:dyDescent="0.3">
      <c r="A637" t="s">
        <v>673</v>
      </c>
      <c r="B637" s="2">
        <v>58</v>
      </c>
      <c r="C637" t="s">
        <v>16</v>
      </c>
      <c r="D637" t="s">
        <v>17</v>
      </c>
      <c r="E637" t="s">
        <v>38</v>
      </c>
      <c r="F637" s="3">
        <v>45832</v>
      </c>
      <c r="G637" s="3">
        <v>45951</v>
      </c>
      <c r="H637" s="2">
        <v>18</v>
      </c>
      <c r="I637" s="1">
        <v>2544.66</v>
      </c>
      <c r="J637" s="1">
        <v>141.37</v>
      </c>
      <c r="K637" t="s">
        <v>19</v>
      </c>
      <c r="L637" t="s">
        <v>30</v>
      </c>
      <c r="M637" s="2">
        <v>6</v>
      </c>
      <c r="N637" t="s">
        <v>21</v>
      </c>
    </row>
    <row r="638" spans="1:14" x14ac:dyDescent="0.3">
      <c r="A638" t="s">
        <v>674</v>
      </c>
      <c r="B638" s="2">
        <v>37</v>
      </c>
      <c r="C638" t="s">
        <v>23</v>
      </c>
      <c r="D638" t="s">
        <v>61</v>
      </c>
      <c r="E638" t="s">
        <v>38</v>
      </c>
      <c r="F638" s="3">
        <v>45957</v>
      </c>
      <c r="G638" s="3">
        <v>46131</v>
      </c>
      <c r="H638" s="2">
        <v>10</v>
      </c>
      <c r="I638" s="1">
        <v>2541.6999999999998</v>
      </c>
      <c r="J638" s="1">
        <v>254.17</v>
      </c>
      <c r="K638" t="s">
        <v>35</v>
      </c>
      <c r="L638" t="s">
        <v>20</v>
      </c>
      <c r="M638" s="2">
        <v>10</v>
      </c>
      <c r="N638" t="s">
        <v>21</v>
      </c>
    </row>
    <row r="639" spans="1:14" x14ac:dyDescent="0.3">
      <c r="A639" t="s">
        <v>675</v>
      </c>
      <c r="B639" s="2">
        <v>64</v>
      </c>
      <c r="C639" t="s">
        <v>23</v>
      </c>
      <c r="D639" t="s">
        <v>44</v>
      </c>
      <c r="E639" t="s">
        <v>34</v>
      </c>
      <c r="F639" s="3">
        <v>45874</v>
      </c>
      <c r="G639" s="3">
        <v>46098</v>
      </c>
      <c r="H639" s="2">
        <v>12</v>
      </c>
      <c r="I639" s="1">
        <v>2536.92</v>
      </c>
      <c r="J639" s="1">
        <v>211.41</v>
      </c>
      <c r="K639" t="s">
        <v>25</v>
      </c>
      <c r="L639" t="s">
        <v>30</v>
      </c>
      <c r="M639" s="2">
        <v>9</v>
      </c>
      <c r="N639" t="s">
        <v>21</v>
      </c>
    </row>
    <row r="640" spans="1:14" x14ac:dyDescent="0.3">
      <c r="A640" t="s">
        <v>676</v>
      </c>
      <c r="B640" s="2">
        <v>29</v>
      </c>
      <c r="C640" t="s">
        <v>16</v>
      </c>
      <c r="D640" t="s">
        <v>28</v>
      </c>
      <c r="E640" t="s">
        <v>38</v>
      </c>
      <c r="F640" s="3">
        <v>45364</v>
      </c>
      <c r="G640" s="3">
        <v>45644</v>
      </c>
      <c r="H640" s="2">
        <v>20</v>
      </c>
      <c r="I640" s="1">
        <v>2535.8000000000002</v>
      </c>
      <c r="J640" s="1">
        <v>126.79</v>
      </c>
      <c r="K640" t="s">
        <v>39</v>
      </c>
      <c r="L640" t="s">
        <v>30</v>
      </c>
      <c r="M640" s="2">
        <v>4</v>
      </c>
      <c r="N640" t="s">
        <v>21</v>
      </c>
    </row>
    <row r="641" spans="1:14" x14ac:dyDescent="0.3">
      <c r="A641" t="s">
        <v>677</v>
      </c>
      <c r="B641" s="2">
        <v>43</v>
      </c>
      <c r="C641" t="s">
        <v>23</v>
      </c>
      <c r="D641" t="s">
        <v>61</v>
      </c>
      <c r="E641" t="s">
        <v>29</v>
      </c>
      <c r="F641" s="3">
        <v>45728</v>
      </c>
      <c r="G641" s="3">
        <v>46027</v>
      </c>
      <c r="H641" s="2">
        <v>24</v>
      </c>
      <c r="I641" s="1">
        <v>2534.64</v>
      </c>
      <c r="J641" s="1">
        <v>105.61</v>
      </c>
      <c r="K641" t="s">
        <v>39</v>
      </c>
      <c r="L641" t="s">
        <v>20</v>
      </c>
      <c r="M641" s="2">
        <v>3</v>
      </c>
      <c r="N641" t="s">
        <v>21</v>
      </c>
    </row>
    <row r="642" spans="1:14" x14ac:dyDescent="0.3">
      <c r="A642" t="s">
        <v>678</v>
      </c>
      <c r="B642" s="2">
        <v>33</v>
      </c>
      <c r="C642" t="s">
        <v>16</v>
      </c>
      <c r="D642" t="s">
        <v>42</v>
      </c>
      <c r="E642" t="s">
        <v>18</v>
      </c>
      <c r="F642" s="3">
        <v>45929</v>
      </c>
      <c r="G642" s="3">
        <v>46173</v>
      </c>
      <c r="H642" s="2">
        <v>24</v>
      </c>
      <c r="I642" s="1">
        <v>2531.7600000000002</v>
      </c>
      <c r="J642" s="1">
        <v>105.49</v>
      </c>
      <c r="K642" t="s">
        <v>25</v>
      </c>
      <c r="L642" t="s">
        <v>30</v>
      </c>
      <c r="M642" s="2">
        <v>6</v>
      </c>
      <c r="N642" t="s">
        <v>21</v>
      </c>
    </row>
    <row r="643" spans="1:14" x14ac:dyDescent="0.3">
      <c r="A643" t="s">
        <v>679</v>
      </c>
      <c r="B643" s="2">
        <v>45</v>
      </c>
      <c r="C643" t="s">
        <v>23</v>
      </c>
      <c r="D643" t="s">
        <v>42</v>
      </c>
      <c r="E643" t="s">
        <v>29</v>
      </c>
      <c r="F643" s="3">
        <v>45505</v>
      </c>
      <c r="G643" s="3">
        <v>45636</v>
      </c>
      <c r="H643" s="2">
        <v>10</v>
      </c>
      <c r="I643" s="1">
        <v>2531.1</v>
      </c>
      <c r="J643" s="1">
        <v>253.11</v>
      </c>
      <c r="K643" t="s">
        <v>25</v>
      </c>
      <c r="L643" t="s">
        <v>20</v>
      </c>
      <c r="M643" s="2">
        <v>9</v>
      </c>
      <c r="N643" t="s">
        <v>31</v>
      </c>
    </row>
    <row r="644" spans="1:14" x14ac:dyDescent="0.3">
      <c r="A644" t="s">
        <v>680</v>
      </c>
      <c r="B644" s="2">
        <v>42</v>
      </c>
      <c r="C644" t="s">
        <v>16</v>
      </c>
      <c r="D644" t="s">
        <v>24</v>
      </c>
      <c r="E644" t="s">
        <v>18</v>
      </c>
      <c r="F644" s="3">
        <v>45343</v>
      </c>
      <c r="G644" s="3">
        <v>45348</v>
      </c>
      <c r="H644" s="2">
        <v>9</v>
      </c>
      <c r="I644" s="1">
        <v>2523.96</v>
      </c>
      <c r="J644" s="1">
        <v>280.44</v>
      </c>
      <c r="K644" t="s">
        <v>45</v>
      </c>
      <c r="L644" t="s">
        <v>30</v>
      </c>
      <c r="M644" s="2">
        <v>4</v>
      </c>
      <c r="N644" t="s">
        <v>21</v>
      </c>
    </row>
    <row r="645" spans="1:14" x14ac:dyDescent="0.3">
      <c r="A645" t="s">
        <v>681</v>
      </c>
      <c r="B645" s="2">
        <v>40</v>
      </c>
      <c r="C645" t="s">
        <v>23</v>
      </c>
      <c r="D645" t="s">
        <v>50</v>
      </c>
      <c r="E645" t="s">
        <v>38</v>
      </c>
      <c r="F645" s="3">
        <v>45708</v>
      </c>
      <c r="G645" s="3">
        <v>45797</v>
      </c>
      <c r="H645" s="2">
        <v>19</v>
      </c>
      <c r="I645" s="1">
        <v>2517.5</v>
      </c>
      <c r="J645" s="1">
        <v>132.5</v>
      </c>
      <c r="K645" t="s">
        <v>19</v>
      </c>
      <c r="L645" t="s">
        <v>26</v>
      </c>
      <c r="M645" s="2">
        <v>6</v>
      </c>
      <c r="N645" t="s">
        <v>21</v>
      </c>
    </row>
    <row r="646" spans="1:14" x14ac:dyDescent="0.3">
      <c r="A646" t="s">
        <v>682</v>
      </c>
      <c r="B646" s="2">
        <v>42</v>
      </c>
      <c r="C646" t="s">
        <v>23</v>
      </c>
      <c r="D646" t="s">
        <v>44</v>
      </c>
      <c r="E646" t="s">
        <v>29</v>
      </c>
      <c r="F646" s="3">
        <v>45712</v>
      </c>
      <c r="G646" s="3">
        <v>45734</v>
      </c>
      <c r="H646" s="2">
        <v>11</v>
      </c>
      <c r="I646" s="1">
        <v>2513.7199999999998</v>
      </c>
      <c r="J646" s="1">
        <v>228.52</v>
      </c>
      <c r="K646" t="s">
        <v>35</v>
      </c>
      <c r="L646" t="s">
        <v>30</v>
      </c>
      <c r="M646" s="2">
        <v>3</v>
      </c>
      <c r="N646" t="s">
        <v>21</v>
      </c>
    </row>
    <row r="647" spans="1:14" x14ac:dyDescent="0.3">
      <c r="A647" t="s">
        <v>683</v>
      </c>
      <c r="B647" s="2">
        <v>43</v>
      </c>
      <c r="C647" t="s">
        <v>16</v>
      </c>
      <c r="D647" t="s">
        <v>50</v>
      </c>
      <c r="E647" t="s">
        <v>38</v>
      </c>
      <c r="F647" s="3">
        <v>45455</v>
      </c>
      <c r="G647" s="3">
        <v>45624</v>
      </c>
      <c r="H647" s="2">
        <v>18</v>
      </c>
      <c r="I647" s="1">
        <v>2508.84</v>
      </c>
      <c r="J647" s="1">
        <v>139.38</v>
      </c>
      <c r="K647" t="s">
        <v>35</v>
      </c>
      <c r="L647" t="s">
        <v>30</v>
      </c>
      <c r="M647" s="2">
        <v>10</v>
      </c>
      <c r="N647" t="s">
        <v>21</v>
      </c>
    </row>
    <row r="648" spans="1:14" x14ac:dyDescent="0.3">
      <c r="A648" t="s">
        <v>684</v>
      </c>
      <c r="B648" s="2">
        <v>64</v>
      </c>
      <c r="C648" t="s">
        <v>23</v>
      </c>
      <c r="D648" t="s">
        <v>61</v>
      </c>
      <c r="E648" t="s">
        <v>38</v>
      </c>
      <c r="F648" s="3">
        <v>45947</v>
      </c>
      <c r="G648" s="3">
        <v>46091</v>
      </c>
      <c r="H648" s="2">
        <v>20</v>
      </c>
      <c r="I648" s="1">
        <v>2507.4</v>
      </c>
      <c r="J648" s="1">
        <v>125.37</v>
      </c>
      <c r="K648" t="s">
        <v>39</v>
      </c>
      <c r="L648" t="s">
        <v>26</v>
      </c>
      <c r="M648" s="2">
        <v>8</v>
      </c>
      <c r="N648" t="s">
        <v>21</v>
      </c>
    </row>
    <row r="649" spans="1:14" x14ac:dyDescent="0.3">
      <c r="A649" t="s">
        <v>685</v>
      </c>
      <c r="B649" s="2">
        <v>28</v>
      </c>
      <c r="C649" t="s">
        <v>16</v>
      </c>
      <c r="D649" t="s">
        <v>24</v>
      </c>
      <c r="E649" t="s">
        <v>38</v>
      </c>
      <c r="F649" s="3">
        <v>45542</v>
      </c>
      <c r="G649" s="3">
        <v>45813</v>
      </c>
      <c r="H649" s="2">
        <v>14</v>
      </c>
      <c r="I649" s="1">
        <v>2498.44</v>
      </c>
      <c r="J649" s="1">
        <v>178.46</v>
      </c>
      <c r="K649" t="s">
        <v>19</v>
      </c>
      <c r="L649" t="s">
        <v>20</v>
      </c>
      <c r="M649" s="2">
        <v>4</v>
      </c>
      <c r="N649" t="s">
        <v>21</v>
      </c>
    </row>
    <row r="650" spans="1:14" x14ac:dyDescent="0.3">
      <c r="A650" t="s">
        <v>686</v>
      </c>
      <c r="B650" s="2">
        <v>22</v>
      </c>
      <c r="C650" t="s">
        <v>16</v>
      </c>
      <c r="D650" t="s">
        <v>50</v>
      </c>
      <c r="E650" t="s">
        <v>29</v>
      </c>
      <c r="F650" s="3">
        <v>45584</v>
      </c>
      <c r="G650" s="3">
        <v>45823</v>
      </c>
      <c r="H650" s="2">
        <v>11</v>
      </c>
      <c r="I650" s="1">
        <v>2498.4299999999998</v>
      </c>
      <c r="J650" s="1">
        <v>227.13</v>
      </c>
      <c r="K650" t="s">
        <v>25</v>
      </c>
      <c r="L650" t="s">
        <v>20</v>
      </c>
      <c r="M650" s="2">
        <v>8</v>
      </c>
      <c r="N650" t="s">
        <v>21</v>
      </c>
    </row>
    <row r="651" spans="1:14" x14ac:dyDescent="0.3">
      <c r="A651" t="s">
        <v>687</v>
      </c>
      <c r="B651" s="2">
        <v>35</v>
      </c>
      <c r="C651" t="s">
        <v>23</v>
      </c>
      <c r="D651" t="s">
        <v>28</v>
      </c>
      <c r="E651" t="s">
        <v>29</v>
      </c>
      <c r="F651" s="3">
        <v>45551</v>
      </c>
      <c r="G651" s="3">
        <v>45684</v>
      </c>
      <c r="H651" s="2">
        <v>18</v>
      </c>
      <c r="I651" s="1">
        <v>2494.8000000000002</v>
      </c>
      <c r="J651" s="1">
        <v>138.6</v>
      </c>
      <c r="K651" t="s">
        <v>35</v>
      </c>
      <c r="L651" t="s">
        <v>20</v>
      </c>
      <c r="M651" s="2">
        <v>9</v>
      </c>
      <c r="N651" t="s">
        <v>21</v>
      </c>
    </row>
    <row r="652" spans="1:14" x14ac:dyDescent="0.3">
      <c r="A652" t="s">
        <v>688</v>
      </c>
      <c r="B652" s="2">
        <v>52</v>
      </c>
      <c r="C652" t="s">
        <v>23</v>
      </c>
      <c r="D652" t="s">
        <v>61</v>
      </c>
      <c r="E652" t="s">
        <v>29</v>
      </c>
      <c r="F652" s="3">
        <v>45689</v>
      </c>
      <c r="G652" s="3">
        <v>45921</v>
      </c>
      <c r="H652" s="2">
        <v>12</v>
      </c>
      <c r="I652" s="1">
        <v>2492.88</v>
      </c>
      <c r="J652" s="1">
        <v>207.74</v>
      </c>
      <c r="K652" t="s">
        <v>35</v>
      </c>
      <c r="L652" t="s">
        <v>20</v>
      </c>
      <c r="M652" s="2">
        <v>2</v>
      </c>
      <c r="N652" t="s">
        <v>21</v>
      </c>
    </row>
    <row r="653" spans="1:14" x14ac:dyDescent="0.3">
      <c r="A653" t="s">
        <v>689</v>
      </c>
      <c r="B653" s="2">
        <v>50</v>
      </c>
      <c r="C653" t="s">
        <v>16</v>
      </c>
      <c r="D653" t="s">
        <v>17</v>
      </c>
      <c r="E653" t="s">
        <v>38</v>
      </c>
      <c r="F653" s="3">
        <v>45909</v>
      </c>
      <c r="G653" s="3">
        <v>45976</v>
      </c>
      <c r="H653" s="2">
        <v>12</v>
      </c>
      <c r="I653" s="1">
        <v>2476.1999999999998</v>
      </c>
      <c r="J653" s="1">
        <v>206.35</v>
      </c>
      <c r="K653" t="s">
        <v>35</v>
      </c>
      <c r="L653" t="s">
        <v>26</v>
      </c>
      <c r="M653" s="2">
        <v>5</v>
      </c>
      <c r="N653" t="s">
        <v>21</v>
      </c>
    </row>
    <row r="654" spans="1:14" x14ac:dyDescent="0.3">
      <c r="A654" t="s">
        <v>690</v>
      </c>
      <c r="B654" s="2">
        <v>56</v>
      </c>
      <c r="C654" t="s">
        <v>16</v>
      </c>
      <c r="D654" t="s">
        <v>24</v>
      </c>
      <c r="E654" t="s">
        <v>29</v>
      </c>
      <c r="F654" s="3">
        <v>45848</v>
      </c>
      <c r="G654" s="3">
        <v>46026</v>
      </c>
      <c r="H654" s="2">
        <v>11</v>
      </c>
      <c r="I654" s="1">
        <v>2475.77</v>
      </c>
      <c r="J654" s="1">
        <v>225.07</v>
      </c>
      <c r="K654" t="s">
        <v>35</v>
      </c>
      <c r="L654" t="s">
        <v>26</v>
      </c>
      <c r="M654" s="2">
        <v>5</v>
      </c>
      <c r="N654" t="s">
        <v>21</v>
      </c>
    </row>
    <row r="655" spans="1:14" x14ac:dyDescent="0.3">
      <c r="A655" t="s">
        <v>691</v>
      </c>
      <c r="B655" s="2">
        <v>26</v>
      </c>
      <c r="C655" t="s">
        <v>16</v>
      </c>
      <c r="D655" t="s">
        <v>28</v>
      </c>
      <c r="E655" t="s">
        <v>34</v>
      </c>
      <c r="F655" s="3">
        <v>45833</v>
      </c>
      <c r="G655" s="3">
        <v>45936</v>
      </c>
      <c r="H655" s="2">
        <v>13</v>
      </c>
      <c r="I655" s="1">
        <v>2472.86</v>
      </c>
      <c r="J655" s="1">
        <v>190.22</v>
      </c>
      <c r="K655" t="s">
        <v>25</v>
      </c>
      <c r="L655" t="s">
        <v>26</v>
      </c>
      <c r="M655" s="2">
        <v>9</v>
      </c>
      <c r="N655" t="s">
        <v>21</v>
      </c>
    </row>
    <row r="656" spans="1:14" x14ac:dyDescent="0.3">
      <c r="A656" t="s">
        <v>692</v>
      </c>
      <c r="B656" s="2">
        <v>42</v>
      </c>
      <c r="C656" t="s">
        <v>23</v>
      </c>
      <c r="D656" t="s">
        <v>44</v>
      </c>
      <c r="E656" t="s">
        <v>34</v>
      </c>
      <c r="F656" s="3">
        <v>45548</v>
      </c>
      <c r="G656" s="3">
        <v>45590</v>
      </c>
      <c r="H656" s="2">
        <v>12</v>
      </c>
      <c r="I656" s="1">
        <v>2472.7199999999998</v>
      </c>
      <c r="J656" s="1">
        <v>206.06</v>
      </c>
      <c r="K656" t="s">
        <v>25</v>
      </c>
      <c r="L656" t="s">
        <v>26</v>
      </c>
      <c r="M656" s="2">
        <v>2</v>
      </c>
      <c r="N656" t="s">
        <v>21</v>
      </c>
    </row>
    <row r="657" spans="1:14" x14ac:dyDescent="0.3">
      <c r="A657" t="s">
        <v>693</v>
      </c>
      <c r="B657" s="2">
        <v>24</v>
      </c>
      <c r="C657" t="s">
        <v>23</v>
      </c>
      <c r="D657" t="s">
        <v>42</v>
      </c>
      <c r="E657" t="s">
        <v>34</v>
      </c>
      <c r="F657" s="3">
        <v>45851</v>
      </c>
      <c r="G657" s="3">
        <v>45953</v>
      </c>
      <c r="H657" s="2">
        <v>16</v>
      </c>
      <c r="I657" s="1">
        <v>2472.48</v>
      </c>
      <c r="J657" s="1">
        <v>154.53</v>
      </c>
      <c r="K657" t="s">
        <v>35</v>
      </c>
      <c r="L657" t="s">
        <v>26</v>
      </c>
      <c r="M657" s="2">
        <v>2</v>
      </c>
      <c r="N657" t="s">
        <v>21</v>
      </c>
    </row>
    <row r="658" spans="1:14" x14ac:dyDescent="0.3">
      <c r="A658" t="s">
        <v>694</v>
      </c>
      <c r="B658" s="2">
        <v>60</v>
      </c>
      <c r="C658" t="s">
        <v>16</v>
      </c>
      <c r="D658" t="s">
        <v>24</v>
      </c>
      <c r="E658" t="s">
        <v>18</v>
      </c>
      <c r="F658" s="3">
        <v>45908</v>
      </c>
      <c r="G658" s="3">
        <v>45992</v>
      </c>
      <c r="H658" s="2">
        <v>16</v>
      </c>
      <c r="I658" s="1">
        <v>2471.1999999999998</v>
      </c>
      <c r="J658" s="1">
        <v>154.44999999999999</v>
      </c>
      <c r="K658" t="s">
        <v>39</v>
      </c>
      <c r="L658" t="s">
        <v>30</v>
      </c>
      <c r="M658" s="2">
        <v>10</v>
      </c>
      <c r="N658" t="s">
        <v>21</v>
      </c>
    </row>
    <row r="659" spans="1:14" x14ac:dyDescent="0.3">
      <c r="A659" t="s">
        <v>695</v>
      </c>
      <c r="B659" s="2">
        <v>25</v>
      </c>
      <c r="C659" t="s">
        <v>16</v>
      </c>
      <c r="D659" t="s">
        <v>28</v>
      </c>
      <c r="E659" t="s">
        <v>29</v>
      </c>
      <c r="F659" s="3">
        <v>45815</v>
      </c>
      <c r="G659" s="3">
        <v>45910</v>
      </c>
      <c r="H659" s="2">
        <v>13</v>
      </c>
      <c r="I659" s="1">
        <v>2470</v>
      </c>
      <c r="J659" s="1">
        <v>190</v>
      </c>
      <c r="K659" t="s">
        <v>35</v>
      </c>
      <c r="L659" t="s">
        <v>30</v>
      </c>
      <c r="M659" s="2">
        <v>2</v>
      </c>
      <c r="N659" t="s">
        <v>21</v>
      </c>
    </row>
    <row r="660" spans="1:14" x14ac:dyDescent="0.3">
      <c r="A660" t="s">
        <v>696</v>
      </c>
      <c r="B660" s="2">
        <v>41</v>
      </c>
      <c r="C660" t="s">
        <v>16</v>
      </c>
      <c r="D660" t="s">
        <v>42</v>
      </c>
      <c r="E660" t="s">
        <v>18</v>
      </c>
      <c r="F660" s="3">
        <v>45973</v>
      </c>
      <c r="G660" s="3">
        <v>46148</v>
      </c>
      <c r="H660" s="2">
        <v>14</v>
      </c>
      <c r="I660" s="1">
        <v>2469.7399999999998</v>
      </c>
      <c r="J660" s="1">
        <v>176.41</v>
      </c>
      <c r="K660" t="s">
        <v>35</v>
      </c>
      <c r="L660" t="s">
        <v>30</v>
      </c>
      <c r="M660" s="2">
        <v>3</v>
      </c>
      <c r="N660" t="s">
        <v>21</v>
      </c>
    </row>
    <row r="661" spans="1:14" x14ac:dyDescent="0.3">
      <c r="A661" t="s">
        <v>697</v>
      </c>
      <c r="B661" s="2">
        <v>22</v>
      </c>
      <c r="C661" t="s">
        <v>16</v>
      </c>
      <c r="D661" t="s">
        <v>24</v>
      </c>
      <c r="E661" t="s">
        <v>29</v>
      </c>
      <c r="F661" s="3">
        <v>45545</v>
      </c>
      <c r="G661" s="3">
        <v>45586</v>
      </c>
      <c r="H661" s="2">
        <v>17</v>
      </c>
      <c r="I661" s="1">
        <v>2466.5300000000002</v>
      </c>
      <c r="J661" s="1">
        <v>145.09</v>
      </c>
      <c r="K661" t="s">
        <v>19</v>
      </c>
      <c r="L661" t="s">
        <v>20</v>
      </c>
      <c r="M661" s="2">
        <v>3</v>
      </c>
      <c r="N661" t="s">
        <v>21</v>
      </c>
    </row>
    <row r="662" spans="1:14" x14ac:dyDescent="0.3">
      <c r="A662" t="s">
        <v>698</v>
      </c>
      <c r="B662" s="2">
        <v>48</v>
      </c>
      <c r="C662" t="s">
        <v>23</v>
      </c>
      <c r="D662" t="s">
        <v>28</v>
      </c>
      <c r="E662" t="s">
        <v>29</v>
      </c>
      <c r="F662" s="3">
        <v>45516</v>
      </c>
      <c r="G662" s="3">
        <v>45531</v>
      </c>
      <c r="H662" s="2">
        <v>25</v>
      </c>
      <c r="I662" s="1">
        <v>2466.5</v>
      </c>
      <c r="J662" s="1">
        <v>98.66</v>
      </c>
      <c r="K662" t="s">
        <v>25</v>
      </c>
      <c r="L662" t="s">
        <v>30</v>
      </c>
      <c r="M662" s="2">
        <v>4</v>
      </c>
      <c r="N662" t="s">
        <v>21</v>
      </c>
    </row>
    <row r="663" spans="1:14" x14ac:dyDescent="0.3">
      <c r="A663" t="s">
        <v>699</v>
      </c>
      <c r="B663" s="2">
        <v>49</v>
      </c>
      <c r="C663" t="s">
        <v>16</v>
      </c>
      <c r="D663" t="s">
        <v>17</v>
      </c>
      <c r="E663" t="s">
        <v>34</v>
      </c>
      <c r="F663" s="3">
        <v>45515</v>
      </c>
      <c r="G663" s="3">
        <v>45597</v>
      </c>
      <c r="H663" s="2">
        <v>21</v>
      </c>
      <c r="I663" s="1">
        <v>2465.8200000000002</v>
      </c>
      <c r="J663" s="1">
        <v>117.42</v>
      </c>
      <c r="K663" t="s">
        <v>45</v>
      </c>
      <c r="L663" t="s">
        <v>30</v>
      </c>
      <c r="M663" s="2">
        <v>7</v>
      </c>
      <c r="N663" t="s">
        <v>31</v>
      </c>
    </row>
    <row r="664" spans="1:14" x14ac:dyDescent="0.3">
      <c r="A664" t="s">
        <v>700</v>
      </c>
      <c r="B664" s="2">
        <v>41</v>
      </c>
      <c r="C664" t="s">
        <v>23</v>
      </c>
      <c r="D664" t="s">
        <v>24</v>
      </c>
      <c r="E664" t="s">
        <v>34</v>
      </c>
      <c r="F664" s="3">
        <v>45410</v>
      </c>
      <c r="G664" s="3">
        <v>45410</v>
      </c>
      <c r="H664" s="2">
        <v>21</v>
      </c>
      <c r="I664" s="1">
        <v>2463.09</v>
      </c>
      <c r="J664" s="1">
        <v>117.29</v>
      </c>
      <c r="K664" t="s">
        <v>25</v>
      </c>
      <c r="L664" t="s">
        <v>26</v>
      </c>
      <c r="M664" s="2">
        <v>10</v>
      </c>
      <c r="N664" t="s">
        <v>21</v>
      </c>
    </row>
    <row r="665" spans="1:14" x14ac:dyDescent="0.3">
      <c r="A665" t="s">
        <v>701</v>
      </c>
      <c r="B665" s="2">
        <v>38</v>
      </c>
      <c r="C665" t="s">
        <v>23</v>
      </c>
      <c r="D665" t="s">
        <v>42</v>
      </c>
      <c r="E665" t="s">
        <v>38</v>
      </c>
      <c r="F665" s="3">
        <v>45440</v>
      </c>
      <c r="G665" s="3">
        <v>45596</v>
      </c>
      <c r="H665" s="2">
        <v>11</v>
      </c>
      <c r="I665" s="1">
        <v>2458.2800000000002</v>
      </c>
      <c r="J665" s="1">
        <v>223.48</v>
      </c>
      <c r="K665" t="s">
        <v>19</v>
      </c>
      <c r="L665" t="s">
        <v>26</v>
      </c>
      <c r="M665" s="2">
        <v>7</v>
      </c>
      <c r="N665" t="s">
        <v>21</v>
      </c>
    </row>
    <row r="666" spans="1:14" x14ac:dyDescent="0.3">
      <c r="A666" t="s">
        <v>702</v>
      </c>
      <c r="B666" s="2">
        <v>47</v>
      </c>
      <c r="C666" t="s">
        <v>23</v>
      </c>
      <c r="D666" t="s">
        <v>44</v>
      </c>
      <c r="E666" t="s">
        <v>38</v>
      </c>
      <c r="F666" s="3">
        <v>45899</v>
      </c>
      <c r="G666" s="3">
        <v>45913</v>
      </c>
      <c r="H666" s="2">
        <v>17</v>
      </c>
      <c r="I666" s="1">
        <v>2455.48</v>
      </c>
      <c r="J666" s="1">
        <v>144.44</v>
      </c>
      <c r="K666" t="s">
        <v>19</v>
      </c>
      <c r="L666" t="s">
        <v>20</v>
      </c>
      <c r="M666" s="2">
        <v>1</v>
      </c>
      <c r="N666" t="s">
        <v>21</v>
      </c>
    </row>
    <row r="667" spans="1:14" x14ac:dyDescent="0.3">
      <c r="A667" t="s">
        <v>703</v>
      </c>
      <c r="B667" s="2">
        <v>46</v>
      </c>
      <c r="C667" t="s">
        <v>23</v>
      </c>
      <c r="D667" t="s">
        <v>61</v>
      </c>
      <c r="E667" t="s">
        <v>38</v>
      </c>
      <c r="F667" s="3">
        <v>45658</v>
      </c>
      <c r="G667" s="3">
        <v>45726</v>
      </c>
      <c r="H667" s="2">
        <v>9</v>
      </c>
      <c r="I667" s="1">
        <v>2444.67</v>
      </c>
      <c r="J667" s="1">
        <v>271.63</v>
      </c>
      <c r="K667" t="s">
        <v>25</v>
      </c>
      <c r="L667" t="s">
        <v>20</v>
      </c>
      <c r="M667" s="2">
        <v>3</v>
      </c>
      <c r="N667" t="s">
        <v>21</v>
      </c>
    </row>
    <row r="668" spans="1:14" x14ac:dyDescent="0.3">
      <c r="A668" t="s">
        <v>704</v>
      </c>
      <c r="B668" s="2">
        <v>63</v>
      </c>
      <c r="C668" t="s">
        <v>23</v>
      </c>
      <c r="D668" t="s">
        <v>24</v>
      </c>
      <c r="E668" t="s">
        <v>38</v>
      </c>
      <c r="F668" s="3">
        <v>45460</v>
      </c>
      <c r="G668" s="3">
        <v>45627</v>
      </c>
      <c r="H668" s="2">
        <v>17</v>
      </c>
      <c r="I668" s="1">
        <v>2443.2399999999998</v>
      </c>
      <c r="J668" s="1">
        <v>143.72</v>
      </c>
      <c r="K668" t="s">
        <v>39</v>
      </c>
      <c r="L668" t="s">
        <v>26</v>
      </c>
      <c r="M668" s="2">
        <v>3</v>
      </c>
      <c r="N668" t="s">
        <v>21</v>
      </c>
    </row>
    <row r="669" spans="1:14" x14ac:dyDescent="0.3">
      <c r="A669" t="s">
        <v>705</v>
      </c>
      <c r="B669" s="2">
        <v>46</v>
      </c>
      <c r="C669" t="s">
        <v>23</v>
      </c>
      <c r="D669" t="s">
        <v>42</v>
      </c>
      <c r="E669" t="s">
        <v>29</v>
      </c>
      <c r="F669" s="3">
        <v>45727</v>
      </c>
      <c r="G669" s="3">
        <v>45819</v>
      </c>
      <c r="H669" s="2">
        <v>15</v>
      </c>
      <c r="I669" s="1">
        <v>2439.6</v>
      </c>
      <c r="J669" s="1">
        <v>162.63999999999999</v>
      </c>
      <c r="K669" t="s">
        <v>25</v>
      </c>
      <c r="L669" t="s">
        <v>26</v>
      </c>
      <c r="M669" s="2">
        <v>10</v>
      </c>
      <c r="N669" t="s">
        <v>21</v>
      </c>
    </row>
    <row r="670" spans="1:14" x14ac:dyDescent="0.3">
      <c r="A670" t="s">
        <v>706</v>
      </c>
      <c r="B670" s="2">
        <v>54</v>
      </c>
      <c r="C670" t="s">
        <v>23</v>
      </c>
      <c r="D670" t="s">
        <v>50</v>
      </c>
      <c r="E670" t="s">
        <v>34</v>
      </c>
      <c r="F670" s="3">
        <v>45775</v>
      </c>
      <c r="G670" s="3">
        <v>46043</v>
      </c>
      <c r="H670" s="2">
        <v>17</v>
      </c>
      <c r="I670" s="1">
        <v>2439.16</v>
      </c>
      <c r="J670" s="1">
        <v>143.47999999999999</v>
      </c>
      <c r="K670" t="s">
        <v>25</v>
      </c>
      <c r="L670" t="s">
        <v>26</v>
      </c>
      <c r="M670" s="2">
        <v>4</v>
      </c>
      <c r="N670" t="s">
        <v>21</v>
      </c>
    </row>
    <row r="671" spans="1:14" x14ac:dyDescent="0.3">
      <c r="A671" t="s">
        <v>707</v>
      </c>
      <c r="B671" s="2">
        <v>55</v>
      </c>
      <c r="C671" t="s">
        <v>16</v>
      </c>
      <c r="D671" t="s">
        <v>17</v>
      </c>
      <c r="E671" t="s">
        <v>34</v>
      </c>
      <c r="F671" s="3">
        <v>45761</v>
      </c>
      <c r="G671" s="3">
        <v>46026</v>
      </c>
      <c r="H671" s="2">
        <v>21</v>
      </c>
      <c r="I671" s="1">
        <v>2438.94</v>
      </c>
      <c r="J671" s="1">
        <v>116.14</v>
      </c>
      <c r="K671" t="s">
        <v>19</v>
      </c>
      <c r="L671" t="s">
        <v>20</v>
      </c>
      <c r="M671" s="2">
        <v>1</v>
      </c>
      <c r="N671" t="s">
        <v>21</v>
      </c>
    </row>
    <row r="672" spans="1:14" x14ac:dyDescent="0.3">
      <c r="A672" t="s">
        <v>708</v>
      </c>
      <c r="B672" s="2">
        <v>49</v>
      </c>
      <c r="C672" t="s">
        <v>23</v>
      </c>
      <c r="D672" t="s">
        <v>28</v>
      </c>
      <c r="E672" t="s">
        <v>29</v>
      </c>
      <c r="F672" s="3">
        <v>45437</v>
      </c>
      <c r="G672" s="3">
        <v>45581</v>
      </c>
      <c r="H672" s="2">
        <v>9</v>
      </c>
      <c r="I672" s="1">
        <v>2434.41</v>
      </c>
      <c r="J672" s="1">
        <v>270.49</v>
      </c>
      <c r="K672" t="s">
        <v>35</v>
      </c>
      <c r="L672" t="s">
        <v>30</v>
      </c>
      <c r="M672" s="2">
        <v>8</v>
      </c>
      <c r="N672" t="s">
        <v>31</v>
      </c>
    </row>
    <row r="673" spans="1:14" x14ac:dyDescent="0.3">
      <c r="A673" t="s">
        <v>709</v>
      </c>
      <c r="B673" s="2">
        <v>62</v>
      </c>
      <c r="C673" t="s">
        <v>16</v>
      </c>
      <c r="D673" t="s">
        <v>61</v>
      </c>
      <c r="E673" t="s">
        <v>38</v>
      </c>
      <c r="F673" s="3">
        <v>45718</v>
      </c>
      <c r="G673" s="3">
        <v>46016</v>
      </c>
      <c r="H673" s="2">
        <v>10</v>
      </c>
      <c r="I673" s="1">
        <v>2430.9</v>
      </c>
      <c r="J673" s="1">
        <v>243.09</v>
      </c>
      <c r="K673" t="s">
        <v>45</v>
      </c>
      <c r="L673" t="s">
        <v>20</v>
      </c>
      <c r="M673" s="2">
        <v>10</v>
      </c>
      <c r="N673" t="s">
        <v>21</v>
      </c>
    </row>
    <row r="674" spans="1:14" x14ac:dyDescent="0.3">
      <c r="A674" t="s">
        <v>710</v>
      </c>
      <c r="B674" s="2">
        <v>42</v>
      </c>
      <c r="C674" t="s">
        <v>16</v>
      </c>
      <c r="D674" t="s">
        <v>42</v>
      </c>
      <c r="E674" t="s">
        <v>29</v>
      </c>
      <c r="F674" s="3">
        <v>45334</v>
      </c>
      <c r="G674" s="3">
        <v>45464</v>
      </c>
      <c r="H674" s="2">
        <v>11</v>
      </c>
      <c r="I674" s="1">
        <v>2421.4299999999998</v>
      </c>
      <c r="J674" s="1">
        <v>220.13</v>
      </c>
      <c r="K674" t="s">
        <v>45</v>
      </c>
      <c r="L674" t="s">
        <v>20</v>
      </c>
      <c r="M674" s="2">
        <v>4</v>
      </c>
      <c r="N674" t="s">
        <v>21</v>
      </c>
    </row>
    <row r="675" spans="1:14" x14ac:dyDescent="0.3">
      <c r="A675" t="s">
        <v>711</v>
      </c>
      <c r="B675" s="2">
        <v>58</v>
      </c>
      <c r="C675" t="s">
        <v>16</v>
      </c>
      <c r="D675" t="s">
        <v>61</v>
      </c>
      <c r="E675" t="s">
        <v>29</v>
      </c>
      <c r="F675" s="3">
        <v>45902</v>
      </c>
      <c r="G675" s="3">
        <v>45972</v>
      </c>
      <c r="H675" s="2">
        <v>19</v>
      </c>
      <c r="I675" s="1">
        <v>2421.36</v>
      </c>
      <c r="J675" s="1">
        <v>127.44</v>
      </c>
      <c r="K675" t="s">
        <v>35</v>
      </c>
      <c r="L675" t="s">
        <v>26</v>
      </c>
      <c r="M675" s="2">
        <v>3</v>
      </c>
      <c r="N675" t="s">
        <v>21</v>
      </c>
    </row>
    <row r="676" spans="1:14" x14ac:dyDescent="0.3">
      <c r="A676" t="s">
        <v>712</v>
      </c>
      <c r="B676" s="2">
        <v>40</v>
      </c>
      <c r="C676" t="s">
        <v>23</v>
      </c>
      <c r="D676" t="s">
        <v>17</v>
      </c>
      <c r="E676" t="s">
        <v>29</v>
      </c>
      <c r="F676" s="3">
        <v>45347</v>
      </c>
      <c r="G676" s="3">
        <v>45393</v>
      </c>
      <c r="H676" s="2">
        <v>10</v>
      </c>
      <c r="I676" s="1">
        <v>2420</v>
      </c>
      <c r="J676" s="1">
        <v>242</v>
      </c>
      <c r="K676" t="s">
        <v>35</v>
      </c>
      <c r="L676" t="s">
        <v>30</v>
      </c>
      <c r="M676" s="2">
        <v>3</v>
      </c>
      <c r="N676" t="s">
        <v>31</v>
      </c>
    </row>
    <row r="677" spans="1:14" x14ac:dyDescent="0.3">
      <c r="A677" t="s">
        <v>713</v>
      </c>
      <c r="B677" s="2">
        <v>44</v>
      </c>
      <c r="C677" t="s">
        <v>23</v>
      </c>
      <c r="D677" t="s">
        <v>42</v>
      </c>
      <c r="E677" t="s">
        <v>34</v>
      </c>
      <c r="F677" s="3">
        <v>45454</v>
      </c>
      <c r="G677" s="3">
        <v>45659</v>
      </c>
      <c r="H677" s="2">
        <v>18</v>
      </c>
      <c r="I677" s="1">
        <v>2418.84</v>
      </c>
      <c r="J677" s="1">
        <v>134.38</v>
      </c>
      <c r="K677" t="s">
        <v>39</v>
      </c>
      <c r="L677" t="s">
        <v>20</v>
      </c>
      <c r="M677" s="2">
        <v>6</v>
      </c>
      <c r="N677" t="s">
        <v>21</v>
      </c>
    </row>
    <row r="678" spans="1:14" x14ac:dyDescent="0.3">
      <c r="A678" t="s">
        <v>714</v>
      </c>
      <c r="B678" s="2">
        <v>41</v>
      </c>
      <c r="C678" t="s">
        <v>16</v>
      </c>
      <c r="D678" t="s">
        <v>28</v>
      </c>
      <c r="E678" t="s">
        <v>34</v>
      </c>
      <c r="F678" s="3">
        <v>45425</v>
      </c>
      <c r="G678" s="3">
        <v>45691</v>
      </c>
      <c r="H678" s="2">
        <v>18</v>
      </c>
      <c r="I678" s="1">
        <v>2412.54</v>
      </c>
      <c r="J678" s="1">
        <v>134.03</v>
      </c>
      <c r="K678" t="s">
        <v>25</v>
      </c>
      <c r="L678" t="s">
        <v>26</v>
      </c>
      <c r="M678" s="2">
        <v>7</v>
      </c>
      <c r="N678" t="s">
        <v>21</v>
      </c>
    </row>
    <row r="679" spans="1:14" x14ac:dyDescent="0.3">
      <c r="A679" t="s">
        <v>715</v>
      </c>
      <c r="B679" s="2">
        <v>18</v>
      </c>
      <c r="C679" t="s">
        <v>23</v>
      </c>
      <c r="D679" t="s">
        <v>28</v>
      </c>
      <c r="E679" t="s">
        <v>38</v>
      </c>
      <c r="F679" s="3">
        <v>45972</v>
      </c>
      <c r="G679" s="3">
        <v>46162</v>
      </c>
      <c r="H679" s="2">
        <v>21</v>
      </c>
      <c r="I679" s="1">
        <v>2411.64</v>
      </c>
      <c r="J679" s="1">
        <v>114.84</v>
      </c>
      <c r="K679" t="s">
        <v>39</v>
      </c>
      <c r="L679" t="s">
        <v>30</v>
      </c>
      <c r="M679" s="2">
        <v>2</v>
      </c>
      <c r="N679" t="s">
        <v>21</v>
      </c>
    </row>
    <row r="680" spans="1:14" x14ac:dyDescent="0.3">
      <c r="A680" t="s">
        <v>716</v>
      </c>
      <c r="B680" s="2">
        <v>21</v>
      </c>
      <c r="C680" t="s">
        <v>23</v>
      </c>
      <c r="D680" t="s">
        <v>28</v>
      </c>
      <c r="E680" t="s">
        <v>29</v>
      </c>
      <c r="F680" s="3">
        <v>45485</v>
      </c>
      <c r="G680" s="3">
        <v>45759</v>
      </c>
      <c r="H680" s="2">
        <v>10</v>
      </c>
      <c r="I680" s="1">
        <v>2410.8000000000002</v>
      </c>
      <c r="J680" s="1">
        <v>241.08</v>
      </c>
      <c r="K680" t="s">
        <v>19</v>
      </c>
      <c r="L680" t="s">
        <v>20</v>
      </c>
      <c r="M680" s="2">
        <v>8</v>
      </c>
      <c r="N680" t="s">
        <v>21</v>
      </c>
    </row>
    <row r="681" spans="1:14" x14ac:dyDescent="0.3">
      <c r="A681" t="s">
        <v>717</v>
      </c>
      <c r="B681" s="2">
        <v>27</v>
      </c>
      <c r="C681" t="s">
        <v>23</v>
      </c>
      <c r="D681" t="s">
        <v>50</v>
      </c>
      <c r="E681" t="s">
        <v>18</v>
      </c>
      <c r="F681" s="3">
        <v>45412</v>
      </c>
      <c r="G681" s="3">
        <v>45675</v>
      </c>
      <c r="H681" s="2">
        <v>21</v>
      </c>
      <c r="I681" s="1">
        <v>2410.38</v>
      </c>
      <c r="J681" s="1">
        <v>114.78</v>
      </c>
      <c r="K681" t="s">
        <v>39</v>
      </c>
      <c r="L681" t="s">
        <v>30</v>
      </c>
      <c r="M681" s="2">
        <v>7</v>
      </c>
      <c r="N681" t="s">
        <v>21</v>
      </c>
    </row>
    <row r="682" spans="1:14" x14ac:dyDescent="0.3">
      <c r="A682" t="s">
        <v>718</v>
      </c>
      <c r="B682" s="2">
        <v>55</v>
      </c>
      <c r="C682" t="s">
        <v>23</v>
      </c>
      <c r="D682" t="s">
        <v>28</v>
      </c>
      <c r="E682" t="s">
        <v>29</v>
      </c>
      <c r="F682" s="3">
        <v>45481</v>
      </c>
      <c r="G682" s="3">
        <v>45635</v>
      </c>
      <c r="H682" s="2">
        <v>11</v>
      </c>
      <c r="I682" s="1">
        <v>2408.23</v>
      </c>
      <c r="J682" s="1">
        <v>218.93</v>
      </c>
      <c r="K682" t="s">
        <v>45</v>
      </c>
      <c r="L682" t="s">
        <v>26</v>
      </c>
      <c r="M682" s="2">
        <v>6</v>
      </c>
      <c r="N682" t="s">
        <v>21</v>
      </c>
    </row>
    <row r="683" spans="1:14" x14ac:dyDescent="0.3">
      <c r="A683" t="s">
        <v>719</v>
      </c>
      <c r="B683" s="2">
        <v>47</v>
      </c>
      <c r="C683" t="s">
        <v>23</v>
      </c>
      <c r="D683" t="s">
        <v>42</v>
      </c>
      <c r="E683" t="s">
        <v>18</v>
      </c>
      <c r="F683" s="3">
        <v>45543</v>
      </c>
      <c r="G683" s="3">
        <v>45587</v>
      </c>
      <c r="H683" s="2">
        <v>9</v>
      </c>
      <c r="I683" s="1">
        <v>2401.7399999999998</v>
      </c>
      <c r="J683" s="1">
        <v>266.86</v>
      </c>
      <c r="K683" t="s">
        <v>35</v>
      </c>
      <c r="L683" t="s">
        <v>26</v>
      </c>
      <c r="M683" s="2">
        <v>3</v>
      </c>
      <c r="N683" t="s">
        <v>21</v>
      </c>
    </row>
    <row r="684" spans="1:14" x14ac:dyDescent="0.3">
      <c r="A684" t="s">
        <v>720</v>
      </c>
      <c r="B684" s="2">
        <v>18</v>
      </c>
      <c r="C684" t="s">
        <v>23</v>
      </c>
      <c r="D684" t="s">
        <v>44</v>
      </c>
      <c r="E684" t="s">
        <v>29</v>
      </c>
      <c r="F684" s="3">
        <v>45350</v>
      </c>
      <c r="G684" s="3">
        <v>45393</v>
      </c>
      <c r="H684" s="2">
        <v>24</v>
      </c>
      <c r="I684" s="1">
        <v>2400.96</v>
      </c>
      <c r="J684" s="1">
        <v>100.04</v>
      </c>
      <c r="K684" t="s">
        <v>35</v>
      </c>
      <c r="L684" t="s">
        <v>26</v>
      </c>
      <c r="M684" s="2">
        <v>9</v>
      </c>
      <c r="N684" t="s">
        <v>21</v>
      </c>
    </row>
    <row r="685" spans="1:14" x14ac:dyDescent="0.3">
      <c r="A685" t="s">
        <v>721</v>
      </c>
      <c r="B685" s="2">
        <v>59</v>
      </c>
      <c r="C685" t="s">
        <v>23</v>
      </c>
      <c r="D685" t="s">
        <v>17</v>
      </c>
      <c r="E685" t="s">
        <v>18</v>
      </c>
      <c r="F685" s="3">
        <v>45959</v>
      </c>
      <c r="G685" s="3">
        <v>46112</v>
      </c>
      <c r="H685" s="2">
        <v>8</v>
      </c>
      <c r="I685" s="1">
        <v>2399.36</v>
      </c>
      <c r="J685" s="1">
        <v>299.92</v>
      </c>
      <c r="K685" t="s">
        <v>45</v>
      </c>
      <c r="L685" t="s">
        <v>20</v>
      </c>
      <c r="M685" s="2">
        <v>6</v>
      </c>
      <c r="N685" t="s">
        <v>31</v>
      </c>
    </row>
    <row r="686" spans="1:14" x14ac:dyDescent="0.3">
      <c r="A686" t="s">
        <v>722</v>
      </c>
      <c r="B686" s="2">
        <v>65</v>
      </c>
      <c r="C686" t="s">
        <v>16</v>
      </c>
      <c r="D686" t="s">
        <v>50</v>
      </c>
      <c r="E686" t="s">
        <v>38</v>
      </c>
      <c r="F686" s="3">
        <v>45823</v>
      </c>
      <c r="G686" s="3">
        <v>45951</v>
      </c>
      <c r="H686" s="2">
        <v>16</v>
      </c>
      <c r="I686" s="1">
        <v>2393.7600000000002</v>
      </c>
      <c r="J686" s="1">
        <v>149.61000000000001</v>
      </c>
      <c r="K686" t="s">
        <v>39</v>
      </c>
      <c r="L686" t="s">
        <v>26</v>
      </c>
      <c r="M686" s="2">
        <v>7</v>
      </c>
      <c r="N686" t="s">
        <v>21</v>
      </c>
    </row>
    <row r="687" spans="1:14" x14ac:dyDescent="0.3">
      <c r="A687" t="s">
        <v>723</v>
      </c>
      <c r="B687" s="2">
        <v>18</v>
      </c>
      <c r="C687" t="s">
        <v>23</v>
      </c>
      <c r="D687" t="s">
        <v>50</v>
      </c>
      <c r="E687" t="s">
        <v>29</v>
      </c>
      <c r="F687" s="3">
        <v>45551</v>
      </c>
      <c r="G687" s="3">
        <v>45557</v>
      </c>
      <c r="H687" s="2">
        <v>15</v>
      </c>
      <c r="I687" s="1">
        <v>2390.1</v>
      </c>
      <c r="J687" s="1">
        <v>159.34</v>
      </c>
      <c r="K687" t="s">
        <v>19</v>
      </c>
      <c r="L687" t="s">
        <v>20</v>
      </c>
      <c r="M687" s="2">
        <v>8</v>
      </c>
      <c r="N687" t="s">
        <v>21</v>
      </c>
    </row>
    <row r="688" spans="1:14" x14ac:dyDescent="0.3">
      <c r="A688" t="s">
        <v>724</v>
      </c>
      <c r="B688" s="2">
        <v>38</v>
      </c>
      <c r="C688" t="s">
        <v>16</v>
      </c>
      <c r="D688" t="s">
        <v>42</v>
      </c>
      <c r="E688" t="s">
        <v>34</v>
      </c>
      <c r="F688" s="3">
        <v>45746</v>
      </c>
      <c r="G688" s="3">
        <v>45831</v>
      </c>
      <c r="H688" s="2">
        <v>23</v>
      </c>
      <c r="I688" s="1">
        <v>2388.5500000000002</v>
      </c>
      <c r="J688" s="1">
        <v>103.85</v>
      </c>
      <c r="K688" t="s">
        <v>45</v>
      </c>
      <c r="L688" t="s">
        <v>26</v>
      </c>
      <c r="M688" s="2">
        <v>3</v>
      </c>
      <c r="N688" t="s">
        <v>31</v>
      </c>
    </row>
    <row r="689" spans="1:14" x14ac:dyDescent="0.3">
      <c r="A689" t="s">
        <v>725</v>
      </c>
      <c r="B689" s="2">
        <v>19</v>
      </c>
      <c r="C689" t="s">
        <v>16</v>
      </c>
      <c r="D689" t="s">
        <v>24</v>
      </c>
      <c r="E689" t="s">
        <v>29</v>
      </c>
      <c r="F689" s="3">
        <v>45651</v>
      </c>
      <c r="G689" s="3">
        <v>45763</v>
      </c>
      <c r="H689" s="2">
        <v>24</v>
      </c>
      <c r="I689" s="1">
        <v>2383.6799999999998</v>
      </c>
      <c r="J689" s="1">
        <v>99.32</v>
      </c>
      <c r="K689" t="s">
        <v>19</v>
      </c>
      <c r="L689" t="s">
        <v>20</v>
      </c>
      <c r="M689" s="2">
        <v>2</v>
      </c>
      <c r="N689" t="s">
        <v>21</v>
      </c>
    </row>
    <row r="690" spans="1:14" x14ac:dyDescent="0.3">
      <c r="A690" t="s">
        <v>726</v>
      </c>
      <c r="B690" s="2">
        <v>42</v>
      </c>
      <c r="C690" t="s">
        <v>23</v>
      </c>
      <c r="D690" t="s">
        <v>50</v>
      </c>
      <c r="E690" t="s">
        <v>29</v>
      </c>
      <c r="F690" s="3">
        <v>45838</v>
      </c>
      <c r="G690" s="3">
        <v>46120</v>
      </c>
      <c r="H690" s="2">
        <v>10</v>
      </c>
      <c r="I690" s="1">
        <v>2383.1</v>
      </c>
      <c r="J690" s="1">
        <v>238.31</v>
      </c>
      <c r="K690" t="s">
        <v>39</v>
      </c>
      <c r="L690" t="s">
        <v>20</v>
      </c>
      <c r="M690" s="2">
        <v>7</v>
      </c>
      <c r="N690" t="s">
        <v>21</v>
      </c>
    </row>
    <row r="691" spans="1:14" x14ac:dyDescent="0.3">
      <c r="A691" t="s">
        <v>727</v>
      </c>
      <c r="B691" s="2">
        <v>20</v>
      </c>
      <c r="C691" t="s">
        <v>23</v>
      </c>
      <c r="D691" t="s">
        <v>50</v>
      </c>
      <c r="E691" t="s">
        <v>18</v>
      </c>
      <c r="F691" s="3">
        <v>45436</v>
      </c>
      <c r="G691" s="3">
        <v>45445</v>
      </c>
      <c r="H691" s="2">
        <v>13</v>
      </c>
      <c r="I691" s="1">
        <v>2382.12</v>
      </c>
      <c r="J691" s="1">
        <v>183.24</v>
      </c>
      <c r="K691" t="s">
        <v>45</v>
      </c>
      <c r="L691" t="s">
        <v>30</v>
      </c>
      <c r="M691" s="2">
        <v>10</v>
      </c>
      <c r="N691" t="s">
        <v>21</v>
      </c>
    </row>
    <row r="692" spans="1:14" x14ac:dyDescent="0.3">
      <c r="A692" t="s">
        <v>728</v>
      </c>
      <c r="B692" s="2">
        <v>57</v>
      </c>
      <c r="C692" t="s">
        <v>16</v>
      </c>
      <c r="D692" t="s">
        <v>61</v>
      </c>
      <c r="E692" t="s">
        <v>34</v>
      </c>
      <c r="F692" s="3">
        <v>45599</v>
      </c>
      <c r="G692" s="3">
        <v>45647</v>
      </c>
      <c r="H692" s="2">
        <v>8</v>
      </c>
      <c r="I692" s="1">
        <v>2378.7199999999998</v>
      </c>
      <c r="J692" s="1">
        <v>297.33999999999997</v>
      </c>
      <c r="K692" t="s">
        <v>45</v>
      </c>
      <c r="L692" t="s">
        <v>30</v>
      </c>
      <c r="M692" s="2">
        <v>6</v>
      </c>
      <c r="N692" t="s">
        <v>21</v>
      </c>
    </row>
    <row r="693" spans="1:14" x14ac:dyDescent="0.3">
      <c r="A693" t="s">
        <v>729</v>
      </c>
      <c r="B693" s="2">
        <v>61</v>
      </c>
      <c r="C693" t="s">
        <v>16</v>
      </c>
      <c r="D693" t="s">
        <v>44</v>
      </c>
      <c r="E693" t="s">
        <v>18</v>
      </c>
      <c r="F693" s="3">
        <v>45762</v>
      </c>
      <c r="G693" s="3">
        <v>46051</v>
      </c>
      <c r="H693" s="2">
        <v>8</v>
      </c>
      <c r="I693" s="1">
        <v>2378.08</v>
      </c>
      <c r="J693" s="1">
        <v>297.26</v>
      </c>
      <c r="K693" t="s">
        <v>39</v>
      </c>
      <c r="L693" t="s">
        <v>26</v>
      </c>
      <c r="M693" s="2">
        <v>7</v>
      </c>
      <c r="N693" t="s">
        <v>21</v>
      </c>
    </row>
    <row r="694" spans="1:14" x14ac:dyDescent="0.3">
      <c r="A694" t="s">
        <v>730</v>
      </c>
      <c r="B694" s="2">
        <v>57</v>
      </c>
      <c r="C694" t="s">
        <v>23</v>
      </c>
      <c r="D694" t="s">
        <v>50</v>
      </c>
      <c r="E694" t="s">
        <v>34</v>
      </c>
      <c r="F694" s="3">
        <v>45304</v>
      </c>
      <c r="G694" s="3">
        <v>45411</v>
      </c>
      <c r="H694" s="2">
        <v>13</v>
      </c>
      <c r="I694" s="1">
        <v>2374.84</v>
      </c>
      <c r="J694" s="1">
        <v>182.68</v>
      </c>
      <c r="K694" t="s">
        <v>25</v>
      </c>
      <c r="L694" t="s">
        <v>26</v>
      </c>
      <c r="M694" s="2">
        <v>8</v>
      </c>
      <c r="N694" t="s">
        <v>21</v>
      </c>
    </row>
    <row r="695" spans="1:14" x14ac:dyDescent="0.3">
      <c r="A695" t="s">
        <v>731</v>
      </c>
      <c r="B695" s="2">
        <v>19</v>
      </c>
      <c r="C695" t="s">
        <v>23</v>
      </c>
      <c r="D695" t="s">
        <v>61</v>
      </c>
      <c r="E695" t="s">
        <v>38</v>
      </c>
      <c r="F695" s="3">
        <v>45890</v>
      </c>
      <c r="G695" s="3">
        <v>45975</v>
      </c>
      <c r="H695" s="2">
        <v>20</v>
      </c>
      <c r="I695" s="1">
        <v>2369.1999999999998</v>
      </c>
      <c r="J695" s="1">
        <v>118.46</v>
      </c>
      <c r="K695" t="s">
        <v>25</v>
      </c>
      <c r="L695" t="s">
        <v>26</v>
      </c>
      <c r="M695" s="2">
        <v>9</v>
      </c>
      <c r="N695" t="s">
        <v>21</v>
      </c>
    </row>
    <row r="696" spans="1:14" x14ac:dyDescent="0.3">
      <c r="A696" t="s">
        <v>732</v>
      </c>
      <c r="B696" s="2">
        <v>21</v>
      </c>
      <c r="C696" t="s">
        <v>16</v>
      </c>
      <c r="D696" t="s">
        <v>50</v>
      </c>
      <c r="E696" t="s">
        <v>18</v>
      </c>
      <c r="F696" s="3">
        <v>45569</v>
      </c>
      <c r="G696" s="3">
        <v>45608</v>
      </c>
      <c r="H696" s="2">
        <v>19</v>
      </c>
      <c r="I696" s="1">
        <v>2363.41</v>
      </c>
      <c r="J696" s="1">
        <v>124.39</v>
      </c>
      <c r="K696" t="s">
        <v>35</v>
      </c>
      <c r="L696" t="s">
        <v>30</v>
      </c>
      <c r="M696" s="2">
        <v>8</v>
      </c>
      <c r="N696" t="s">
        <v>21</v>
      </c>
    </row>
    <row r="697" spans="1:14" x14ac:dyDescent="0.3">
      <c r="A697" t="s">
        <v>733</v>
      </c>
      <c r="B697" s="2">
        <v>63</v>
      </c>
      <c r="C697" t="s">
        <v>16</v>
      </c>
      <c r="D697" t="s">
        <v>42</v>
      </c>
      <c r="E697" t="s">
        <v>38</v>
      </c>
      <c r="F697" s="3">
        <v>45956</v>
      </c>
      <c r="G697" s="3">
        <v>46153</v>
      </c>
      <c r="H697" s="2">
        <v>8</v>
      </c>
      <c r="I697" s="1">
        <v>2354.7199999999998</v>
      </c>
      <c r="J697" s="1">
        <v>294.33999999999997</v>
      </c>
      <c r="K697" t="s">
        <v>19</v>
      </c>
      <c r="L697" t="s">
        <v>20</v>
      </c>
      <c r="M697" s="2">
        <v>2</v>
      </c>
      <c r="N697" t="s">
        <v>21</v>
      </c>
    </row>
    <row r="698" spans="1:14" x14ac:dyDescent="0.3">
      <c r="A698" t="s">
        <v>734</v>
      </c>
      <c r="B698" s="2">
        <v>54</v>
      </c>
      <c r="C698" t="s">
        <v>23</v>
      </c>
      <c r="D698" t="s">
        <v>17</v>
      </c>
      <c r="E698" t="s">
        <v>34</v>
      </c>
      <c r="F698" s="3">
        <v>45839</v>
      </c>
      <c r="G698" s="3">
        <v>45844</v>
      </c>
      <c r="H698" s="2">
        <v>16</v>
      </c>
      <c r="I698" s="1">
        <v>2354.08</v>
      </c>
      <c r="J698" s="1">
        <v>147.13</v>
      </c>
      <c r="K698" t="s">
        <v>45</v>
      </c>
      <c r="L698" t="s">
        <v>26</v>
      </c>
      <c r="M698" s="2">
        <v>3</v>
      </c>
      <c r="N698" t="s">
        <v>21</v>
      </c>
    </row>
    <row r="699" spans="1:14" x14ac:dyDescent="0.3">
      <c r="A699" t="s">
        <v>735</v>
      </c>
      <c r="B699" s="2">
        <v>53</v>
      </c>
      <c r="C699" t="s">
        <v>23</v>
      </c>
      <c r="D699" t="s">
        <v>61</v>
      </c>
      <c r="E699" t="s">
        <v>18</v>
      </c>
      <c r="F699" s="3">
        <v>45543</v>
      </c>
      <c r="G699" s="3">
        <v>45808</v>
      </c>
      <c r="H699" s="2">
        <v>18</v>
      </c>
      <c r="I699" s="1">
        <v>2353.86</v>
      </c>
      <c r="J699" s="1">
        <v>130.77000000000001</v>
      </c>
      <c r="K699" t="s">
        <v>25</v>
      </c>
      <c r="L699" t="s">
        <v>26</v>
      </c>
      <c r="M699" s="2">
        <v>8</v>
      </c>
      <c r="N699" t="s">
        <v>21</v>
      </c>
    </row>
    <row r="700" spans="1:14" x14ac:dyDescent="0.3">
      <c r="A700" t="s">
        <v>736</v>
      </c>
      <c r="B700" s="2">
        <v>41</v>
      </c>
      <c r="C700" t="s">
        <v>23</v>
      </c>
      <c r="D700" t="s">
        <v>42</v>
      </c>
      <c r="E700" t="s">
        <v>34</v>
      </c>
      <c r="F700" s="3">
        <v>45926</v>
      </c>
      <c r="G700" s="3">
        <v>46160</v>
      </c>
      <c r="H700" s="2">
        <v>19</v>
      </c>
      <c r="I700" s="1">
        <v>2352.1999999999998</v>
      </c>
      <c r="J700" s="1">
        <v>123.8</v>
      </c>
      <c r="K700" t="s">
        <v>19</v>
      </c>
      <c r="L700" t="s">
        <v>30</v>
      </c>
      <c r="M700" s="2">
        <v>9</v>
      </c>
      <c r="N700" t="s">
        <v>31</v>
      </c>
    </row>
    <row r="701" spans="1:14" x14ac:dyDescent="0.3">
      <c r="A701" t="s">
        <v>737</v>
      </c>
      <c r="B701" s="2">
        <v>26</v>
      </c>
      <c r="C701" t="s">
        <v>23</v>
      </c>
      <c r="D701" t="s">
        <v>28</v>
      </c>
      <c r="E701" t="s">
        <v>29</v>
      </c>
      <c r="F701" s="3">
        <v>45902</v>
      </c>
      <c r="G701" s="3">
        <v>45903</v>
      </c>
      <c r="H701" s="2">
        <v>9</v>
      </c>
      <c r="I701" s="1">
        <v>2343.15</v>
      </c>
      <c r="J701" s="1">
        <v>260.35000000000002</v>
      </c>
      <c r="K701" t="s">
        <v>39</v>
      </c>
      <c r="L701" t="s">
        <v>20</v>
      </c>
      <c r="M701" s="2">
        <v>1</v>
      </c>
      <c r="N701" t="s">
        <v>31</v>
      </c>
    </row>
    <row r="702" spans="1:14" x14ac:dyDescent="0.3">
      <c r="A702" t="s">
        <v>738</v>
      </c>
      <c r="B702" s="2">
        <v>20</v>
      </c>
      <c r="C702" t="s">
        <v>16</v>
      </c>
      <c r="D702" t="s">
        <v>44</v>
      </c>
      <c r="E702" t="s">
        <v>18</v>
      </c>
      <c r="F702" s="3">
        <v>45870</v>
      </c>
      <c r="G702" s="3">
        <v>46096</v>
      </c>
      <c r="H702" s="2">
        <v>11</v>
      </c>
      <c r="I702" s="1">
        <v>2342.56</v>
      </c>
      <c r="J702" s="1">
        <v>212.96</v>
      </c>
      <c r="K702" t="s">
        <v>45</v>
      </c>
      <c r="L702" t="s">
        <v>30</v>
      </c>
      <c r="M702" s="2">
        <v>7</v>
      </c>
      <c r="N702" t="s">
        <v>21</v>
      </c>
    </row>
    <row r="703" spans="1:14" x14ac:dyDescent="0.3">
      <c r="A703" t="s">
        <v>739</v>
      </c>
      <c r="B703" s="2">
        <v>27</v>
      </c>
      <c r="C703" t="s">
        <v>16</v>
      </c>
      <c r="D703" t="s">
        <v>42</v>
      </c>
      <c r="E703" t="s">
        <v>18</v>
      </c>
      <c r="F703" s="3">
        <v>45390</v>
      </c>
      <c r="G703" s="3">
        <v>45415</v>
      </c>
      <c r="H703" s="2">
        <v>13</v>
      </c>
      <c r="I703" s="1">
        <v>2341.3000000000002</v>
      </c>
      <c r="J703" s="1">
        <v>180.1</v>
      </c>
      <c r="K703" t="s">
        <v>35</v>
      </c>
      <c r="L703" t="s">
        <v>30</v>
      </c>
      <c r="M703" s="2">
        <v>5</v>
      </c>
      <c r="N703" t="s">
        <v>21</v>
      </c>
    </row>
    <row r="704" spans="1:14" x14ac:dyDescent="0.3">
      <c r="A704" t="s">
        <v>740</v>
      </c>
      <c r="B704" s="2">
        <v>53</v>
      </c>
      <c r="C704" t="s">
        <v>16</v>
      </c>
      <c r="D704" t="s">
        <v>24</v>
      </c>
      <c r="E704" t="s">
        <v>38</v>
      </c>
      <c r="F704" s="3">
        <v>45951</v>
      </c>
      <c r="G704" s="3">
        <v>45960</v>
      </c>
      <c r="H704" s="2">
        <v>13</v>
      </c>
      <c r="I704" s="1">
        <v>2339.09</v>
      </c>
      <c r="J704" s="1">
        <v>179.93</v>
      </c>
      <c r="K704" t="s">
        <v>35</v>
      </c>
      <c r="L704" t="s">
        <v>26</v>
      </c>
      <c r="M704" s="2">
        <v>5</v>
      </c>
      <c r="N704" t="s">
        <v>21</v>
      </c>
    </row>
    <row r="705" spans="1:14" x14ac:dyDescent="0.3">
      <c r="A705" t="s">
        <v>741</v>
      </c>
      <c r="B705" s="2">
        <v>42</v>
      </c>
      <c r="C705" t="s">
        <v>23</v>
      </c>
      <c r="D705" t="s">
        <v>44</v>
      </c>
      <c r="E705" t="s">
        <v>29</v>
      </c>
      <c r="F705" s="3">
        <v>45368</v>
      </c>
      <c r="G705" s="3">
        <v>45503</v>
      </c>
      <c r="H705" s="2">
        <v>11</v>
      </c>
      <c r="I705" s="1">
        <v>2338.8200000000002</v>
      </c>
      <c r="J705" s="1">
        <v>212.62</v>
      </c>
      <c r="K705" t="s">
        <v>25</v>
      </c>
      <c r="L705" t="s">
        <v>20</v>
      </c>
      <c r="M705" s="2">
        <v>8</v>
      </c>
      <c r="N705" t="s">
        <v>21</v>
      </c>
    </row>
    <row r="706" spans="1:14" x14ac:dyDescent="0.3">
      <c r="A706" t="s">
        <v>742</v>
      </c>
      <c r="B706" s="2">
        <v>65</v>
      </c>
      <c r="C706" t="s">
        <v>16</v>
      </c>
      <c r="D706" t="s">
        <v>50</v>
      </c>
      <c r="E706" t="s">
        <v>29</v>
      </c>
      <c r="F706" s="3">
        <v>45671</v>
      </c>
      <c r="G706" s="3">
        <v>45926</v>
      </c>
      <c r="H706" s="2">
        <v>10</v>
      </c>
      <c r="I706" s="1">
        <v>2337.6</v>
      </c>
      <c r="J706" s="1">
        <v>233.76</v>
      </c>
      <c r="K706" t="s">
        <v>39</v>
      </c>
      <c r="L706" t="s">
        <v>20</v>
      </c>
      <c r="M706" s="2">
        <v>6</v>
      </c>
      <c r="N706" t="s">
        <v>21</v>
      </c>
    </row>
    <row r="707" spans="1:14" x14ac:dyDescent="0.3">
      <c r="A707" t="s">
        <v>743</v>
      </c>
      <c r="B707" s="2">
        <v>57</v>
      </c>
      <c r="C707" t="s">
        <v>16</v>
      </c>
      <c r="D707" t="s">
        <v>24</v>
      </c>
      <c r="E707" t="s">
        <v>18</v>
      </c>
      <c r="F707" s="3">
        <v>45629</v>
      </c>
      <c r="G707" s="3">
        <v>45898</v>
      </c>
      <c r="H707" s="2">
        <v>14</v>
      </c>
      <c r="I707" s="1">
        <v>2336.6</v>
      </c>
      <c r="J707" s="1">
        <v>166.9</v>
      </c>
      <c r="K707" t="s">
        <v>35</v>
      </c>
      <c r="L707" t="s">
        <v>20</v>
      </c>
      <c r="M707" s="2">
        <v>10</v>
      </c>
      <c r="N707" t="s">
        <v>21</v>
      </c>
    </row>
    <row r="708" spans="1:14" x14ac:dyDescent="0.3">
      <c r="A708" t="s">
        <v>744</v>
      </c>
      <c r="B708" s="2">
        <v>49</v>
      </c>
      <c r="C708" t="s">
        <v>23</v>
      </c>
      <c r="D708" t="s">
        <v>42</v>
      </c>
      <c r="E708" t="s">
        <v>38</v>
      </c>
      <c r="F708" s="3">
        <v>45806</v>
      </c>
      <c r="G708" s="3">
        <v>46080</v>
      </c>
      <c r="H708" s="2">
        <v>18</v>
      </c>
      <c r="I708" s="1">
        <v>2336.58</v>
      </c>
      <c r="J708" s="1">
        <v>129.81</v>
      </c>
      <c r="K708" t="s">
        <v>25</v>
      </c>
      <c r="L708" t="s">
        <v>30</v>
      </c>
      <c r="M708" s="2">
        <v>7</v>
      </c>
      <c r="N708" t="s">
        <v>21</v>
      </c>
    </row>
    <row r="709" spans="1:14" x14ac:dyDescent="0.3">
      <c r="A709" t="s">
        <v>745</v>
      </c>
      <c r="B709" s="2">
        <v>37</v>
      </c>
      <c r="C709" t="s">
        <v>23</v>
      </c>
      <c r="D709" t="s">
        <v>17</v>
      </c>
      <c r="E709" t="s">
        <v>29</v>
      </c>
      <c r="F709" s="3">
        <v>45938</v>
      </c>
      <c r="G709" s="3">
        <v>46226</v>
      </c>
      <c r="H709" s="2">
        <v>14</v>
      </c>
      <c r="I709" s="1">
        <v>2331.98</v>
      </c>
      <c r="J709" s="1">
        <v>166.57</v>
      </c>
      <c r="K709" t="s">
        <v>39</v>
      </c>
      <c r="L709" t="s">
        <v>26</v>
      </c>
      <c r="M709" s="2">
        <v>5</v>
      </c>
      <c r="N709" t="s">
        <v>21</v>
      </c>
    </row>
    <row r="710" spans="1:14" x14ac:dyDescent="0.3">
      <c r="A710" t="s">
        <v>746</v>
      </c>
      <c r="B710" s="2">
        <v>56</v>
      </c>
      <c r="C710" t="s">
        <v>23</v>
      </c>
      <c r="D710" t="s">
        <v>24</v>
      </c>
      <c r="E710" t="s">
        <v>29</v>
      </c>
      <c r="F710" s="3">
        <v>45572</v>
      </c>
      <c r="G710" s="3">
        <v>45699</v>
      </c>
      <c r="H710" s="2">
        <v>23</v>
      </c>
      <c r="I710" s="1">
        <v>2331.9699999999998</v>
      </c>
      <c r="J710" s="1">
        <v>101.39</v>
      </c>
      <c r="K710" t="s">
        <v>39</v>
      </c>
      <c r="L710" t="s">
        <v>26</v>
      </c>
      <c r="M710" s="2">
        <v>1</v>
      </c>
      <c r="N710" t="s">
        <v>21</v>
      </c>
    </row>
    <row r="711" spans="1:14" x14ac:dyDescent="0.3">
      <c r="A711" t="s">
        <v>747</v>
      </c>
      <c r="B711" s="2">
        <v>27</v>
      </c>
      <c r="C711" t="s">
        <v>16</v>
      </c>
      <c r="D711" t="s">
        <v>50</v>
      </c>
      <c r="E711" t="s">
        <v>38</v>
      </c>
      <c r="F711" s="3">
        <v>45885</v>
      </c>
      <c r="G711" s="3">
        <v>45932</v>
      </c>
      <c r="H711" s="2">
        <v>13</v>
      </c>
      <c r="I711" s="1">
        <v>2326.48</v>
      </c>
      <c r="J711" s="1">
        <v>178.96</v>
      </c>
      <c r="K711" t="s">
        <v>25</v>
      </c>
      <c r="L711" t="s">
        <v>26</v>
      </c>
      <c r="M711" s="2">
        <v>10</v>
      </c>
      <c r="N711" t="s">
        <v>21</v>
      </c>
    </row>
    <row r="712" spans="1:14" x14ac:dyDescent="0.3">
      <c r="A712" t="s">
        <v>748</v>
      </c>
      <c r="B712" s="2">
        <v>51</v>
      </c>
      <c r="C712" t="s">
        <v>23</v>
      </c>
      <c r="D712" t="s">
        <v>28</v>
      </c>
      <c r="E712" t="s">
        <v>34</v>
      </c>
      <c r="F712" s="3">
        <v>45339</v>
      </c>
      <c r="G712" s="3">
        <v>45359</v>
      </c>
      <c r="H712" s="2">
        <v>21</v>
      </c>
      <c r="I712" s="1">
        <v>2325.54</v>
      </c>
      <c r="J712" s="1">
        <v>110.74</v>
      </c>
      <c r="K712" t="s">
        <v>19</v>
      </c>
      <c r="L712" t="s">
        <v>20</v>
      </c>
      <c r="M712" s="2">
        <v>10</v>
      </c>
      <c r="N712" t="s">
        <v>21</v>
      </c>
    </row>
    <row r="713" spans="1:14" x14ac:dyDescent="0.3">
      <c r="A713" t="s">
        <v>749</v>
      </c>
      <c r="B713" s="2">
        <v>23</v>
      </c>
      <c r="C713" t="s">
        <v>23</v>
      </c>
      <c r="D713" t="s">
        <v>42</v>
      </c>
      <c r="E713" t="s">
        <v>34</v>
      </c>
      <c r="F713" s="3">
        <v>45611</v>
      </c>
      <c r="G713" s="3">
        <v>45870</v>
      </c>
      <c r="H713" s="2">
        <v>13</v>
      </c>
      <c r="I713" s="1">
        <v>2324.66</v>
      </c>
      <c r="J713" s="1">
        <v>178.82</v>
      </c>
      <c r="K713" t="s">
        <v>45</v>
      </c>
      <c r="L713" t="s">
        <v>20</v>
      </c>
      <c r="M713" s="2">
        <v>1</v>
      </c>
      <c r="N713" t="s">
        <v>21</v>
      </c>
    </row>
    <row r="714" spans="1:14" x14ac:dyDescent="0.3">
      <c r="A714" t="s">
        <v>750</v>
      </c>
      <c r="B714" s="2">
        <v>43</v>
      </c>
      <c r="C714" t="s">
        <v>23</v>
      </c>
      <c r="D714" t="s">
        <v>42</v>
      </c>
      <c r="E714" t="s">
        <v>38</v>
      </c>
      <c r="F714" s="3">
        <v>45534</v>
      </c>
      <c r="G714" s="3">
        <v>45683</v>
      </c>
      <c r="H714" s="2">
        <v>9</v>
      </c>
      <c r="I714" s="1">
        <v>2324.34</v>
      </c>
      <c r="J714" s="1">
        <v>258.26</v>
      </c>
      <c r="K714" t="s">
        <v>45</v>
      </c>
      <c r="L714" t="s">
        <v>30</v>
      </c>
      <c r="M714" s="2">
        <v>2</v>
      </c>
      <c r="N714" t="s">
        <v>21</v>
      </c>
    </row>
    <row r="715" spans="1:14" x14ac:dyDescent="0.3">
      <c r="A715" t="s">
        <v>751</v>
      </c>
      <c r="B715" s="2">
        <v>45</v>
      </c>
      <c r="C715" t="s">
        <v>16</v>
      </c>
      <c r="D715" t="s">
        <v>50</v>
      </c>
      <c r="E715" t="s">
        <v>34</v>
      </c>
      <c r="F715" s="3">
        <v>45363</v>
      </c>
      <c r="G715" s="3">
        <v>45576</v>
      </c>
      <c r="H715" s="2">
        <v>17</v>
      </c>
      <c r="I715" s="1">
        <v>2324.2399999999998</v>
      </c>
      <c r="J715" s="1">
        <v>136.72</v>
      </c>
      <c r="K715" t="s">
        <v>25</v>
      </c>
      <c r="L715" t="s">
        <v>20</v>
      </c>
      <c r="M715" s="2">
        <v>3</v>
      </c>
      <c r="N715" t="s">
        <v>21</v>
      </c>
    </row>
    <row r="716" spans="1:14" x14ac:dyDescent="0.3">
      <c r="A716" t="s">
        <v>752</v>
      </c>
      <c r="B716" s="2">
        <v>40</v>
      </c>
      <c r="C716" t="s">
        <v>16</v>
      </c>
      <c r="D716" t="s">
        <v>44</v>
      </c>
      <c r="E716" t="s">
        <v>34</v>
      </c>
      <c r="F716" s="3">
        <v>45477</v>
      </c>
      <c r="G716" s="3">
        <v>45776</v>
      </c>
      <c r="H716" s="2">
        <v>22</v>
      </c>
      <c r="I716" s="1">
        <v>2320.56</v>
      </c>
      <c r="J716" s="1">
        <v>105.48</v>
      </c>
      <c r="K716" t="s">
        <v>39</v>
      </c>
      <c r="L716" t="s">
        <v>26</v>
      </c>
      <c r="M716" s="2">
        <v>2</v>
      </c>
      <c r="N716" t="s">
        <v>21</v>
      </c>
    </row>
    <row r="717" spans="1:14" x14ac:dyDescent="0.3">
      <c r="A717" t="s">
        <v>753</v>
      </c>
      <c r="B717" s="2">
        <v>44</v>
      </c>
      <c r="C717" t="s">
        <v>16</v>
      </c>
      <c r="D717" t="s">
        <v>50</v>
      </c>
      <c r="E717" t="s">
        <v>29</v>
      </c>
      <c r="F717" s="3">
        <v>45506</v>
      </c>
      <c r="G717" s="3">
        <v>45656</v>
      </c>
      <c r="H717" s="2">
        <v>12</v>
      </c>
      <c r="I717" s="1">
        <v>2314.92</v>
      </c>
      <c r="J717" s="1">
        <v>192.91</v>
      </c>
      <c r="K717" t="s">
        <v>25</v>
      </c>
      <c r="L717" t="s">
        <v>26</v>
      </c>
      <c r="M717" s="2">
        <v>2</v>
      </c>
      <c r="N717" t="s">
        <v>21</v>
      </c>
    </row>
    <row r="718" spans="1:14" x14ac:dyDescent="0.3">
      <c r="A718" t="s">
        <v>754</v>
      </c>
      <c r="B718" s="2">
        <v>51</v>
      </c>
      <c r="C718" t="s">
        <v>23</v>
      </c>
      <c r="D718" t="s">
        <v>28</v>
      </c>
      <c r="E718" t="s">
        <v>29</v>
      </c>
      <c r="F718" s="3">
        <v>45793</v>
      </c>
      <c r="G718" s="3">
        <v>45974</v>
      </c>
      <c r="H718" s="2">
        <v>19</v>
      </c>
      <c r="I718" s="1">
        <v>2314.39</v>
      </c>
      <c r="J718" s="1">
        <v>121.81</v>
      </c>
      <c r="K718" t="s">
        <v>39</v>
      </c>
      <c r="L718" t="s">
        <v>20</v>
      </c>
      <c r="M718" s="2">
        <v>7</v>
      </c>
      <c r="N718" t="s">
        <v>21</v>
      </c>
    </row>
    <row r="719" spans="1:14" x14ac:dyDescent="0.3">
      <c r="A719" t="s">
        <v>755</v>
      </c>
      <c r="B719" s="2">
        <v>65</v>
      </c>
      <c r="C719" t="s">
        <v>16</v>
      </c>
      <c r="D719" t="s">
        <v>28</v>
      </c>
      <c r="E719" t="s">
        <v>29</v>
      </c>
      <c r="F719" s="3">
        <v>45932</v>
      </c>
      <c r="G719" s="3">
        <v>46006</v>
      </c>
      <c r="H719" s="2">
        <v>20</v>
      </c>
      <c r="I719" s="1">
        <v>2313.1999999999998</v>
      </c>
      <c r="J719" s="1">
        <v>115.66</v>
      </c>
      <c r="K719" t="s">
        <v>25</v>
      </c>
      <c r="L719" t="s">
        <v>20</v>
      </c>
      <c r="M719" s="2">
        <v>7</v>
      </c>
      <c r="N719" t="s">
        <v>21</v>
      </c>
    </row>
    <row r="720" spans="1:14" x14ac:dyDescent="0.3">
      <c r="A720" t="s">
        <v>756</v>
      </c>
      <c r="B720" s="2">
        <v>21</v>
      </c>
      <c r="C720" t="s">
        <v>23</v>
      </c>
      <c r="D720" t="s">
        <v>61</v>
      </c>
      <c r="E720" t="s">
        <v>18</v>
      </c>
      <c r="F720" s="3">
        <v>45436</v>
      </c>
      <c r="G720" s="3">
        <v>45656</v>
      </c>
      <c r="H720" s="2">
        <v>13</v>
      </c>
      <c r="I720" s="1">
        <v>2312.6999999999998</v>
      </c>
      <c r="J720" s="1">
        <v>177.9</v>
      </c>
      <c r="K720" t="s">
        <v>19</v>
      </c>
      <c r="L720" t="s">
        <v>26</v>
      </c>
      <c r="M720" s="2">
        <v>3</v>
      </c>
      <c r="N720" t="s">
        <v>21</v>
      </c>
    </row>
    <row r="721" spans="1:14" x14ac:dyDescent="0.3">
      <c r="A721" t="s">
        <v>757</v>
      </c>
      <c r="B721" s="2">
        <v>43</v>
      </c>
      <c r="C721" t="s">
        <v>16</v>
      </c>
      <c r="D721" t="s">
        <v>28</v>
      </c>
      <c r="E721" t="s">
        <v>18</v>
      </c>
      <c r="F721" s="3">
        <v>45476</v>
      </c>
      <c r="G721" s="3">
        <v>45572</v>
      </c>
      <c r="H721" s="2">
        <v>13</v>
      </c>
      <c r="I721" s="1">
        <v>2310.88</v>
      </c>
      <c r="J721" s="1">
        <v>177.76</v>
      </c>
      <c r="K721" t="s">
        <v>25</v>
      </c>
      <c r="L721" t="s">
        <v>20</v>
      </c>
      <c r="M721" s="2">
        <v>8</v>
      </c>
      <c r="N721" t="s">
        <v>21</v>
      </c>
    </row>
    <row r="722" spans="1:14" x14ac:dyDescent="0.3">
      <c r="A722" t="s">
        <v>758</v>
      </c>
      <c r="B722" s="2">
        <v>46</v>
      </c>
      <c r="C722" t="s">
        <v>16</v>
      </c>
      <c r="D722" t="s">
        <v>17</v>
      </c>
      <c r="E722" t="s">
        <v>18</v>
      </c>
      <c r="F722" s="3">
        <v>45604</v>
      </c>
      <c r="G722" s="3">
        <v>45690</v>
      </c>
      <c r="H722" s="2">
        <v>12</v>
      </c>
      <c r="I722" s="1">
        <v>2310.48</v>
      </c>
      <c r="J722" s="1">
        <v>192.54</v>
      </c>
      <c r="K722" t="s">
        <v>25</v>
      </c>
      <c r="L722" t="s">
        <v>30</v>
      </c>
      <c r="M722" s="2">
        <v>6</v>
      </c>
      <c r="N722" t="s">
        <v>21</v>
      </c>
    </row>
    <row r="723" spans="1:14" x14ac:dyDescent="0.3">
      <c r="A723" t="s">
        <v>759</v>
      </c>
      <c r="B723" s="2">
        <v>52</v>
      </c>
      <c r="C723" t="s">
        <v>16</v>
      </c>
      <c r="D723" t="s">
        <v>24</v>
      </c>
      <c r="E723" t="s">
        <v>34</v>
      </c>
      <c r="F723" s="3">
        <v>45430</v>
      </c>
      <c r="G723" s="3">
        <v>45465</v>
      </c>
      <c r="H723" s="2">
        <v>19</v>
      </c>
      <c r="I723" s="1">
        <v>2297.29</v>
      </c>
      <c r="J723" s="1">
        <v>120.91</v>
      </c>
      <c r="K723" t="s">
        <v>35</v>
      </c>
      <c r="L723" t="s">
        <v>26</v>
      </c>
      <c r="M723" s="2">
        <v>10</v>
      </c>
      <c r="N723" t="s">
        <v>21</v>
      </c>
    </row>
    <row r="724" spans="1:14" x14ac:dyDescent="0.3">
      <c r="A724" t="s">
        <v>760</v>
      </c>
      <c r="B724" s="2">
        <v>48</v>
      </c>
      <c r="C724" t="s">
        <v>16</v>
      </c>
      <c r="D724" t="s">
        <v>42</v>
      </c>
      <c r="E724" t="s">
        <v>38</v>
      </c>
      <c r="F724" s="3">
        <v>45411</v>
      </c>
      <c r="G724" s="3">
        <v>45576</v>
      </c>
      <c r="H724" s="2">
        <v>12</v>
      </c>
      <c r="I724" s="1">
        <v>2293.92</v>
      </c>
      <c r="J724" s="1">
        <v>191.16</v>
      </c>
      <c r="K724" t="s">
        <v>25</v>
      </c>
      <c r="L724" t="s">
        <v>30</v>
      </c>
      <c r="M724" s="2">
        <v>3</v>
      </c>
      <c r="N724" t="s">
        <v>21</v>
      </c>
    </row>
    <row r="725" spans="1:14" x14ac:dyDescent="0.3">
      <c r="A725" t="s">
        <v>761</v>
      </c>
      <c r="B725" s="2">
        <v>21</v>
      </c>
      <c r="C725" t="s">
        <v>23</v>
      </c>
      <c r="D725" t="s">
        <v>28</v>
      </c>
      <c r="E725" t="s">
        <v>38</v>
      </c>
      <c r="F725" s="3">
        <v>45583</v>
      </c>
      <c r="G725" s="3">
        <v>45823</v>
      </c>
      <c r="H725" s="2">
        <v>16</v>
      </c>
      <c r="I725" s="1">
        <v>2293.2800000000002</v>
      </c>
      <c r="J725" s="1">
        <v>143.33000000000001</v>
      </c>
      <c r="K725" t="s">
        <v>39</v>
      </c>
      <c r="L725" t="s">
        <v>30</v>
      </c>
      <c r="M725" s="2">
        <v>7</v>
      </c>
      <c r="N725" t="s">
        <v>21</v>
      </c>
    </row>
    <row r="726" spans="1:14" x14ac:dyDescent="0.3">
      <c r="A726" t="s">
        <v>762</v>
      </c>
      <c r="B726" s="2">
        <v>42</v>
      </c>
      <c r="C726" t="s">
        <v>23</v>
      </c>
      <c r="D726" t="s">
        <v>61</v>
      </c>
      <c r="E726" t="s">
        <v>29</v>
      </c>
      <c r="F726" s="3">
        <v>45896</v>
      </c>
      <c r="G726" s="3">
        <v>46097</v>
      </c>
      <c r="H726" s="2">
        <v>21</v>
      </c>
      <c r="I726" s="1">
        <v>2290.6799999999998</v>
      </c>
      <c r="J726" s="1">
        <v>109.08</v>
      </c>
      <c r="K726" t="s">
        <v>25</v>
      </c>
      <c r="L726" t="s">
        <v>26</v>
      </c>
      <c r="M726" s="2">
        <v>3</v>
      </c>
      <c r="N726" t="s">
        <v>21</v>
      </c>
    </row>
    <row r="727" spans="1:14" x14ac:dyDescent="0.3">
      <c r="A727" t="s">
        <v>763</v>
      </c>
      <c r="B727" s="2">
        <v>35</v>
      </c>
      <c r="C727" t="s">
        <v>23</v>
      </c>
      <c r="D727" t="s">
        <v>28</v>
      </c>
      <c r="E727" t="s">
        <v>18</v>
      </c>
      <c r="F727" s="3">
        <v>45360</v>
      </c>
      <c r="G727" s="3">
        <v>45404</v>
      </c>
      <c r="H727" s="2">
        <v>13</v>
      </c>
      <c r="I727" s="1">
        <v>2285.14</v>
      </c>
      <c r="J727" s="1">
        <v>175.78</v>
      </c>
      <c r="K727" t="s">
        <v>19</v>
      </c>
      <c r="L727" t="s">
        <v>20</v>
      </c>
      <c r="M727" s="2">
        <v>9</v>
      </c>
      <c r="N727" t="s">
        <v>21</v>
      </c>
    </row>
    <row r="728" spans="1:14" x14ac:dyDescent="0.3">
      <c r="A728" t="s">
        <v>764</v>
      </c>
      <c r="B728" s="2">
        <v>41</v>
      </c>
      <c r="C728" t="s">
        <v>16</v>
      </c>
      <c r="D728" t="s">
        <v>61</v>
      </c>
      <c r="E728" t="s">
        <v>29</v>
      </c>
      <c r="F728" s="3">
        <v>45824</v>
      </c>
      <c r="G728" s="3">
        <v>45936</v>
      </c>
      <c r="H728" s="2">
        <v>11</v>
      </c>
      <c r="I728" s="1">
        <v>2284.04</v>
      </c>
      <c r="J728" s="1">
        <v>207.64</v>
      </c>
      <c r="K728" t="s">
        <v>19</v>
      </c>
      <c r="L728" t="s">
        <v>30</v>
      </c>
      <c r="M728" s="2">
        <v>5</v>
      </c>
      <c r="N728" t="s">
        <v>21</v>
      </c>
    </row>
    <row r="729" spans="1:14" x14ac:dyDescent="0.3">
      <c r="A729" t="s">
        <v>765</v>
      </c>
      <c r="B729" s="2">
        <v>53</v>
      </c>
      <c r="C729" t="s">
        <v>16</v>
      </c>
      <c r="D729" t="s">
        <v>42</v>
      </c>
      <c r="E729" t="s">
        <v>34</v>
      </c>
      <c r="F729" s="3">
        <v>45417</v>
      </c>
      <c r="G729" s="3">
        <v>45617</v>
      </c>
      <c r="H729" s="2">
        <v>9</v>
      </c>
      <c r="I729" s="1">
        <v>2283.9299999999998</v>
      </c>
      <c r="J729" s="1">
        <v>253.77</v>
      </c>
      <c r="K729" t="s">
        <v>25</v>
      </c>
      <c r="L729" t="s">
        <v>20</v>
      </c>
      <c r="M729" s="2">
        <v>8</v>
      </c>
      <c r="N729" t="s">
        <v>31</v>
      </c>
    </row>
    <row r="730" spans="1:14" x14ac:dyDescent="0.3">
      <c r="A730" t="s">
        <v>766</v>
      </c>
      <c r="B730" s="2">
        <v>45</v>
      </c>
      <c r="C730" t="s">
        <v>23</v>
      </c>
      <c r="D730" t="s">
        <v>42</v>
      </c>
      <c r="E730" t="s">
        <v>38</v>
      </c>
      <c r="F730" s="3">
        <v>45768</v>
      </c>
      <c r="G730" s="3">
        <v>46030</v>
      </c>
      <c r="H730" s="2">
        <v>20</v>
      </c>
      <c r="I730" s="1">
        <v>2283.6</v>
      </c>
      <c r="J730" s="1">
        <v>114.18</v>
      </c>
      <c r="K730" t="s">
        <v>45</v>
      </c>
      <c r="L730" t="s">
        <v>26</v>
      </c>
      <c r="M730" s="2">
        <v>7</v>
      </c>
      <c r="N730" t="s">
        <v>21</v>
      </c>
    </row>
    <row r="731" spans="1:14" x14ac:dyDescent="0.3">
      <c r="A731" t="s">
        <v>767</v>
      </c>
      <c r="B731" s="2">
        <v>26</v>
      </c>
      <c r="C731" t="s">
        <v>16</v>
      </c>
      <c r="D731" t="s">
        <v>24</v>
      </c>
      <c r="E731" t="s">
        <v>34</v>
      </c>
      <c r="F731" s="3">
        <v>45901</v>
      </c>
      <c r="G731" s="3">
        <v>45956</v>
      </c>
      <c r="H731" s="2">
        <v>16</v>
      </c>
      <c r="I731" s="1">
        <v>2278.56</v>
      </c>
      <c r="J731" s="1">
        <v>142.41</v>
      </c>
      <c r="K731" t="s">
        <v>39</v>
      </c>
      <c r="L731" t="s">
        <v>30</v>
      </c>
      <c r="M731" s="2">
        <v>2</v>
      </c>
      <c r="N731" t="s">
        <v>21</v>
      </c>
    </row>
    <row r="732" spans="1:14" x14ac:dyDescent="0.3">
      <c r="A732" t="s">
        <v>768</v>
      </c>
      <c r="B732" s="2">
        <v>48</v>
      </c>
      <c r="C732" t="s">
        <v>16</v>
      </c>
      <c r="D732" t="s">
        <v>17</v>
      </c>
      <c r="E732" t="s">
        <v>18</v>
      </c>
      <c r="F732" s="3">
        <v>45889</v>
      </c>
      <c r="G732" s="3">
        <v>46028</v>
      </c>
      <c r="H732" s="2">
        <v>10</v>
      </c>
      <c r="I732" s="1">
        <v>2277.3000000000002</v>
      </c>
      <c r="J732" s="1">
        <v>227.73</v>
      </c>
      <c r="K732" t="s">
        <v>25</v>
      </c>
      <c r="L732" t="s">
        <v>20</v>
      </c>
      <c r="M732" s="2">
        <v>3</v>
      </c>
      <c r="N732" t="s">
        <v>21</v>
      </c>
    </row>
    <row r="733" spans="1:14" x14ac:dyDescent="0.3">
      <c r="A733" t="s">
        <v>769</v>
      </c>
      <c r="B733" s="2">
        <v>34</v>
      </c>
      <c r="C733" t="s">
        <v>23</v>
      </c>
      <c r="D733" t="s">
        <v>61</v>
      </c>
      <c r="E733" t="s">
        <v>38</v>
      </c>
      <c r="F733" s="3">
        <v>45694</v>
      </c>
      <c r="G733" s="3">
        <v>45842</v>
      </c>
      <c r="H733" s="2">
        <v>8</v>
      </c>
      <c r="I733" s="1">
        <v>2269.84</v>
      </c>
      <c r="J733" s="1">
        <v>283.73</v>
      </c>
      <c r="K733" t="s">
        <v>19</v>
      </c>
      <c r="L733" t="s">
        <v>20</v>
      </c>
      <c r="M733" s="2">
        <v>2</v>
      </c>
      <c r="N733" t="s">
        <v>21</v>
      </c>
    </row>
    <row r="734" spans="1:14" x14ac:dyDescent="0.3">
      <c r="A734" t="s">
        <v>770</v>
      </c>
      <c r="B734" s="2">
        <v>36</v>
      </c>
      <c r="C734" t="s">
        <v>16</v>
      </c>
      <c r="D734" t="s">
        <v>44</v>
      </c>
      <c r="E734" t="s">
        <v>38</v>
      </c>
      <c r="F734" s="3">
        <v>45863</v>
      </c>
      <c r="G734" s="3">
        <v>46015</v>
      </c>
      <c r="H734" s="2">
        <v>8</v>
      </c>
      <c r="I734" s="1">
        <v>2268.96</v>
      </c>
      <c r="J734" s="1">
        <v>283.62</v>
      </c>
      <c r="K734" t="s">
        <v>45</v>
      </c>
      <c r="L734" t="s">
        <v>26</v>
      </c>
      <c r="M734" s="2">
        <v>6</v>
      </c>
      <c r="N734" t="s">
        <v>21</v>
      </c>
    </row>
    <row r="735" spans="1:14" x14ac:dyDescent="0.3">
      <c r="A735" t="s">
        <v>771</v>
      </c>
      <c r="B735" s="2">
        <v>56</v>
      </c>
      <c r="C735" t="s">
        <v>23</v>
      </c>
      <c r="D735" t="s">
        <v>44</v>
      </c>
      <c r="E735" t="s">
        <v>29</v>
      </c>
      <c r="F735" s="3">
        <v>45486</v>
      </c>
      <c r="G735" s="3">
        <v>45584</v>
      </c>
      <c r="H735" s="2">
        <v>18</v>
      </c>
      <c r="I735" s="1">
        <v>2266.1999999999998</v>
      </c>
      <c r="J735" s="1">
        <v>125.9</v>
      </c>
      <c r="K735" t="s">
        <v>39</v>
      </c>
      <c r="L735" t="s">
        <v>20</v>
      </c>
      <c r="M735" s="2">
        <v>10</v>
      </c>
      <c r="N735" t="s">
        <v>21</v>
      </c>
    </row>
    <row r="736" spans="1:14" x14ac:dyDescent="0.3">
      <c r="A736" t="s">
        <v>772</v>
      </c>
      <c r="B736" s="2">
        <v>27</v>
      </c>
      <c r="C736" t="s">
        <v>23</v>
      </c>
      <c r="D736" t="s">
        <v>24</v>
      </c>
      <c r="E736" t="s">
        <v>38</v>
      </c>
      <c r="F736" s="3">
        <v>45774</v>
      </c>
      <c r="G736" s="3">
        <v>45999</v>
      </c>
      <c r="H736" s="2">
        <v>14</v>
      </c>
      <c r="I736" s="1">
        <v>2260.7199999999998</v>
      </c>
      <c r="J736" s="1">
        <v>161.47999999999999</v>
      </c>
      <c r="K736" t="s">
        <v>35</v>
      </c>
      <c r="L736" t="s">
        <v>30</v>
      </c>
      <c r="M736" s="2">
        <v>5</v>
      </c>
      <c r="N736" t="s">
        <v>21</v>
      </c>
    </row>
    <row r="737" spans="1:14" x14ac:dyDescent="0.3">
      <c r="A737" t="s">
        <v>773</v>
      </c>
      <c r="B737" s="2">
        <v>57</v>
      </c>
      <c r="C737" t="s">
        <v>16</v>
      </c>
      <c r="D737" t="s">
        <v>50</v>
      </c>
      <c r="E737" t="s">
        <v>18</v>
      </c>
      <c r="F737" s="3">
        <v>45753</v>
      </c>
      <c r="G737" s="3">
        <v>46034</v>
      </c>
      <c r="H737" s="2">
        <v>9</v>
      </c>
      <c r="I737" s="1">
        <v>2259.81</v>
      </c>
      <c r="J737" s="1">
        <v>251.09</v>
      </c>
      <c r="K737" t="s">
        <v>35</v>
      </c>
      <c r="L737" t="s">
        <v>26</v>
      </c>
      <c r="M737" s="2">
        <v>6</v>
      </c>
      <c r="N737" t="s">
        <v>21</v>
      </c>
    </row>
    <row r="738" spans="1:14" x14ac:dyDescent="0.3">
      <c r="A738" t="s">
        <v>774</v>
      </c>
      <c r="B738" s="2">
        <v>51</v>
      </c>
      <c r="C738" t="s">
        <v>16</v>
      </c>
      <c r="D738" t="s">
        <v>44</v>
      </c>
      <c r="E738" t="s">
        <v>34</v>
      </c>
      <c r="F738" s="3">
        <v>45515</v>
      </c>
      <c r="G738" s="3">
        <v>45733</v>
      </c>
      <c r="H738" s="2">
        <v>9</v>
      </c>
      <c r="I738" s="1">
        <v>2257.65</v>
      </c>
      <c r="J738" s="1">
        <v>250.85</v>
      </c>
      <c r="K738" t="s">
        <v>45</v>
      </c>
      <c r="L738" t="s">
        <v>30</v>
      </c>
      <c r="M738" s="2">
        <v>2</v>
      </c>
      <c r="N738" t="s">
        <v>21</v>
      </c>
    </row>
    <row r="739" spans="1:14" x14ac:dyDescent="0.3">
      <c r="A739" t="s">
        <v>775</v>
      </c>
      <c r="B739" s="2">
        <v>49</v>
      </c>
      <c r="C739" t="s">
        <v>23</v>
      </c>
      <c r="D739" t="s">
        <v>42</v>
      </c>
      <c r="E739" t="s">
        <v>18</v>
      </c>
      <c r="F739" s="3">
        <v>45538</v>
      </c>
      <c r="G739" s="3">
        <v>45648</v>
      </c>
      <c r="H739" s="2">
        <v>19</v>
      </c>
      <c r="I739" s="1">
        <v>2257.39</v>
      </c>
      <c r="J739" s="1">
        <v>118.81</v>
      </c>
      <c r="K739" t="s">
        <v>39</v>
      </c>
      <c r="L739" t="s">
        <v>26</v>
      </c>
      <c r="M739" s="2">
        <v>3</v>
      </c>
      <c r="N739" t="s">
        <v>31</v>
      </c>
    </row>
    <row r="740" spans="1:14" x14ac:dyDescent="0.3">
      <c r="A740" t="s">
        <v>776</v>
      </c>
      <c r="B740" s="2">
        <v>35</v>
      </c>
      <c r="C740" t="s">
        <v>16</v>
      </c>
      <c r="D740" t="s">
        <v>50</v>
      </c>
      <c r="E740" t="s">
        <v>18</v>
      </c>
      <c r="F740" s="3">
        <v>45337</v>
      </c>
      <c r="G740" s="3">
        <v>45471</v>
      </c>
      <c r="H740" s="2">
        <v>15</v>
      </c>
      <c r="I740" s="1">
        <v>2253.3000000000002</v>
      </c>
      <c r="J740" s="1">
        <v>150.22</v>
      </c>
      <c r="K740" t="s">
        <v>39</v>
      </c>
      <c r="L740" t="s">
        <v>20</v>
      </c>
      <c r="M740" s="2">
        <v>6</v>
      </c>
      <c r="N740" t="s">
        <v>21</v>
      </c>
    </row>
    <row r="741" spans="1:14" x14ac:dyDescent="0.3">
      <c r="A741" t="s">
        <v>777</v>
      </c>
      <c r="B741" s="2">
        <v>37</v>
      </c>
      <c r="C741" t="s">
        <v>23</v>
      </c>
      <c r="D741" t="s">
        <v>28</v>
      </c>
      <c r="E741" t="s">
        <v>29</v>
      </c>
      <c r="F741" s="3">
        <v>45640</v>
      </c>
      <c r="G741" s="3">
        <v>45899</v>
      </c>
      <c r="H741" s="2">
        <v>9</v>
      </c>
      <c r="I741" s="1">
        <v>2247.75</v>
      </c>
      <c r="J741" s="1">
        <v>249.75</v>
      </c>
      <c r="K741" t="s">
        <v>35</v>
      </c>
      <c r="L741" t="s">
        <v>20</v>
      </c>
      <c r="M741" s="2">
        <v>8</v>
      </c>
      <c r="N741" t="s">
        <v>21</v>
      </c>
    </row>
    <row r="742" spans="1:14" x14ac:dyDescent="0.3">
      <c r="A742" t="s">
        <v>778</v>
      </c>
      <c r="B742" s="2">
        <v>46</v>
      </c>
      <c r="C742" t="s">
        <v>16</v>
      </c>
      <c r="D742" t="s">
        <v>28</v>
      </c>
      <c r="E742" t="s">
        <v>29</v>
      </c>
      <c r="F742" s="3">
        <v>45480</v>
      </c>
      <c r="G742" s="3">
        <v>45579</v>
      </c>
      <c r="H742" s="2">
        <v>11</v>
      </c>
      <c r="I742" s="1">
        <v>2246.64</v>
      </c>
      <c r="J742" s="1">
        <v>204.24</v>
      </c>
      <c r="K742" t="s">
        <v>19</v>
      </c>
      <c r="L742" t="s">
        <v>20</v>
      </c>
      <c r="M742" s="2">
        <v>5</v>
      </c>
      <c r="N742" t="s">
        <v>21</v>
      </c>
    </row>
    <row r="743" spans="1:14" x14ac:dyDescent="0.3">
      <c r="A743" t="s">
        <v>779</v>
      </c>
      <c r="B743" s="2">
        <v>36</v>
      </c>
      <c r="C743" t="s">
        <v>16</v>
      </c>
      <c r="D743" t="s">
        <v>24</v>
      </c>
      <c r="E743" t="s">
        <v>29</v>
      </c>
      <c r="F743" s="3">
        <v>45721</v>
      </c>
      <c r="G743" s="3">
        <v>45878</v>
      </c>
      <c r="H743" s="2">
        <v>10</v>
      </c>
      <c r="I743" s="1">
        <v>2244.4</v>
      </c>
      <c r="J743" s="1">
        <v>224.44</v>
      </c>
      <c r="K743" t="s">
        <v>25</v>
      </c>
      <c r="L743" t="s">
        <v>30</v>
      </c>
      <c r="M743" s="2">
        <v>10</v>
      </c>
      <c r="N743" t="s">
        <v>21</v>
      </c>
    </row>
    <row r="744" spans="1:14" x14ac:dyDescent="0.3">
      <c r="A744" t="s">
        <v>780</v>
      </c>
      <c r="B744" s="2">
        <v>47</v>
      </c>
      <c r="C744" t="s">
        <v>16</v>
      </c>
      <c r="D744" t="s">
        <v>42</v>
      </c>
      <c r="E744" t="s">
        <v>38</v>
      </c>
      <c r="F744" s="3">
        <v>45562</v>
      </c>
      <c r="G744" s="3">
        <v>45653</v>
      </c>
      <c r="H744" s="2">
        <v>15</v>
      </c>
      <c r="I744" s="1">
        <v>2243.4</v>
      </c>
      <c r="J744" s="1">
        <v>149.56</v>
      </c>
      <c r="K744" t="s">
        <v>19</v>
      </c>
      <c r="L744" t="s">
        <v>30</v>
      </c>
      <c r="M744" s="2">
        <v>7</v>
      </c>
      <c r="N744" t="s">
        <v>21</v>
      </c>
    </row>
    <row r="745" spans="1:14" x14ac:dyDescent="0.3">
      <c r="A745" t="s">
        <v>781</v>
      </c>
      <c r="B745" s="2">
        <v>42</v>
      </c>
      <c r="C745" t="s">
        <v>23</v>
      </c>
      <c r="D745" t="s">
        <v>50</v>
      </c>
      <c r="E745" t="s">
        <v>29</v>
      </c>
      <c r="F745" s="3">
        <v>45668</v>
      </c>
      <c r="G745" s="3">
        <v>45960</v>
      </c>
      <c r="H745" s="2">
        <v>15</v>
      </c>
      <c r="I745" s="1">
        <v>2239.0500000000002</v>
      </c>
      <c r="J745" s="1">
        <v>149.27000000000001</v>
      </c>
      <c r="K745" t="s">
        <v>19</v>
      </c>
      <c r="L745" t="s">
        <v>30</v>
      </c>
      <c r="M745" s="2">
        <v>5</v>
      </c>
      <c r="N745" t="s">
        <v>21</v>
      </c>
    </row>
    <row r="746" spans="1:14" x14ac:dyDescent="0.3">
      <c r="A746" t="s">
        <v>782</v>
      </c>
      <c r="B746" s="2">
        <v>44</v>
      </c>
      <c r="C746" t="s">
        <v>23</v>
      </c>
      <c r="D746" t="s">
        <v>24</v>
      </c>
      <c r="E746" t="s">
        <v>38</v>
      </c>
      <c r="F746" s="3">
        <v>45356</v>
      </c>
      <c r="G746" s="3">
        <v>45560</v>
      </c>
      <c r="H746" s="2">
        <v>8</v>
      </c>
      <c r="I746" s="1">
        <v>2232.8000000000002</v>
      </c>
      <c r="J746" s="1">
        <v>279.10000000000002</v>
      </c>
      <c r="K746" t="s">
        <v>25</v>
      </c>
      <c r="L746" t="s">
        <v>30</v>
      </c>
      <c r="M746" s="2">
        <v>3</v>
      </c>
      <c r="N746" t="s">
        <v>21</v>
      </c>
    </row>
    <row r="747" spans="1:14" x14ac:dyDescent="0.3">
      <c r="A747" t="s">
        <v>783</v>
      </c>
      <c r="B747" s="2">
        <v>51</v>
      </c>
      <c r="C747" t="s">
        <v>23</v>
      </c>
      <c r="D747" t="s">
        <v>44</v>
      </c>
      <c r="E747" t="s">
        <v>29</v>
      </c>
      <c r="F747" s="3">
        <v>45752</v>
      </c>
      <c r="G747" s="3">
        <v>45884</v>
      </c>
      <c r="H747" s="2">
        <v>25</v>
      </c>
      <c r="I747" s="1">
        <v>2230.75</v>
      </c>
      <c r="J747" s="1">
        <v>89.23</v>
      </c>
      <c r="K747" t="s">
        <v>45</v>
      </c>
      <c r="L747" t="s">
        <v>26</v>
      </c>
      <c r="M747" s="2">
        <v>2</v>
      </c>
      <c r="N747" t="s">
        <v>21</v>
      </c>
    </row>
    <row r="748" spans="1:14" x14ac:dyDescent="0.3">
      <c r="A748" t="s">
        <v>784</v>
      </c>
      <c r="B748" s="2">
        <v>42</v>
      </c>
      <c r="C748" t="s">
        <v>16</v>
      </c>
      <c r="D748" t="s">
        <v>28</v>
      </c>
      <c r="E748" t="s">
        <v>29</v>
      </c>
      <c r="F748" s="3">
        <v>45503</v>
      </c>
      <c r="G748" s="3">
        <v>45798</v>
      </c>
      <c r="H748" s="2">
        <v>15</v>
      </c>
      <c r="I748" s="1">
        <v>2228.5500000000002</v>
      </c>
      <c r="J748" s="1">
        <v>148.57</v>
      </c>
      <c r="K748" t="s">
        <v>35</v>
      </c>
      <c r="L748" t="s">
        <v>20</v>
      </c>
      <c r="M748" s="2">
        <v>2</v>
      </c>
      <c r="N748" t="s">
        <v>21</v>
      </c>
    </row>
    <row r="749" spans="1:14" x14ac:dyDescent="0.3">
      <c r="A749" t="s">
        <v>785</v>
      </c>
      <c r="B749" s="2">
        <v>46</v>
      </c>
      <c r="C749" t="s">
        <v>23</v>
      </c>
      <c r="D749" t="s">
        <v>50</v>
      </c>
      <c r="E749" t="s">
        <v>34</v>
      </c>
      <c r="F749" s="3">
        <v>45501</v>
      </c>
      <c r="G749" s="3">
        <v>45520</v>
      </c>
      <c r="H749" s="2">
        <v>8</v>
      </c>
      <c r="I749" s="1">
        <v>2228.48</v>
      </c>
      <c r="J749" s="1">
        <v>278.56</v>
      </c>
      <c r="K749" t="s">
        <v>45</v>
      </c>
      <c r="L749" t="s">
        <v>20</v>
      </c>
      <c r="M749" s="2">
        <v>1</v>
      </c>
      <c r="N749" t="s">
        <v>21</v>
      </c>
    </row>
    <row r="750" spans="1:14" x14ac:dyDescent="0.3">
      <c r="A750" t="s">
        <v>786</v>
      </c>
      <c r="B750" s="2">
        <v>19</v>
      </c>
      <c r="C750" t="s">
        <v>23</v>
      </c>
      <c r="D750" t="s">
        <v>61</v>
      </c>
      <c r="E750" t="s">
        <v>34</v>
      </c>
      <c r="F750" s="3">
        <v>45926</v>
      </c>
      <c r="G750" s="3">
        <v>45977</v>
      </c>
      <c r="H750" s="2">
        <v>11</v>
      </c>
      <c r="I750" s="1">
        <v>2224.86</v>
      </c>
      <c r="J750" s="1">
        <v>202.26</v>
      </c>
      <c r="K750" t="s">
        <v>19</v>
      </c>
      <c r="L750" t="s">
        <v>30</v>
      </c>
      <c r="M750" s="2">
        <v>2</v>
      </c>
      <c r="N750" t="s">
        <v>21</v>
      </c>
    </row>
    <row r="751" spans="1:14" x14ac:dyDescent="0.3">
      <c r="A751" t="s">
        <v>787</v>
      </c>
      <c r="B751" s="2">
        <v>25</v>
      </c>
      <c r="C751" t="s">
        <v>23</v>
      </c>
      <c r="D751" t="s">
        <v>44</v>
      </c>
      <c r="E751" t="s">
        <v>29</v>
      </c>
      <c r="F751" s="3">
        <v>45653</v>
      </c>
      <c r="G751" s="3">
        <v>45679</v>
      </c>
      <c r="H751" s="2">
        <v>14</v>
      </c>
      <c r="I751" s="1">
        <v>2222.36</v>
      </c>
      <c r="J751" s="1">
        <v>158.74</v>
      </c>
      <c r="K751" t="s">
        <v>19</v>
      </c>
      <c r="L751" t="s">
        <v>30</v>
      </c>
      <c r="M751" s="2">
        <v>5</v>
      </c>
      <c r="N751" t="s">
        <v>31</v>
      </c>
    </row>
    <row r="752" spans="1:14" x14ac:dyDescent="0.3">
      <c r="A752" t="s">
        <v>788</v>
      </c>
      <c r="B752" s="2">
        <v>56</v>
      </c>
      <c r="C752" t="s">
        <v>23</v>
      </c>
      <c r="D752" t="s">
        <v>24</v>
      </c>
      <c r="E752" t="s">
        <v>18</v>
      </c>
      <c r="F752" s="3">
        <v>45325</v>
      </c>
      <c r="G752" s="3">
        <v>45405</v>
      </c>
      <c r="H752" s="2">
        <v>18</v>
      </c>
      <c r="I752" s="1">
        <v>2221.38</v>
      </c>
      <c r="J752" s="1">
        <v>123.41</v>
      </c>
      <c r="K752" t="s">
        <v>45</v>
      </c>
      <c r="L752" t="s">
        <v>20</v>
      </c>
      <c r="M752" s="2">
        <v>5</v>
      </c>
      <c r="N752" t="s">
        <v>21</v>
      </c>
    </row>
    <row r="753" spans="1:14" x14ac:dyDescent="0.3">
      <c r="A753" t="s">
        <v>789</v>
      </c>
      <c r="B753" s="2">
        <v>40</v>
      </c>
      <c r="C753" t="s">
        <v>16</v>
      </c>
      <c r="D753" t="s">
        <v>28</v>
      </c>
      <c r="E753" t="s">
        <v>34</v>
      </c>
      <c r="F753" s="3">
        <v>45703</v>
      </c>
      <c r="G753" s="3">
        <v>45986</v>
      </c>
      <c r="H753" s="2">
        <v>10</v>
      </c>
      <c r="I753" s="1">
        <v>2220.3000000000002</v>
      </c>
      <c r="J753" s="1">
        <v>222.03</v>
      </c>
      <c r="K753" t="s">
        <v>19</v>
      </c>
      <c r="L753" t="s">
        <v>20</v>
      </c>
      <c r="M753" s="2">
        <v>3</v>
      </c>
      <c r="N753" t="s">
        <v>21</v>
      </c>
    </row>
    <row r="754" spans="1:14" x14ac:dyDescent="0.3">
      <c r="A754" t="s">
        <v>790</v>
      </c>
      <c r="B754" s="2">
        <v>55</v>
      </c>
      <c r="C754" t="s">
        <v>16</v>
      </c>
      <c r="D754" t="s">
        <v>61</v>
      </c>
      <c r="E754" t="s">
        <v>29</v>
      </c>
      <c r="F754" s="3">
        <v>45644</v>
      </c>
      <c r="G754" s="3">
        <v>45762</v>
      </c>
      <c r="H754" s="2">
        <v>15</v>
      </c>
      <c r="I754" s="1">
        <v>2219.1</v>
      </c>
      <c r="J754" s="1">
        <v>147.94</v>
      </c>
      <c r="K754" t="s">
        <v>25</v>
      </c>
      <c r="L754" t="s">
        <v>30</v>
      </c>
      <c r="M754" s="2">
        <v>1</v>
      </c>
      <c r="N754" t="s">
        <v>21</v>
      </c>
    </row>
    <row r="755" spans="1:14" x14ac:dyDescent="0.3">
      <c r="A755" t="s">
        <v>791</v>
      </c>
      <c r="B755" s="2">
        <v>62</v>
      </c>
      <c r="C755" t="s">
        <v>16</v>
      </c>
      <c r="D755" t="s">
        <v>17</v>
      </c>
      <c r="E755" t="s">
        <v>38</v>
      </c>
      <c r="F755" s="3">
        <v>45326</v>
      </c>
      <c r="G755" s="3">
        <v>45543</v>
      </c>
      <c r="H755" s="2">
        <v>17</v>
      </c>
      <c r="I755" s="1">
        <v>2216.9699999999998</v>
      </c>
      <c r="J755" s="1">
        <v>130.41</v>
      </c>
      <c r="K755" t="s">
        <v>25</v>
      </c>
      <c r="L755" t="s">
        <v>30</v>
      </c>
      <c r="M755" s="2">
        <v>9</v>
      </c>
      <c r="N755" t="s">
        <v>21</v>
      </c>
    </row>
    <row r="756" spans="1:14" x14ac:dyDescent="0.3">
      <c r="A756" t="s">
        <v>792</v>
      </c>
      <c r="B756" s="2">
        <v>30</v>
      </c>
      <c r="C756" t="s">
        <v>23</v>
      </c>
      <c r="D756" t="s">
        <v>42</v>
      </c>
      <c r="E756" t="s">
        <v>29</v>
      </c>
      <c r="F756" s="3">
        <v>45880</v>
      </c>
      <c r="G756" s="3">
        <v>46152</v>
      </c>
      <c r="H756" s="2">
        <v>17</v>
      </c>
      <c r="I756" s="1">
        <v>2216.29</v>
      </c>
      <c r="J756" s="1">
        <v>130.37</v>
      </c>
      <c r="K756" t="s">
        <v>35</v>
      </c>
      <c r="L756" t="s">
        <v>30</v>
      </c>
      <c r="M756" s="2">
        <v>5</v>
      </c>
      <c r="N756" t="s">
        <v>21</v>
      </c>
    </row>
    <row r="757" spans="1:14" x14ac:dyDescent="0.3">
      <c r="A757" t="s">
        <v>793</v>
      </c>
      <c r="B757" s="2">
        <v>42</v>
      </c>
      <c r="C757" t="s">
        <v>16</v>
      </c>
      <c r="D757" t="s">
        <v>24</v>
      </c>
      <c r="E757" t="s">
        <v>29</v>
      </c>
      <c r="F757" s="3">
        <v>45438</v>
      </c>
      <c r="G757" s="3">
        <v>45441</v>
      </c>
      <c r="H757" s="2">
        <v>21</v>
      </c>
      <c r="I757" s="1">
        <v>2212.56</v>
      </c>
      <c r="J757" s="1">
        <v>105.36</v>
      </c>
      <c r="K757" t="s">
        <v>35</v>
      </c>
      <c r="L757" t="s">
        <v>26</v>
      </c>
      <c r="M757" s="2">
        <v>8</v>
      </c>
      <c r="N757" t="s">
        <v>31</v>
      </c>
    </row>
    <row r="758" spans="1:14" x14ac:dyDescent="0.3">
      <c r="A758" t="s">
        <v>794</v>
      </c>
      <c r="B758" s="2">
        <v>30</v>
      </c>
      <c r="C758" t="s">
        <v>16</v>
      </c>
      <c r="D758" t="s">
        <v>42</v>
      </c>
      <c r="E758" t="s">
        <v>34</v>
      </c>
      <c r="F758" s="3">
        <v>45549</v>
      </c>
      <c r="G758" s="3">
        <v>45642</v>
      </c>
      <c r="H758" s="2">
        <v>17</v>
      </c>
      <c r="I758" s="1">
        <v>2211.5300000000002</v>
      </c>
      <c r="J758" s="1">
        <v>130.09</v>
      </c>
      <c r="K758" t="s">
        <v>25</v>
      </c>
      <c r="L758" t="s">
        <v>20</v>
      </c>
      <c r="M758" s="2">
        <v>4</v>
      </c>
      <c r="N758" t="s">
        <v>21</v>
      </c>
    </row>
    <row r="759" spans="1:14" x14ac:dyDescent="0.3">
      <c r="A759" t="s">
        <v>795</v>
      </c>
      <c r="B759" s="2">
        <v>27</v>
      </c>
      <c r="C759" t="s">
        <v>23</v>
      </c>
      <c r="D759" t="s">
        <v>24</v>
      </c>
      <c r="E759" t="s">
        <v>18</v>
      </c>
      <c r="F759" s="3">
        <v>45834</v>
      </c>
      <c r="G759" s="3">
        <v>45955</v>
      </c>
      <c r="H759" s="2">
        <v>14</v>
      </c>
      <c r="I759" s="1">
        <v>2208.7800000000002</v>
      </c>
      <c r="J759" s="1">
        <v>157.77000000000001</v>
      </c>
      <c r="K759" t="s">
        <v>25</v>
      </c>
      <c r="L759" t="s">
        <v>20</v>
      </c>
      <c r="M759" s="2">
        <v>7</v>
      </c>
      <c r="N759" t="s">
        <v>31</v>
      </c>
    </row>
    <row r="760" spans="1:14" x14ac:dyDescent="0.3">
      <c r="A760" t="s">
        <v>796</v>
      </c>
      <c r="B760" s="2">
        <v>26</v>
      </c>
      <c r="C760" t="s">
        <v>23</v>
      </c>
      <c r="D760" t="s">
        <v>17</v>
      </c>
      <c r="E760" t="s">
        <v>34</v>
      </c>
      <c r="F760" s="3">
        <v>45534</v>
      </c>
      <c r="G760" s="3">
        <v>45753</v>
      </c>
      <c r="H760" s="2">
        <v>25</v>
      </c>
      <c r="I760" s="1">
        <v>2204.75</v>
      </c>
      <c r="J760" s="1">
        <v>88.19</v>
      </c>
      <c r="K760" t="s">
        <v>25</v>
      </c>
      <c r="L760" t="s">
        <v>30</v>
      </c>
      <c r="M760" s="2">
        <v>7</v>
      </c>
      <c r="N760" t="s">
        <v>31</v>
      </c>
    </row>
    <row r="761" spans="1:14" x14ac:dyDescent="0.3">
      <c r="A761" t="s">
        <v>797</v>
      </c>
      <c r="B761" s="2">
        <v>47</v>
      </c>
      <c r="C761" t="s">
        <v>23</v>
      </c>
      <c r="D761" t="s">
        <v>50</v>
      </c>
      <c r="E761" t="s">
        <v>29</v>
      </c>
      <c r="F761" s="3">
        <v>45353</v>
      </c>
      <c r="G761" s="3">
        <v>45583</v>
      </c>
      <c r="H761" s="2">
        <v>13</v>
      </c>
      <c r="I761" s="1">
        <v>2203.63</v>
      </c>
      <c r="J761" s="1">
        <v>169.51</v>
      </c>
      <c r="K761" t="s">
        <v>25</v>
      </c>
      <c r="L761" t="s">
        <v>20</v>
      </c>
      <c r="M761" s="2">
        <v>4</v>
      </c>
      <c r="N761" t="s">
        <v>21</v>
      </c>
    </row>
    <row r="762" spans="1:14" x14ac:dyDescent="0.3">
      <c r="A762" t="s">
        <v>798</v>
      </c>
      <c r="B762" s="2">
        <v>29</v>
      </c>
      <c r="C762" t="s">
        <v>16</v>
      </c>
      <c r="D762" t="s">
        <v>44</v>
      </c>
      <c r="E762" t="s">
        <v>34</v>
      </c>
      <c r="F762" s="3">
        <v>45859</v>
      </c>
      <c r="G762" s="3">
        <v>46073</v>
      </c>
      <c r="H762" s="2">
        <v>19</v>
      </c>
      <c r="I762" s="1">
        <v>2195.64</v>
      </c>
      <c r="J762" s="1">
        <v>115.56</v>
      </c>
      <c r="K762" t="s">
        <v>35</v>
      </c>
      <c r="L762" t="s">
        <v>26</v>
      </c>
      <c r="M762" s="2">
        <v>5</v>
      </c>
      <c r="N762" t="s">
        <v>21</v>
      </c>
    </row>
    <row r="763" spans="1:14" x14ac:dyDescent="0.3">
      <c r="A763" t="s">
        <v>799</v>
      </c>
      <c r="B763" s="2">
        <v>23</v>
      </c>
      <c r="C763" t="s">
        <v>16</v>
      </c>
      <c r="D763" t="s">
        <v>28</v>
      </c>
      <c r="E763" t="s">
        <v>34</v>
      </c>
      <c r="F763" s="3">
        <v>45427</v>
      </c>
      <c r="G763" s="3">
        <v>45434</v>
      </c>
      <c r="H763" s="2">
        <v>9</v>
      </c>
      <c r="I763" s="1">
        <v>2194.92</v>
      </c>
      <c r="J763" s="1">
        <v>243.88</v>
      </c>
      <c r="K763" t="s">
        <v>45</v>
      </c>
      <c r="L763" t="s">
        <v>20</v>
      </c>
      <c r="M763" s="2">
        <v>7</v>
      </c>
      <c r="N763" t="s">
        <v>21</v>
      </c>
    </row>
    <row r="764" spans="1:14" x14ac:dyDescent="0.3">
      <c r="A764" t="s">
        <v>800</v>
      </c>
      <c r="B764" s="2">
        <v>62</v>
      </c>
      <c r="C764" t="s">
        <v>16</v>
      </c>
      <c r="D764" t="s">
        <v>17</v>
      </c>
      <c r="E764" t="s">
        <v>34</v>
      </c>
      <c r="F764" s="3">
        <v>45474</v>
      </c>
      <c r="G764" s="3">
        <v>45556</v>
      </c>
      <c r="H764" s="2">
        <v>22</v>
      </c>
      <c r="I764" s="1">
        <v>2191.86</v>
      </c>
      <c r="J764" s="1">
        <v>99.63</v>
      </c>
      <c r="K764" t="s">
        <v>39</v>
      </c>
      <c r="L764" t="s">
        <v>30</v>
      </c>
      <c r="M764" s="2">
        <v>5</v>
      </c>
      <c r="N764" t="s">
        <v>21</v>
      </c>
    </row>
    <row r="765" spans="1:14" x14ac:dyDescent="0.3">
      <c r="A765" t="s">
        <v>801</v>
      </c>
      <c r="B765" s="2">
        <v>54</v>
      </c>
      <c r="C765" t="s">
        <v>16</v>
      </c>
      <c r="D765" t="s">
        <v>50</v>
      </c>
      <c r="E765" t="s">
        <v>34</v>
      </c>
      <c r="F765" s="3">
        <v>45440</v>
      </c>
      <c r="G765" s="3">
        <v>45714</v>
      </c>
      <c r="H765" s="2">
        <v>12</v>
      </c>
      <c r="I765" s="1">
        <v>2186.4</v>
      </c>
      <c r="J765" s="1">
        <v>182.2</v>
      </c>
      <c r="K765" t="s">
        <v>19</v>
      </c>
      <c r="L765" t="s">
        <v>30</v>
      </c>
      <c r="M765" s="2">
        <v>5</v>
      </c>
      <c r="N765" t="s">
        <v>21</v>
      </c>
    </row>
    <row r="766" spans="1:14" x14ac:dyDescent="0.3">
      <c r="A766" t="s">
        <v>802</v>
      </c>
      <c r="B766" s="2">
        <v>19</v>
      </c>
      <c r="C766" t="s">
        <v>16</v>
      </c>
      <c r="D766" t="s">
        <v>24</v>
      </c>
      <c r="E766" t="s">
        <v>34</v>
      </c>
      <c r="F766" s="3">
        <v>45349</v>
      </c>
      <c r="G766" s="3">
        <v>45627</v>
      </c>
      <c r="H766" s="2">
        <v>23</v>
      </c>
      <c r="I766" s="1">
        <v>2182.4699999999998</v>
      </c>
      <c r="J766" s="1">
        <v>94.89</v>
      </c>
      <c r="K766" t="s">
        <v>39</v>
      </c>
      <c r="L766" t="s">
        <v>20</v>
      </c>
      <c r="M766" s="2">
        <v>7</v>
      </c>
      <c r="N766" t="s">
        <v>21</v>
      </c>
    </row>
    <row r="767" spans="1:14" x14ac:dyDescent="0.3">
      <c r="A767" t="s">
        <v>803</v>
      </c>
      <c r="B767" s="2">
        <v>29</v>
      </c>
      <c r="C767" t="s">
        <v>16</v>
      </c>
      <c r="D767" t="s">
        <v>44</v>
      </c>
      <c r="E767" t="s">
        <v>29</v>
      </c>
      <c r="F767" s="3">
        <v>45896</v>
      </c>
      <c r="G767" s="3">
        <v>45993</v>
      </c>
      <c r="H767" s="2">
        <v>24</v>
      </c>
      <c r="I767" s="1">
        <v>2179.6799999999998</v>
      </c>
      <c r="J767" s="1">
        <v>90.82</v>
      </c>
      <c r="K767" t="s">
        <v>25</v>
      </c>
      <c r="L767" t="s">
        <v>20</v>
      </c>
      <c r="M767" s="2">
        <v>1</v>
      </c>
      <c r="N767" t="s">
        <v>31</v>
      </c>
    </row>
    <row r="768" spans="1:14" x14ac:dyDescent="0.3">
      <c r="A768" t="s">
        <v>804</v>
      </c>
      <c r="B768" s="2">
        <v>41</v>
      </c>
      <c r="C768" t="s">
        <v>16</v>
      </c>
      <c r="D768" t="s">
        <v>17</v>
      </c>
      <c r="E768" t="s">
        <v>34</v>
      </c>
      <c r="F768" s="3">
        <v>45887</v>
      </c>
      <c r="G768" s="3">
        <v>46007</v>
      </c>
      <c r="H768" s="2">
        <v>9</v>
      </c>
      <c r="I768" s="1">
        <v>2179.5300000000002</v>
      </c>
      <c r="J768" s="1">
        <v>242.17</v>
      </c>
      <c r="K768" t="s">
        <v>39</v>
      </c>
      <c r="L768" t="s">
        <v>26</v>
      </c>
      <c r="M768" s="2">
        <v>5</v>
      </c>
      <c r="N768" t="s">
        <v>31</v>
      </c>
    </row>
    <row r="769" spans="1:14" x14ac:dyDescent="0.3">
      <c r="A769" t="s">
        <v>805</v>
      </c>
      <c r="B769" s="2">
        <v>27</v>
      </c>
      <c r="C769" t="s">
        <v>16</v>
      </c>
      <c r="D769" t="s">
        <v>42</v>
      </c>
      <c r="E769" t="s">
        <v>18</v>
      </c>
      <c r="F769" s="3">
        <v>45704</v>
      </c>
      <c r="G769" s="3">
        <v>45958</v>
      </c>
      <c r="H769" s="2">
        <v>8</v>
      </c>
      <c r="I769" s="1">
        <v>2176.7199999999998</v>
      </c>
      <c r="J769" s="1">
        <v>272.08999999999997</v>
      </c>
      <c r="K769" t="s">
        <v>35</v>
      </c>
      <c r="L769" t="s">
        <v>20</v>
      </c>
      <c r="M769" s="2">
        <v>3</v>
      </c>
      <c r="N769" t="s">
        <v>21</v>
      </c>
    </row>
    <row r="770" spans="1:14" x14ac:dyDescent="0.3">
      <c r="A770" t="s">
        <v>806</v>
      </c>
      <c r="B770" s="2">
        <v>20</v>
      </c>
      <c r="C770" t="s">
        <v>23</v>
      </c>
      <c r="D770" t="s">
        <v>44</v>
      </c>
      <c r="E770" t="s">
        <v>34</v>
      </c>
      <c r="F770" s="3">
        <v>45711</v>
      </c>
      <c r="G770" s="3">
        <v>45909</v>
      </c>
      <c r="H770" s="2">
        <v>8</v>
      </c>
      <c r="I770" s="1">
        <v>2176.56</v>
      </c>
      <c r="J770" s="1">
        <v>272.07</v>
      </c>
      <c r="K770" t="s">
        <v>39</v>
      </c>
      <c r="L770" t="s">
        <v>30</v>
      </c>
      <c r="M770" s="2">
        <v>1</v>
      </c>
      <c r="N770" t="s">
        <v>21</v>
      </c>
    </row>
    <row r="771" spans="1:14" x14ac:dyDescent="0.3">
      <c r="A771" t="s">
        <v>807</v>
      </c>
      <c r="B771" s="2">
        <v>51</v>
      </c>
      <c r="C771" t="s">
        <v>23</v>
      </c>
      <c r="D771" t="s">
        <v>17</v>
      </c>
      <c r="E771" t="s">
        <v>29</v>
      </c>
      <c r="F771" s="3">
        <v>45884</v>
      </c>
      <c r="G771" s="3">
        <v>45932</v>
      </c>
      <c r="H771" s="2">
        <v>19</v>
      </c>
      <c r="I771" s="1">
        <v>2171.89</v>
      </c>
      <c r="J771" s="1">
        <v>114.31</v>
      </c>
      <c r="K771" t="s">
        <v>45</v>
      </c>
      <c r="L771" t="s">
        <v>30</v>
      </c>
      <c r="M771" s="2">
        <v>5</v>
      </c>
      <c r="N771" t="s">
        <v>31</v>
      </c>
    </row>
    <row r="772" spans="1:14" x14ac:dyDescent="0.3">
      <c r="A772" t="s">
        <v>808</v>
      </c>
      <c r="B772" s="2">
        <v>60</v>
      </c>
      <c r="C772" t="s">
        <v>16</v>
      </c>
      <c r="D772" t="s">
        <v>17</v>
      </c>
      <c r="E772" t="s">
        <v>18</v>
      </c>
      <c r="F772" s="3">
        <v>45364</v>
      </c>
      <c r="G772" s="3">
        <v>45483</v>
      </c>
      <c r="H772" s="2">
        <v>9</v>
      </c>
      <c r="I772" s="1">
        <v>2165.31</v>
      </c>
      <c r="J772" s="1">
        <v>240.59</v>
      </c>
      <c r="K772" t="s">
        <v>19</v>
      </c>
      <c r="L772" t="s">
        <v>30</v>
      </c>
      <c r="M772" s="2">
        <v>3</v>
      </c>
      <c r="N772" t="s">
        <v>21</v>
      </c>
    </row>
    <row r="773" spans="1:14" x14ac:dyDescent="0.3">
      <c r="A773" t="s">
        <v>809</v>
      </c>
      <c r="B773" s="2">
        <v>27</v>
      </c>
      <c r="C773" t="s">
        <v>23</v>
      </c>
      <c r="D773" t="s">
        <v>44</v>
      </c>
      <c r="E773" t="s">
        <v>34</v>
      </c>
      <c r="F773" s="3">
        <v>45799</v>
      </c>
      <c r="G773" s="3">
        <v>45868</v>
      </c>
      <c r="H773" s="2">
        <v>8</v>
      </c>
      <c r="I773" s="1">
        <v>2164.96</v>
      </c>
      <c r="J773" s="1">
        <v>270.62</v>
      </c>
      <c r="K773" t="s">
        <v>39</v>
      </c>
      <c r="L773" t="s">
        <v>26</v>
      </c>
      <c r="M773" s="2">
        <v>10</v>
      </c>
      <c r="N773" t="s">
        <v>21</v>
      </c>
    </row>
    <row r="774" spans="1:14" x14ac:dyDescent="0.3">
      <c r="A774" t="s">
        <v>810</v>
      </c>
      <c r="B774" s="2">
        <v>59</v>
      </c>
      <c r="C774" t="s">
        <v>16</v>
      </c>
      <c r="D774" t="s">
        <v>42</v>
      </c>
      <c r="E774" t="s">
        <v>18</v>
      </c>
      <c r="F774" s="3">
        <v>45832</v>
      </c>
      <c r="G774" s="3">
        <v>45985</v>
      </c>
      <c r="H774" s="2">
        <v>16</v>
      </c>
      <c r="I774" s="1">
        <v>2163.6799999999998</v>
      </c>
      <c r="J774" s="1">
        <v>135.22999999999999</v>
      </c>
      <c r="K774" t="s">
        <v>25</v>
      </c>
      <c r="L774" t="s">
        <v>30</v>
      </c>
      <c r="M774" s="2">
        <v>1</v>
      </c>
      <c r="N774" t="s">
        <v>21</v>
      </c>
    </row>
    <row r="775" spans="1:14" x14ac:dyDescent="0.3">
      <c r="A775" t="s">
        <v>811</v>
      </c>
      <c r="B775" s="2">
        <v>32</v>
      </c>
      <c r="C775" t="s">
        <v>23</v>
      </c>
      <c r="D775" t="s">
        <v>17</v>
      </c>
      <c r="E775" t="s">
        <v>38</v>
      </c>
      <c r="F775" s="3">
        <v>45709</v>
      </c>
      <c r="G775" s="3">
        <v>45977</v>
      </c>
      <c r="H775" s="2">
        <v>10</v>
      </c>
      <c r="I775" s="1">
        <v>2160.4</v>
      </c>
      <c r="J775" s="1">
        <v>216.04</v>
      </c>
      <c r="K775" t="s">
        <v>39</v>
      </c>
      <c r="L775" t="s">
        <v>20</v>
      </c>
      <c r="M775" s="2">
        <v>7</v>
      </c>
      <c r="N775" t="s">
        <v>21</v>
      </c>
    </row>
    <row r="776" spans="1:14" x14ac:dyDescent="0.3">
      <c r="A776" t="s">
        <v>812</v>
      </c>
      <c r="B776" s="2">
        <v>36</v>
      </c>
      <c r="C776" t="s">
        <v>23</v>
      </c>
      <c r="D776" t="s">
        <v>50</v>
      </c>
      <c r="E776" t="s">
        <v>34</v>
      </c>
      <c r="F776" s="3">
        <v>45865</v>
      </c>
      <c r="G776" s="3">
        <v>46038</v>
      </c>
      <c r="H776" s="2">
        <v>8</v>
      </c>
      <c r="I776" s="1">
        <v>2147.6799999999998</v>
      </c>
      <c r="J776" s="1">
        <v>268.45999999999998</v>
      </c>
      <c r="K776" t="s">
        <v>39</v>
      </c>
      <c r="L776" t="s">
        <v>26</v>
      </c>
      <c r="M776" s="2">
        <v>9</v>
      </c>
      <c r="N776" t="s">
        <v>21</v>
      </c>
    </row>
    <row r="777" spans="1:14" x14ac:dyDescent="0.3">
      <c r="A777" t="s">
        <v>813</v>
      </c>
      <c r="B777" s="2">
        <v>30</v>
      </c>
      <c r="C777" t="s">
        <v>23</v>
      </c>
      <c r="D777" t="s">
        <v>61</v>
      </c>
      <c r="E777" t="s">
        <v>29</v>
      </c>
      <c r="F777" s="3">
        <v>45373</v>
      </c>
      <c r="G777" s="3">
        <v>45571</v>
      </c>
      <c r="H777" s="2">
        <v>11</v>
      </c>
      <c r="I777" s="1">
        <v>2146.4299999999998</v>
      </c>
      <c r="J777" s="1">
        <v>195.13</v>
      </c>
      <c r="K777" t="s">
        <v>35</v>
      </c>
      <c r="L777" t="s">
        <v>26</v>
      </c>
      <c r="M777" s="2">
        <v>10</v>
      </c>
      <c r="N777" t="s">
        <v>21</v>
      </c>
    </row>
    <row r="778" spans="1:14" x14ac:dyDescent="0.3">
      <c r="A778" t="s">
        <v>814</v>
      </c>
      <c r="B778" s="2">
        <v>58</v>
      </c>
      <c r="C778" t="s">
        <v>16</v>
      </c>
      <c r="D778" t="s">
        <v>61</v>
      </c>
      <c r="E778" t="s">
        <v>29</v>
      </c>
      <c r="F778" s="3">
        <v>45467</v>
      </c>
      <c r="G778" s="3">
        <v>45642</v>
      </c>
      <c r="H778" s="2">
        <v>8</v>
      </c>
      <c r="I778" s="1">
        <v>2145.52</v>
      </c>
      <c r="J778" s="1">
        <v>268.19</v>
      </c>
      <c r="K778" t="s">
        <v>39</v>
      </c>
      <c r="L778" t="s">
        <v>26</v>
      </c>
      <c r="M778" s="2">
        <v>9</v>
      </c>
      <c r="N778" t="s">
        <v>21</v>
      </c>
    </row>
    <row r="779" spans="1:14" x14ac:dyDescent="0.3">
      <c r="A779" t="s">
        <v>815</v>
      </c>
      <c r="B779" s="2">
        <v>30</v>
      </c>
      <c r="C779" t="s">
        <v>16</v>
      </c>
      <c r="D779" t="s">
        <v>24</v>
      </c>
      <c r="E779" t="s">
        <v>18</v>
      </c>
      <c r="F779" s="3">
        <v>45635</v>
      </c>
      <c r="G779" s="3">
        <v>45682</v>
      </c>
      <c r="H779" s="2">
        <v>25</v>
      </c>
      <c r="I779" s="1">
        <v>2144</v>
      </c>
      <c r="J779" s="1">
        <v>85.76</v>
      </c>
      <c r="K779" t="s">
        <v>25</v>
      </c>
      <c r="L779" t="s">
        <v>26</v>
      </c>
      <c r="M779" s="2">
        <v>10</v>
      </c>
      <c r="N779" t="s">
        <v>21</v>
      </c>
    </row>
    <row r="780" spans="1:14" x14ac:dyDescent="0.3">
      <c r="A780" t="s">
        <v>816</v>
      </c>
      <c r="B780" s="2">
        <v>38</v>
      </c>
      <c r="C780" t="s">
        <v>23</v>
      </c>
      <c r="D780" t="s">
        <v>28</v>
      </c>
      <c r="E780" t="s">
        <v>34</v>
      </c>
      <c r="F780" s="3">
        <v>45560</v>
      </c>
      <c r="G780" s="3">
        <v>45833</v>
      </c>
      <c r="H780" s="2">
        <v>9</v>
      </c>
      <c r="I780" s="1">
        <v>2143.98</v>
      </c>
      <c r="J780" s="1">
        <v>238.22</v>
      </c>
      <c r="K780" t="s">
        <v>25</v>
      </c>
      <c r="L780" t="s">
        <v>30</v>
      </c>
      <c r="M780" s="2">
        <v>4</v>
      </c>
      <c r="N780" t="s">
        <v>21</v>
      </c>
    </row>
    <row r="781" spans="1:14" x14ac:dyDescent="0.3">
      <c r="A781" t="s">
        <v>817</v>
      </c>
      <c r="B781" s="2">
        <v>32</v>
      </c>
      <c r="C781" t="s">
        <v>16</v>
      </c>
      <c r="D781" t="s">
        <v>24</v>
      </c>
      <c r="E781" t="s">
        <v>34</v>
      </c>
      <c r="F781" s="3">
        <v>45428</v>
      </c>
      <c r="G781" s="3">
        <v>45436</v>
      </c>
      <c r="H781" s="2">
        <v>25</v>
      </c>
      <c r="I781" s="1">
        <v>2141</v>
      </c>
      <c r="J781" s="1">
        <v>85.64</v>
      </c>
      <c r="K781" t="s">
        <v>45</v>
      </c>
      <c r="L781" t="s">
        <v>20</v>
      </c>
      <c r="M781" s="2">
        <v>5</v>
      </c>
      <c r="N781" t="s">
        <v>21</v>
      </c>
    </row>
    <row r="782" spans="1:14" x14ac:dyDescent="0.3">
      <c r="A782" t="s">
        <v>818</v>
      </c>
      <c r="B782" s="2">
        <v>43</v>
      </c>
      <c r="C782" t="s">
        <v>16</v>
      </c>
      <c r="D782" t="s">
        <v>24</v>
      </c>
      <c r="E782" t="s">
        <v>18</v>
      </c>
      <c r="F782" s="3">
        <v>45938</v>
      </c>
      <c r="G782" s="3">
        <v>46105</v>
      </c>
      <c r="H782" s="2">
        <v>12</v>
      </c>
      <c r="I782" s="1">
        <v>2136.6</v>
      </c>
      <c r="J782" s="1">
        <v>178.05</v>
      </c>
      <c r="K782" t="s">
        <v>35</v>
      </c>
      <c r="L782" t="s">
        <v>20</v>
      </c>
      <c r="M782" s="2">
        <v>3</v>
      </c>
      <c r="N782" t="s">
        <v>21</v>
      </c>
    </row>
    <row r="783" spans="1:14" x14ac:dyDescent="0.3">
      <c r="A783" t="s">
        <v>819</v>
      </c>
      <c r="B783" s="2">
        <v>42</v>
      </c>
      <c r="C783" t="s">
        <v>16</v>
      </c>
      <c r="D783" t="s">
        <v>42</v>
      </c>
      <c r="E783" t="s">
        <v>38</v>
      </c>
      <c r="F783" s="3">
        <v>45946</v>
      </c>
      <c r="G783" s="3">
        <v>46153</v>
      </c>
      <c r="H783" s="2">
        <v>11</v>
      </c>
      <c r="I783" s="1">
        <v>2135.1</v>
      </c>
      <c r="J783" s="1">
        <v>194.1</v>
      </c>
      <c r="K783" t="s">
        <v>45</v>
      </c>
      <c r="L783" t="s">
        <v>26</v>
      </c>
      <c r="M783" s="2">
        <v>8</v>
      </c>
      <c r="N783" t="s">
        <v>21</v>
      </c>
    </row>
    <row r="784" spans="1:14" x14ac:dyDescent="0.3">
      <c r="A784" t="s">
        <v>820</v>
      </c>
      <c r="B784" s="2">
        <v>20</v>
      </c>
      <c r="C784" t="s">
        <v>23</v>
      </c>
      <c r="D784" t="s">
        <v>44</v>
      </c>
      <c r="E784" t="s">
        <v>18</v>
      </c>
      <c r="F784" s="3">
        <v>45892</v>
      </c>
      <c r="G784" s="3">
        <v>46057</v>
      </c>
      <c r="H784" s="2">
        <v>12</v>
      </c>
      <c r="I784" s="1">
        <v>2134.3200000000002</v>
      </c>
      <c r="J784" s="1">
        <v>177.86</v>
      </c>
      <c r="K784" t="s">
        <v>45</v>
      </c>
      <c r="L784" t="s">
        <v>30</v>
      </c>
      <c r="M784" s="2">
        <v>3</v>
      </c>
      <c r="N784" t="s">
        <v>21</v>
      </c>
    </row>
    <row r="785" spans="1:14" x14ac:dyDescent="0.3">
      <c r="A785" t="s">
        <v>821</v>
      </c>
      <c r="B785" s="2">
        <v>27</v>
      </c>
      <c r="C785" t="s">
        <v>16</v>
      </c>
      <c r="D785" t="s">
        <v>44</v>
      </c>
      <c r="E785" t="s">
        <v>34</v>
      </c>
      <c r="F785" s="3">
        <v>45860</v>
      </c>
      <c r="G785" s="3">
        <v>45974</v>
      </c>
      <c r="H785" s="2">
        <v>8</v>
      </c>
      <c r="I785" s="1">
        <v>2132.88</v>
      </c>
      <c r="J785" s="1">
        <v>266.61</v>
      </c>
      <c r="K785" t="s">
        <v>35</v>
      </c>
      <c r="L785" t="s">
        <v>20</v>
      </c>
      <c r="M785" s="2">
        <v>7</v>
      </c>
      <c r="N785" t="s">
        <v>21</v>
      </c>
    </row>
    <row r="786" spans="1:14" x14ac:dyDescent="0.3">
      <c r="A786" t="s">
        <v>822</v>
      </c>
      <c r="B786" s="2">
        <v>39</v>
      </c>
      <c r="C786" t="s">
        <v>23</v>
      </c>
      <c r="D786" t="s">
        <v>17</v>
      </c>
      <c r="E786" t="s">
        <v>38</v>
      </c>
      <c r="F786" s="3">
        <v>45442</v>
      </c>
      <c r="G786" s="3">
        <v>45493</v>
      </c>
      <c r="H786" s="2">
        <v>13</v>
      </c>
      <c r="I786" s="1">
        <v>2126.02</v>
      </c>
      <c r="J786" s="1">
        <v>163.54</v>
      </c>
      <c r="K786" t="s">
        <v>39</v>
      </c>
      <c r="L786" t="s">
        <v>30</v>
      </c>
      <c r="M786" s="2">
        <v>5</v>
      </c>
      <c r="N786" t="s">
        <v>21</v>
      </c>
    </row>
    <row r="787" spans="1:14" x14ac:dyDescent="0.3">
      <c r="A787" t="s">
        <v>823</v>
      </c>
      <c r="B787" s="2">
        <v>37</v>
      </c>
      <c r="C787" t="s">
        <v>23</v>
      </c>
      <c r="D787" t="s">
        <v>28</v>
      </c>
      <c r="E787" t="s">
        <v>38</v>
      </c>
      <c r="F787" s="3">
        <v>45786</v>
      </c>
      <c r="G787" s="3">
        <v>45877</v>
      </c>
      <c r="H787" s="2">
        <v>12</v>
      </c>
      <c r="I787" s="1">
        <v>2118.6</v>
      </c>
      <c r="J787" s="1">
        <v>176.55</v>
      </c>
      <c r="K787" t="s">
        <v>25</v>
      </c>
      <c r="L787" t="s">
        <v>20</v>
      </c>
      <c r="M787" s="2">
        <v>2</v>
      </c>
      <c r="N787" t="s">
        <v>21</v>
      </c>
    </row>
    <row r="788" spans="1:14" x14ac:dyDescent="0.3">
      <c r="A788" t="s">
        <v>824</v>
      </c>
      <c r="B788" s="2">
        <v>39</v>
      </c>
      <c r="C788" t="s">
        <v>23</v>
      </c>
      <c r="D788" t="s">
        <v>44</v>
      </c>
      <c r="E788" t="s">
        <v>34</v>
      </c>
      <c r="F788" s="3">
        <v>45915</v>
      </c>
      <c r="G788" s="3">
        <v>46059</v>
      </c>
      <c r="H788" s="2">
        <v>10</v>
      </c>
      <c r="I788" s="1">
        <v>2116.4</v>
      </c>
      <c r="J788" s="1">
        <v>211.64</v>
      </c>
      <c r="K788" t="s">
        <v>45</v>
      </c>
      <c r="L788" t="s">
        <v>26</v>
      </c>
      <c r="M788" s="2">
        <v>5</v>
      </c>
      <c r="N788" t="s">
        <v>21</v>
      </c>
    </row>
    <row r="789" spans="1:14" x14ac:dyDescent="0.3">
      <c r="A789" t="s">
        <v>825</v>
      </c>
      <c r="B789" s="2">
        <v>62</v>
      </c>
      <c r="C789" t="s">
        <v>23</v>
      </c>
      <c r="D789" t="s">
        <v>17</v>
      </c>
      <c r="E789" t="s">
        <v>18</v>
      </c>
      <c r="F789" s="3">
        <v>45382</v>
      </c>
      <c r="G789" s="3">
        <v>45567</v>
      </c>
      <c r="H789" s="2">
        <v>8</v>
      </c>
      <c r="I789" s="1">
        <v>2107.36</v>
      </c>
      <c r="J789" s="1">
        <v>263.42</v>
      </c>
      <c r="K789" t="s">
        <v>39</v>
      </c>
      <c r="L789" t="s">
        <v>26</v>
      </c>
      <c r="M789" s="2">
        <v>5</v>
      </c>
      <c r="N789" t="s">
        <v>21</v>
      </c>
    </row>
    <row r="790" spans="1:14" x14ac:dyDescent="0.3">
      <c r="A790" t="s">
        <v>826</v>
      </c>
      <c r="B790" s="2">
        <v>50</v>
      </c>
      <c r="C790" t="s">
        <v>23</v>
      </c>
      <c r="D790" t="s">
        <v>17</v>
      </c>
      <c r="E790" t="s">
        <v>38</v>
      </c>
      <c r="F790" s="3">
        <v>45332</v>
      </c>
      <c r="G790" s="3">
        <v>45362</v>
      </c>
      <c r="H790" s="2">
        <v>13</v>
      </c>
      <c r="I790" s="1">
        <v>2104.0500000000002</v>
      </c>
      <c r="J790" s="1">
        <v>161.85</v>
      </c>
      <c r="K790" t="s">
        <v>39</v>
      </c>
      <c r="L790" t="s">
        <v>20</v>
      </c>
      <c r="M790" s="2">
        <v>9</v>
      </c>
      <c r="N790" t="s">
        <v>21</v>
      </c>
    </row>
    <row r="791" spans="1:14" x14ac:dyDescent="0.3">
      <c r="A791" t="s">
        <v>827</v>
      </c>
      <c r="B791" s="2">
        <v>51</v>
      </c>
      <c r="C791" t="s">
        <v>16</v>
      </c>
      <c r="D791" t="s">
        <v>42</v>
      </c>
      <c r="E791" t="s">
        <v>18</v>
      </c>
      <c r="F791" s="3">
        <v>45345</v>
      </c>
      <c r="G791" s="3">
        <v>45591</v>
      </c>
      <c r="H791" s="2">
        <v>12</v>
      </c>
      <c r="I791" s="1">
        <v>2103.2399999999998</v>
      </c>
      <c r="J791" s="1">
        <v>175.27</v>
      </c>
      <c r="K791" t="s">
        <v>25</v>
      </c>
      <c r="L791" t="s">
        <v>26</v>
      </c>
      <c r="M791" s="2">
        <v>8</v>
      </c>
      <c r="N791" t="s">
        <v>31</v>
      </c>
    </row>
    <row r="792" spans="1:14" x14ac:dyDescent="0.3">
      <c r="A792" t="s">
        <v>828</v>
      </c>
      <c r="B792" s="2">
        <v>43</v>
      </c>
      <c r="C792" t="s">
        <v>23</v>
      </c>
      <c r="D792" t="s">
        <v>61</v>
      </c>
      <c r="E792" t="s">
        <v>18</v>
      </c>
      <c r="F792" s="3">
        <v>45342</v>
      </c>
      <c r="G792" s="3">
        <v>45428</v>
      </c>
      <c r="H792" s="2">
        <v>19</v>
      </c>
      <c r="I792" s="1">
        <v>2098.5500000000002</v>
      </c>
      <c r="J792" s="1">
        <v>110.45</v>
      </c>
      <c r="K792" t="s">
        <v>39</v>
      </c>
      <c r="L792" t="s">
        <v>26</v>
      </c>
      <c r="M792" s="2">
        <v>5</v>
      </c>
      <c r="N792" t="s">
        <v>31</v>
      </c>
    </row>
    <row r="793" spans="1:14" x14ac:dyDescent="0.3">
      <c r="A793" t="s">
        <v>829</v>
      </c>
      <c r="B793" s="2">
        <v>29</v>
      </c>
      <c r="C793" t="s">
        <v>23</v>
      </c>
      <c r="D793" t="s">
        <v>24</v>
      </c>
      <c r="E793" t="s">
        <v>29</v>
      </c>
      <c r="F793" s="3">
        <v>45708</v>
      </c>
      <c r="G793" s="3">
        <v>45787</v>
      </c>
      <c r="H793" s="2">
        <v>8</v>
      </c>
      <c r="I793" s="1">
        <v>2096.7199999999998</v>
      </c>
      <c r="J793" s="1">
        <v>262.08999999999997</v>
      </c>
      <c r="K793" t="s">
        <v>45</v>
      </c>
      <c r="L793" t="s">
        <v>26</v>
      </c>
      <c r="M793" s="2">
        <v>4</v>
      </c>
      <c r="N793" t="s">
        <v>21</v>
      </c>
    </row>
    <row r="794" spans="1:14" x14ac:dyDescent="0.3">
      <c r="A794" t="s">
        <v>830</v>
      </c>
      <c r="B794" s="2">
        <v>57</v>
      </c>
      <c r="C794" t="s">
        <v>16</v>
      </c>
      <c r="D794" t="s">
        <v>17</v>
      </c>
      <c r="E794" t="s">
        <v>38</v>
      </c>
      <c r="F794" s="3">
        <v>45390</v>
      </c>
      <c r="G794" s="3">
        <v>45600</v>
      </c>
      <c r="H794" s="2">
        <v>8</v>
      </c>
      <c r="I794" s="1">
        <v>2096.64</v>
      </c>
      <c r="J794" s="1">
        <v>262.08</v>
      </c>
      <c r="K794" t="s">
        <v>35</v>
      </c>
      <c r="L794" t="s">
        <v>26</v>
      </c>
      <c r="M794" s="2">
        <v>10</v>
      </c>
      <c r="N794" t="s">
        <v>21</v>
      </c>
    </row>
    <row r="795" spans="1:14" x14ac:dyDescent="0.3">
      <c r="A795" t="s">
        <v>831</v>
      </c>
      <c r="B795" s="2">
        <v>43</v>
      </c>
      <c r="C795" t="s">
        <v>16</v>
      </c>
      <c r="D795" t="s">
        <v>24</v>
      </c>
      <c r="E795" t="s">
        <v>34</v>
      </c>
      <c r="F795" s="3">
        <v>45515</v>
      </c>
      <c r="G795" s="3">
        <v>45753</v>
      </c>
      <c r="H795" s="2">
        <v>10</v>
      </c>
      <c r="I795" s="1">
        <v>2096.1999999999998</v>
      </c>
      <c r="J795" s="1">
        <v>209.62</v>
      </c>
      <c r="K795" t="s">
        <v>19</v>
      </c>
      <c r="L795" t="s">
        <v>20</v>
      </c>
      <c r="M795" s="2">
        <v>10</v>
      </c>
      <c r="N795" t="s">
        <v>21</v>
      </c>
    </row>
    <row r="796" spans="1:14" x14ac:dyDescent="0.3">
      <c r="A796" t="s">
        <v>832</v>
      </c>
      <c r="B796" s="2">
        <v>35</v>
      </c>
      <c r="C796" t="s">
        <v>23</v>
      </c>
      <c r="D796" t="s">
        <v>17</v>
      </c>
      <c r="E796" t="s">
        <v>34</v>
      </c>
      <c r="F796" s="3">
        <v>45367</v>
      </c>
      <c r="G796" s="3">
        <v>45408</v>
      </c>
      <c r="H796" s="2">
        <v>11</v>
      </c>
      <c r="I796" s="1">
        <v>2093.52</v>
      </c>
      <c r="J796" s="1">
        <v>190.32</v>
      </c>
      <c r="K796" t="s">
        <v>35</v>
      </c>
      <c r="L796" t="s">
        <v>20</v>
      </c>
      <c r="M796" s="2">
        <v>10</v>
      </c>
      <c r="N796" t="s">
        <v>31</v>
      </c>
    </row>
    <row r="797" spans="1:14" x14ac:dyDescent="0.3">
      <c r="A797" t="s">
        <v>833</v>
      </c>
      <c r="B797" s="2">
        <v>21</v>
      </c>
      <c r="C797" t="s">
        <v>23</v>
      </c>
      <c r="D797" t="s">
        <v>44</v>
      </c>
      <c r="E797" t="s">
        <v>34</v>
      </c>
      <c r="F797" s="3">
        <v>45429</v>
      </c>
      <c r="G797" s="3">
        <v>45432</v>
      </c>
      <c r="H797" s="2">
        <v>9</v>
      </c>
      <c r="I797" s="1">
        <v>2090.0700000000002</v>
      </c>
      <c r="J797" s="1">
        <v>232.23</v>
      </c>
      <c r="K797" t="s">
        <v>39</v>
      </c>
      <c r="L797" t="s">
        <v>20</v>
      </c>
      <c r="M797" s="2">
        <v>4</v>
      </c>
      <c r="N797" t="s">
        <v>31</v>
      </c>
    </row>
    <row r="798" spans="1:14" x14ac:dyDescent="0.3">
      <c r="A798" t="s">
        <v>834</v>
      </c>
      <c r="B798" s="2">
        <v>42</v>
      </c>
      <c r="C798" t="s">
        <v>23</v>
      </c>
      <c r="D798" t="s">
        <v>28</v>
      </c>
      <c r="E798" t="s">
        <v>29</v>
      </c>
      <c r="F798" s="3">
        <v>45487</v>
      </c>
      <c r="G798" s="3">
        <v>45704</v>
      </c>
      <c r="H798" s="2">
        <v>12</v>
      </c>
      <c r="I798" s="1">
        <v>2086.92</v>
      </c>
      <c r="J798" s="1">
        <v>173.91</v>
      </c>
      <c r="K798" t="s">
        <v>25</v>
      </c>
      <c r="L798" t="s">
        <v>30</v>
      </c>
      <c r="M798" s="2">
        <v>5</v>
      </c>
      <c r="N798" t="s">
        <v>21</v>
      </c>
    </row>
    <row r="799" spans="1:14" x14ac:dyDescent="0.3">
      <c r="A799" t="s">
        <v>835</v>
      </c>
      <c r="B799" s="2">
        <v>21</v>
      </c>
      <c r="C799" t="s">
        <v>23</v>
      </c>
      <c r="D799" t="s">
        <v>17</v>
      </c>
      <c r="E799" t="s">
        <v>29</v>
      </c>
      <c r="F799" s="3">
        <v>45713</v>
      </c>
      <c r="G799" s="3">
        <v>45913</v>
      </c>
      <c r="H799" s="2">
        <v>15</v>
      </c>
      <c r="I799" s="1">
        <v>2085.9</v>
      </c>
      <c r="J799" s="1">
        <v>139.06</v>
      </c>
      <c r="K799" t="s">
        <v>45</v>
      </c>
      <c r="L799" t="s">
        <v>20</v>
      </c>
      <c r="M799" s="2">
        <v>1</v>
      </c>
      <c r="N799" t="s">
        <v>21</v>
      </c>
    </row>
    <row r="800" spans="1:14" x14ac:dyDescent="0.3">
      <c r="A800" t="s">
        <v>836</v>
      </c>
      <c r="B800" s="2">
        <v>25</v>
      </c>
      <c r="C800" t="s">
        <v>23</v>
      </c>
      <c r="D800" t="s">
        <v>50</v>
      </c>
      <c r="E800" t="s">
        <v>18</v>
      </c>
      <c r="F800" s="3">
        <v>45977</v>
      </c>
      <c r="G800" s="3">
        <v>46138</v>
      </c>
      <c r="H800" s="2">
        <v>8</v>
      </c>
      <c r="I800" s="1">
        <v>2079.1999999999998</v>
      </c>
      <c r="J800" s="1">
        <v>259.89999999999998</v>
      </c>
      <c r="K800" t="s">
        <v>39</v>
      </c>
      <c r="L800" t="s">
        <v>30</v>
      </c>
      <c r="M800" s="2">
        <v>7</v>
      </c>
      <c r="N800" t="s">
        <v>21</v>
      </c>
    </row>
    <row r="801" spans="1:14" x14ac:dyDescent="0.3">
      <c r="A801" t="s">
        <v>837</v>
      </c>
      <c r="B801" s="2">
        <v>29</v>
      </c>
      <c r="C801" t="s">
        <v>23</v>
      </c>
      <c r="D801" t="s">
        <v>44</v>
      </c>
      <c r="E801" t="s">
        <v>38</v>
      </c>
      <c r="F801" s="3">
        <v>45428</v>
      </c>
      <c r="G801" s="3">
        <v>45450</v>
      </c>
      <c r="H801" s="2">
        <v>12</v>
      </c>
      <c r="I801" s="1">
        <v>2074.56</v>
      </c>
      <c r="J801" s="1">
        <v>172.88</v>
      </c>
      <c r="K801" t="s">
        <v>25</v>
      </c>
      <c r="L801" t="s">
        <v>30</v>
      </c>
      <c r="M801" s="2">
        <v>2</v>
      </c>
      <c r="N801" t="s">
        <v>21</v>
      </c>
    </row>
    <row r="802" spans="1:14" x14ac:dyDescent="0.3">
      <c r="A802" t="s">
        <v>838</v>
      </c>
      <c r="B802" s="2">
        <v>42</v>
      </c>
      <c r="C802" t="s">
        <v>16</v>
      </c>
      <c r="D802" t="s">
        <v>42</v>
      </c>
      <c r="E802" t="s">
        <v>38</v>
      </c>
      <c r="F802" s="3">
        <v>45774</v>
      </c>
      <c r="G802" s="3">
        <v>46024</v>
      </c>
      <c r="H802" s="2">
        <v>22</v>
      </c>
      <c r="I802" s="1">
        <v>2072.4</v>
      </c>
      <c r="J802" s="1">
        <v>94.2</v>
      </c>
      <c r="K802" t="s">
        <v>45</v>
      </c>
      <c r="L802" t="s">
        <v>30</v>
      </c>
      <c r="M802" s="2">
        <v>8</v>
      </c>
      <c r="N802" t="s">
        <v>21</v>
      </c>
    </row>
    <row r="803" spans="1:14" x14ac:dyDescent="0.3">
      <c r="A803" t="s">
        <v>839</v>
      </c>
      <c r="B803" s="2">
        <v>34</v>
      </c>
      <c r="C803" t="s">
        <v>16</v>
      </c>
      <c r="D803" t="s">
        <v>61</v>
      </c>
      <c r="E803" t="s">
        <v>18</v>
      </c>
      <c r="F803" s="3">
        <v>45461</v>
      </c>
      <c r="G803" s="3">
        <v>45645</v>
      </c>
      <c r="H803" s="2">
        <v>9</v>
      </c>
      <c r="I803" s="1">
        <v>2071.17</v>
      </c>
      <c r="J803" s="1">
        <v>230.13</v>
      </c>
      <c r="K803" t="s">
        <v>35</v>
      </c>
      <c r="L803" t="s">
        <v>26</v>
      </c>
      <c r="M803" s="2">
        <v>1</v>
      </c>
      <c r="N803" t="s">
        <v>21</v>
      </c>
    </row>
    <row r="804" spans="1:14" x14ac:dyDescent="0.3">
      <c r="A804" t="s">
        <v>840</v>
      </c>
      <c r="B804" s="2">
        <v>47</v>
      </c>
      <c r="C804" t="s">
        <v>16</v>
      </c>
      <c r="D804" t="s">
        <v>42</v>
      </c>
      <c r="E804" t="s">
        <v>18</v>
      </c>
      <c r="F804" s="3">
        <v>45637</v>
      </c>
      <c r="G804" s="3">
        <v>45657</v>
      </c>
      <c r="H804" s="2">
        <v>9</v>
      </c>
      <c r="I804" s="1">
        <v>2070</v>
      </c>
      <c r="J804" s="1">
        <v>230</v>
      </c>
      <c r="K804" t="s">
        <v>25</v>
      </c>
      <c r="L804" t="s">
        <v>20</v>
      </c>
      <c r="M804" s="2">
        <v>1</v>
      </c>
      <c r="N804" t="s">
        <v>21</v>
      </c>
    </row>
    <row r="805" spans="1:14" x14ac:dyDescent="0.3">
      <c r="A805" t="s">
        <v>841</v>
      </c>
      <c r="B805" s="2">
        <v>25</v>
      </c>
      <c r="C805" t="s">
        <v>16</v>
      </c>
      <c r="D805" t="s">
        <v>61</v>
      </c>
      <c r="E805" t="s">
        <v>29</v>
      </c>
      <c r="F805" s="3">
        <v>45336</v>
      </c>
      <c r="G805" s="3">
        <v>45369</v>
      </c>
      <c r="H805" s="2">
        <v>10</v>
      </c>
      <c r="I805" s="1">
        <v>2069.1999999999998</v>
      </c>
      <c r="J805" s="1">
        <v>206.92</v>
      </c>
      <c r="K805" t="s">
        <v>25</v>
      </c>
      <c r="L805" t="s">
        <v>20</v>
      </c>
      <c r="M805" s="2">
        <v>6</v>
      </c>
      <c r="N805" t="s">
        <v>21</v>
      </c>
    </row>
    <row r="806" spans="1:14" x14ac:dyDescent="0.3">
      <c r="A806" t="s">
        <v>842</v>
      </c>
      <c r="B806" s="2">
        <v>44</v>
      </c>
      <c r="C806" t="s">
        <v>23</v>
      </c>
      <c r="D806" t="s">
        <v>44</v>
      </c>
      <c r="E806" t="s">
        <v>18</v>
      </c>
      <c r="F806" s="3">
        <v>45377</v>
      </c>
      <c r="G806" s="3">
        <v>45537</v>
      </c>
      <c r="H806" s="2">
        <v>20</v>
      </c>
      <c r="I806" s="1">
        <v>2068.6</v>
      </c>
      <c r="J806" s="1">
        <v>103.43</v>
      </c>
      <c r="K806" t="s">
        <v>35</v>
      </c>
      <c r="L806" t="s">
        <v>20</v>
      </c>
      <c r="M806" s="2">
        <v>3</v>
      </c>
      <c r="N806" t="s">
        <v>31</v>
      </c>
    </row>
    <row r="807" spans="1:14" x14ac:dyDescent="0.3">
      <c r="A807" t="s">
        <v>843</v>
      </c>
      <c r="B807" s="2">
        <v>36</v>
      </c>
      <c r="C807" t="s">
        <v>16</v>
      </c>
      <c r="D807" t="s">
        <v>17</v>
      </c>
      <c r="E807" t="s">
        <v>18</v>
      </c>
      <c r="F807" s="3">
        <v>45644</v>
      </c>
      <c r="G807" s="3">
        <v>45727</v>
      </c>
      <c r="H807" s="2">
        <v>9</v>
      </c>
      <c r="I807" s="1">
        <v>2067.39</v>
      </c>
      <c r="J807" s="1">
        <v>229.71</v>
      </c>
      <c r="K807" t="s">
        <v>25</v>
      </c>
      <c r="L807" t="s">
        <v>20</v>
      </c>
      <c r="M807" s="2">
        <v>4</v>
      </c>
      <c r="N807" t="s">
        <v>21</v>
      </c>
    </row>
    <row r="808" spans="1:14" x14ac:dyDescent="0.3">
      <c r="A808" t="s">
        <v>844</v>
      </c>
      <c r="B808" s="2">
        <v>43</v>
      </c>
      <c r="C808" t="s">
        <v>23</v>
      </c>
      <c r="D808" t="s">
        <v>24</v>
      </c>
      <c r="E808" t="s">
        <v>29</v>
      </c>
      <c r="F808" s="3">
        <v>45644</v>
      </c>
      <c r="G808" s="3">
        <v>45717</v>
      </c>
      <c r="H808" s="2">
        <v>9</v>
      </c>
      <c r="I808" s="1">
        <v>2066.7600000000002</v>
      </c>
      <c r="J808" s="1">
        <v>229.64</v>
      </c>
      <c r="K808" t="s">
        <v>35</v>
      </c>
      <c r="L808" t="s">
        <v>30</v>
      </c>
      <c r="M808" s="2">
        <v>2</v>
      </c>
      <c r="N808" t="s">
        <v>21</v>
      </c>
    </row>
    <row r="809" spans="1:14" x14ac:dyDescent="0.3">
      <c r="A809" t="s">
        <v>845</v>
      </c>
      <c r="B809" s="2">
        <v>64</v>
      </c>
      <c r="C809" t="s">
        <v>16</v>
      </c>
      <c r="D809" t="s">
        <v>17</v>
      </c>
      <c r="E809" t="s">
        <v>38</v>
      </c>
      <c r="F809" s="3">
        <v>45935</v>
      </c>
      <c r="G809" s="3">
        <v>46210</v>
      </c>
      <c r="H809" s="2">
        <v>10</v>
      </c>
      <c r="I809" s="1">
        <v>2066.6</v>
      </c>
      <c r="J809" s="1">
        <v>206.66</v>
      </c>
      <c r="K809" t="s">
        <v>19</v>
      </c>
      <c r="L809" t="s">
        <v>30</v>
      </c>
      <c r="M809" s="2">
        <v>6</v>
      </c>
      <c r="N809" t="s">
        <v>31</v>
      </c>
    </row>
    <row r="810" spans="1:14" x14ac:dyDescent="0.3">
      <c r="A810" t="s">
        <v>846</v>
      </c>
      <c r="B810" s="2">
        <v>36</v>
      </c>
      <c r="C810" t="s">
        <v>23</v>
      </c>
      <c r="D810" t="s">
        <v>61</v>
      </c>
      <c r="E810" t="s">
        <v>34</v>
      </c>
      <c r="F810" s="3">
        <v>45422</v>
      </c>
      <c r="G810" s="3">
        <v>45677</v>
      </c>
      <c r="H810" s="2">
        <v>9</v>
      </c>
      <c r="I810" s="1">
        <v>2064.5100000000002</v>
      </c>
      <c r="J810" s="1">
        <v>229.39</v>
      </c>
      <c r="K810" t="s">
        <v>19</v>
      </c>
      <c r="L810" t="s">
        <v>26</v>
      </c>
      <c r="M810" s="2">
        <v>7</v>
      </c>
      <c r="N810" t="s">
        <v>21</v>
      </c>
    </row>
    <row r="811" spans="1:14" x14ac:dyDescent="0.3">
      <c r="A811" t="s">
        <v>847</v>
      </c>
      <c r="B811" s="2">
        <v>53</v>
      </c>
      <c r="C811" t="s">
        <v>23</v>
      </c>
      <c r="D811" t="s">
        <v>17</v>
      </c>
      <c r="E811" t="s">
        <v>34</v>
      </c>
      <c r="F811" s="3">
        <v>45706</v>
      </c>
      <c r="G811" s="3">
        <v>45830</v>
      </c>
      <c r="H811" s="2">
        <v>10</v>
      </c>
      <c r="I811" s="1">
        <v>2059.1</v>
      </c>
      <c r="J811" s="1">
        <v>205.91</v>
      </c>
      <c r="K811" t="s">
        <v>45</v>
      </c>
      <c r="L811" t="s">
        <v>20</v>
      </c>
      <c r="M811" s="2">
        <v>8</v>
      </c>
      <c r="N811" t="s">
        <v>21</v>
      </c>
    </row>
    <row r="812" spans="1:14" x14ac:dyDescent="0.3">
      <c r="A812" t="s">
        <v>848</v>
      </c>
      <c r="B812" s="2">
        <v>37</v>
      </c>
      <c r="C812" t="s">
        <v>23</v>
      </c>
      <c r="D812" t="s">
        <v>28</v>
      </c>
      <c r="E812" t="s">
        <v>18</v>
      </c>
      <c r="F812" s="3">
        <v>45512</v>
      </c>
      <c r="G812" s="3">
        <v>45704</v>
      </c>
      <c r="H812" s="2">
        <v>14</v>
      </c>
      <c r="I812" s="1">
        <v>2058.2800000000002</v>
      </c>
      <c r="J812" s="1">
        <v>147.02000000000001</v>
      </c>
      <c r="K812" t="s">
        <v>39</v>
      </c>
      <c r="L812" t="s">
        <v>30</v>
      </c>
      <c r="M812" s="2">
        <v>3</v>
      </c>
      <c r="N812" t="s">
        <v>31</v>
      </c>
    </row>
    <row r="813" spans="1:14" x14ac:dyDescent="0.3">
      <c r="A813" t="s">
        <v>849</v>
      </c>
      <c r="B813" s="2">
        <v>46</v>
      </c>
      <c r="C813" t="s">
        <v>16</v>
      </c>
      <c r="D813" t="s">
        <v>42</v>
      </c>
      <c r="E813" t="s">
        <v>38</v>
      </c>
      <c r="F813" s="3">
        <v>45844</v>
      </c>
      <c r="G813" s="3">
        <v>45944</v>
      </c>
      <c r="H813" s="2">
        <v>7</v>
      </c>
      <c r="I813" s="1">
        <v>2053.31</v>
      </c>
      <c r="J813" s="1">
        <v>293.33</v>
      </c>
      <c r="K813" t="s">
        <v>19</v>
      </c>
      <c r="L813" t="s">
        <v>20</v>
      </c>
      <c r="M813" s="2">
        <v>10</v>
      </c>
      <c r="N813" t="s">
        <v>21</v>
      </c>
    </row>
    <row r="814" spans="1:14" x14ac:dyDescent="0.3">
      <c r="A814" t="s">
        <v>850</v>
      </c>
      <c r="B814" s="2">
        <v>45</v>
      </c>
      <c r="C814" t="s">
        <v>23</v>
      </c>
      <c r="D814" t="s">
        <v>28</v>
      </c>
      <c r="E814" t="s">
        <v>29</v>
      </c>
      <c r="F814" s="3">
        <v>45707</v>
      </c>
      <c r="G814" s="3">
        <v>45953</v>
      </c>
      <c r="H814" s="2">
        <v>16</v>
      </c>
      <c r="I814" s="1">
        <v>2047.68</v>
      </c>
      <c r="J814" s="1">
        <v>127.98</v>
      </c>
      <c r="K814" t="s">
        <v>39</v>
      </c>
      <c r="L814" t="s">
        <v>20</v>
      </c>
      <c r="M814" s="2">
        <v>9</v>
      </c>
      <c r="N814" t="s">
        <v>21</v>
      </c>
    </row>
    <row r="815" spans="1:14" x14ac:dyDescent="0.3">
      <c r="A815" t="s">
        <v>851</v>
      </c>
      <c r="B815" s="2">
        <v>36</v>
      </c>
      <c r="C815" t="s">
        <v>16</v>
      </c>
      <c r="D815" t="s">
        <v>50</v>
      </c>
      <c r="E815" t="s">
        <v>34</v>
      </c>
      <c r="F815" s="3">
        <v>45452</v>
      </c>
      <c r="G815" s="3">
        <v>45453</v>
      </c>
      <c r="H815" s="2">
        <v>14</v>
      </c>
      <c r="I815" s="1">
        <v>2045.96</v>
      </c>
      <c r="J815" s="1">
        <v>146.13999999999999</v>
      </c>
      <c r="K815" t="s">
        <v>45</v>
      </c>
      <c r="L815" t="s">
        <v>20</v>
      </c>
      <c r="M815" s="2">
        <v>8</v>
      </c>
      <c r="N815" t="s">
        <v>21</v>
      </c>
    </row>
    <row r="816" spans="1:14" x14ac:dyDescent="0.3">
      <c r="A816" t="s">
        <v>852</v>
      </c>
      <c r="B816" s="2">
        <v>65</v>
      </c>
      <c r="C816" t="s">
        <v>16</v>
      </c>
      <c r="D816" t="s">
        <v>61</v>
      </c>
      <c r="E816" t="s">
        <v>34</v>
      </c>
      <c r="F816" s="3">
        <v>45378</v>
      </c>
      <c r="G816" s="3">
        <v>45396</v>
      </c>
      <c r="H816" s="2">
        <v>18</v>
      </c>
      <c r="I816" s="1">
        <v>2045.88</v>
      </c>
      <c r="J816" s="1">
        <v>113.66</v>
      </c>
      <c r="K816" t="s">
        <v>25</v>
      </c>
      <c r="L816" t="s">
        <v>30</v>
      </c>
      <c r="M816" s="2">
        <v>9</v>
      </c>
      <c r="N816" t="s">
        <v>21</v>
      </c>
    </row>
    <row r="817" spans="1:14" x14ac:dyDescent="0.3">
      <c r="A817" t="s">
        <v>853</v>
      </c>
      <c r="B817" s="2">
        <v>18</v>
      </c>
      <c r="C817" t="s">
        <v>23</v>
      </c>
      <c r="D817" t="s">
        <v>28</v>
      </c>
      <c r="E817" t="s">
        <v>34</v>
      </c>
      <c r="F817" s="3">
        <v>45648</v>
      </c>
      <c r="G817" s="3">
        <v>45755</v>
      </c>
      <c r="H817" s="2">
        <v>7</v>
      </c>
      <c r="I817" s="1">
        <v>2044.63</v>
      </c>
      <c r="J817" s="1">
        <v>292.08999999999997</v>
      </c>
      <c r="K817" t="s">
        <v>39</v>
      </c>
      <c r="L817" t="s">
        <v>26</v>
      </c>
      <c r="M817" s="2">
        <v>5</v>
      </c>
      <c r="N817" t="s">
        <v>21</v>
      </c>
    </row>
    <row r="818" spans="1:14" x14ac:dyDescent="0.3">
      <c r="A818" t="s">
        <v>854</v>
      </c>
      <c r="B818" s="2">
        <v>64</v>
      </c>
      <c r="C818" t="s">
        <v>16</v>
      </c>
      <c r="D818" t="s">
        <v>24</v>
      </c>
      <c r="E818" t="s">
        <v>34</v>
      </c>
      <c r="F818" s="3">
        <v>45413</v>
      </c>
      <c r="G818" s="3">
        <v>45585</v>
      </c>
      <c r="H818" s="2">
        <v>11</v>
      </c>
      <c r="I818" s="1">
        <v>2041.71</v>
      </c>
      <c r="J818" s="1">
        <v>185.61</v>
      </c>
      <c r="K818" t="s">
        <v>35</v>
      </c>
      <c r="L818" t="s">
        <v>26</v>
      </c>
      <c r="M818" s="2">
        <v>8</v>
      </c>
      <c r="N818" t="s">
        <v>21</v>
      </c>
    </row>
    <row r="819" spans="1:14" x14ac:dyDescent="0.3">
      <c r="A819" t="s">
        <v>855</v>
      </c>
      <c r="B819" s="2">
        <v>37</v>
      </c>
      <c r="C819" t="s">
        <v>16</v>
      </c>
      <c r="D819" t="s">
        <v>24</v>
      </c>
      <c r="E819" t="s">
        <v>34</v>
      </c>
      <c r="F819" s="3">
        <v>45833</v>
      </c>
      <c r="G819" s="3">
        <v>45915</v>
      </c>
      <c r="H819" s="2">
        <v>15</v>
      </c>
      <c r="I819" s="1">
        <v>2036.85</v>
      </c>
      <c r="J819" s="1">
        <v>135.79</v>
      </c>
      <c r="K819" t="s">
        <v>19</v>
      </c>
      <c r="L819" t="s">
        <v>26</v>
      </c>
      <c r="M819" s="2">
        <v>9</v>
      </c>
      <c r="N819" t="s">
        <v>21</v>
      </c>
    </row>
    <row r="820" spans="1:14" x14ac:dyDescent="0.3">
      <c r="A820" t="s">
        <v>856</v>
      </c>
      <c r="B820" s="2">
        <v>31</v>
      </c>
      <c r="C820" t="s">
        <v>23</v>
      </c>
      <c r="D820" t="s">
        <v>42</v>
      </c>
      <c r="E820" t="s">
        <v>29</v>
      </c>
      <c r="F820" s="3">
        <v>45873</v>
      </c>
      <c r="G820" s="3">
        <v>46140</v>
      </c>
      <c r="H820" s="2">
        <v>15</v>
      </c>
      <c r="I820" s="1">
        <v>2035.5</v>
      </c>
      <c r="J820" s="1">
        <v>135.69999999999999</v>
      </c>
      <c r="K820" t="s">
        <v>19</v>
      </c>
      <c r="L820" t="s">
        <v>26</v>
      </c>
      <c r="M820" s="2">
        <v>5</v>
      </c>
      <c r="N820" t="s">
        <v>21</v>
      </c>
    </row>
    <row r="821" spans="1:14" x14ac:dyDescent="0.3">
      <c r="A821" t="s">
        <v>857</v>
      </c>
      <c r="B821" s="2">
        <v>19</v>
      </c>
      <c r="C821" t="s">
        <v>23</v>
      </c>
      <c r="D821" t="s">
        <v>28</v>
      </c>
      <c r="E821" t="s">
        <v>29</v>
      </c>
      <c r="F821" s="3">
        <v>45391</v>
      </c>
      <c r="G821" s="3">
        <v>45512</v>
      </c>
      <c r="H821" s="2">
        <v>14</v>
      </c>
      <c r="I821" s="1">
        <v>2033.5</v>
      </c>
      <c r="J821" s="1">
        <v>145.25</v>
      </c>
      <c r="K821" t="s">
        <v>39</v>
      </c>
      <c r="L821" t="s">
        <v>26</v>
      </c>
      <c r="M821" s="2">
        <v>2</v>
      </c>
      <c r="N821" t="s">
        <v>21</v>
      </c>
    </row>
    <row r="822" spans="1:14" x14ac:dyDescent="0.3">
      <c r="A822" t="s">
        <v>858</v>
      </c>
      <c r="B822" s="2">
        <v>36</v>
      </c>
      <c r="C822" t="s">
        <v>16</v>
      </c>
      <c r="D822" t="s">
        <v>24</v>
      </c>
      <c r="E822" t="s">
        <v>34</v>
      </c>
      <c r="F822" s="3">
        <v>45717</v>
      </c>
      <c r="G822" s="3">
        <v>45720</v>
      </c>
      <c r="H822" s="2">
        <v>8</v>
      </c>
      <c r="I822" s="1">
        <v>2030</v>
      </c>
      <c r="J822" s="1">
        <v>253.75</v>
      </c>
      <c r="K822" t="s">
        <v>45</v>
      </c>
      <c r="L822" t="s">
        <v>20</v>
      </c>
      <c r="M822" s="2">
        <v>7</v>
      </c>
      <c r="N822" t="s">
        <v>21</v>
      </c>
    </row>
    <row r="823" spans="1:14" x14ac:dyDescent="0.3">
      <c r="A823" t="s">
        <v>859</v>
      </c>
      <c r="B823" s="2">
        <v>50</v>
      </c>
      <c r="C823" t="s">
        <v>16</v>
      </c>
      <c r="D823" t="s">
        <v>28</v>
      </c>
      <c r="E823" t="s">
        <v>29</v>
      </c>
      <c r="F823" s="3">
        <v>45603</v>
      </c>
      <c r="G823" s="3">
        <v>45893</v>
      </c>
      <c r="H823" s="2">
        <v>14</v>
      </c>
      <c r="I823" s="1">
        <v>2028.32</v>
      </c>
      <c r="J823" s="1">
        <v>144.88</v>
      </c>
      <c r="K823" t="s">
        <v>45</v>
      </c>
      <c r="L823" t="s">
        <v>20</v>
      </c>
      <c r="M823" s="2">
        <v>3</v>
      </c>
      <c r="N823" t="s">
        <v>21</v>
      </c>
    </row>
    <row r="824" spans="1:14" x14ac:dyDescent="0.3">
      <c r="A824" t="s">
        <v>860</v>
      </c>
      <c r="B824" s="2">
        <v>20</v>
      </c>
      <c r="C824" t="s">
        <v>16</v>
      </c>
      <c r="D824" t="s">
        <v>50</v>
      </c>
      <c r="E824" t="s">
        <v>34</v>
      </c>
      <c r="F824" s="3">
        <v>45842</v>
      </c>
      <c r="G824" s="3">
        <v>45995</v>
      </c>
      <c r="H824" s="2">
        <v>11</v>
      </c>
      <c r="I824" s="1">
        <v>2027.85</v>
      </c>
      <c r="J824" s="1">
        <v>184.35</v>
      </c>
      <c r="K824" t="s">
        <v>19</v>
      </c>
      <c r="L824" t="s">
        <v>20</v>
      </c>
      <c r="M824" s="2">
        <v>10</v>
      </c>
      <c r="N824" t="s">
        <v>21</v>
      </c>
    </row>
    <row r="825" spans="1:14" x14ac:dyDescent="0.3">
      <c r="A825" t="s">
        <v>861</v>
      </c>
      <c r="B825" s="2">
        <v>30</v>
      </c>
      <c r="C825" t="s">
        <v>23</v>
      </c>
      <c r="D825" t="s">
        <v>61</v>
      </c>
      <c r="E825" t="s">
        <v>34</v>
      </c>
      <c r="F825" s="3">
        <v>45633</v>
      </c>
      <c r="G825" s="3">
        <v>45834</v>
      </c>
      <c r="H825" s="2">
        <v>12</v>
      </c>
      <c r="I825" s="1">
        <v>2016.6</v>
      </c>
      <c r="J825" s="1">
        <v>168.05</v>
      </c>
      <c r="K825" t="s">
        <v>35</v>
      </c>
      <c r="L825" t="s">
        <v>30</v>
      </c>
      <c r="M825" s="2">
        <v>9</v>
      </c>
      <c r="N825" t="s">
        <v>21</v>
      </c>
    </row>
    <row r="826" spans="1:14" x14ac:dyDescent="0.3">
      <c r="A826" t="s">
        <v>862</v>
      </c>
      <c r="B826" s="2">
        <v>21</v>
      </c>
      <c r="C826" t="s">
        <v>23</v>
      </c>
      <c r="D826" t="s">
        <v>61</v>
      </c>
      <c r="E826" t="s">
        <v>34</v>
      </c>
      <c r="F826" s="3">
        <v>45511</v>
      </c>
      <c r="G826" s="3">
        <v>45651</v>
      </c>
      <c r="H826" s="2">
        <v>15</v>
      </c>
      <c r="I826" s="1">
        <v>2015.25</v>
      </c>
      <c r="J826" s="1">
        <v>134.35</v>
      </c>
      <c r="K826" t="s">
        <v>39</v>
      </c>
      <c r="L826" t="s">
        <v>26</v>
      </c>
      <c r="M826" s="2">
        <v>9</v>
      </c>
      <c r="N826" t="s">
        <v>21</v>
      </c>
    </row>
    <row r="827" spans="1:14" x14ac:dyDescent="0.3">
      <c r="A827" t="s">
        <v>863</v>
      </c>
      <c r="B827" s="2">
        <v>42</v>
      </c>
      <c r="C827" t="s">
        <v>23</v>
      </c>
      <c r="D827" t="s">
        <v>61</v>
      </c>
      <c r="E827" t="s">
        <v>29</v>
      </c>
      <c r="F827" s="3">
        <v>45806</v>
      </c>
      <c r="G827" s="3">
        <v>46068</v>
      </c>
      <c r="H827" s="2">
        <v>22</v>
      </c>
      <c r="I827" s="1">
        <v>2013.66</v>
      </c>
      <c r="J827" s="1">
        <v>91.53</v>
      </c>
      <c r="K827" t="s">
        <v>19</v>
      </c>
      <c r="L827" t="s">
        <v>30</v>
      </c>
      <c r="M827" s="2">
        <v>5</v>
      </c>
      <c r="N827" t="s">
        <v>21</v>
      </c>
    </row>
    <row r="828" spans="1:14" x14ac:dyDescent="0.3">
      <c r="A828" t="s">
        <v>864</v>
      </c>
      <c r="B828" s="2">
        <v>57</v>
      </c>
      <c r="C828" t="s">
        <v>23</v>
      </c>
      <c r="D828" t="s">
        <v>42</v>
      </c>
      <c r="E828" t="s">
        <v>34</v>
      </c>
      <c r="F828" s="3">
        <v>45837</v>
      </c>
      <c r="G828" s="3">
        <v>46127</v>
      </c>
      <c r="H828" s="2">
        <v>7</v>
      </c>
      <c r="I828" s="1">
        <v>2009.07</v>
      </c>
      <c r="J828" s="1">
        <v>287.01</v>
      </c>
      <c r="K828" t="s">
        <v>45</v>
      </c>
      <c r="L828" t="s">
        <v>20</v>
      </c>
      <c r="M828" s="2">
        <v>4</v>
      </c>
      <c r="N828" t="s">
        <v>21</v>
      </c>
    </row>
    <row r="829" spans="1:14" x14ac:dyDescent="0.3">
      <c r="A829" t="s">
        <v>865</v>
      </c>
      <c r="B829" s="2">
        <v>24</v>
      </c>
      <c r="C829" t="s">
        <v>16</v>
      </c>
      <c r="D829" t="s">
        <v>24</v>
      </c>
      <c r="E829" t="s">
        <v>34</v>
      </c>
      <c r="F829" s="3">
        <v>45488</v>
      </c>
      <c r="G829" s="3">
        <v>45620</v>
      </c>
      <c r="H829" s="2">
        <v>14</v>
      </c>
      <c r="I829" s="1">
        <v>2007.6</v>
      </c>
      <c r="J829" s="1">
        <v>143.4</v>
      </c>
      <c r="K829" t="s">
        <v>39</v>
      </c>
      <c r="L829" t="s">
        <v>26</v>
      </c>
      <c r="M829" s="2">
        <v>2</v>
      </c>
      <c r="N829" t="s">
        <v>21</v>
      </c>
    </row>
    <row r="830" spans="1:14" x14ac:dyDescent="0.3">
      <c r="A830" t="s">
        <v>866</v>
      </c>
      <c r="B830" s="2">
        <v>27</v>
      </c>
      <c r="C830" t="s">
        <v>16</v>
      </c>
      <c r="D830" t="s">
        <v>44</v>
      </c>
      <c r="E830" t="s">
        <v>34</v>
      </c>
      <c r="F830" s="3">
        <v>45372</v>
      </c>
      <c r="G830" s="3">
        <v>45567</v>
      </c>
      <c r="H830" s="2">
        <v>20</v>
      </c>
      <c r="I830" s="1">
        <v>2004.6</v>
      </c>
      <c r="J830" s="1">
        <v>100.23</v>
      </c>
      <c r="K830" t="s">
        <v>35</v>
      </c>
      <c r="L830" t="s">
        <v>20</v>
      </c>
      <c r="M830" s="2">
        <v>10</v>
      </c>
      <c r="N830" t="s">
        <v>21</v>
      </c>
    </row>
    <row r="831" spans="1:14" x14ac:dyDescent="0.3">
      <c r="A831" t="s">
        <v>867</v>
      </c>
      <c r="B831" s="2">
        <v>38</v>
      </c>
      <c r="C831" t="s">
        <v>16</v>
      </c>
      <c r="D831" t="s">
        <v>42</v>
      </c>
      <c r="E831" t="s">
        <v>29</v>
      </c>
      <c r="F831" s="3">
        <v>45531</v>
      </c>
      <c r="G831" s="3">
        <v>45825</v>
      </c>
      <c r="H831" s="2">
        <v>11</v>
      </c>
      <c r="I831" s="1">
        <v>1998.59</v>
      </c>
      <c r="J831" s="1">
        <v>181.69</v>
      </c>
      <c r="K831" t="s">
        <v>19</v>
      </c>
      <c r="L831" t="s">
        <v>30</v>
      </c>
      <c r="M831" s="2">
        <v>7</v>
      </c>
      <c r="N831" t="s">
        <v>21</v>
      </c>
    </row>
    <row r="832" spans="1:14" x14ac:dyDescent="0.3">
      <c r="A832" t="s">
        <v>868</v>
      </c>
      <c r="B832" s="2">
        <v>51</v>
      </c>
      <c r="C832" t="s">
        <v>23</v>
      </c>
      <c r="D832" t="s">
        <v>42</v>
      </c>
      <c r="E832" t="s">
        <v>29</v>
      </c>
      <c r="F832" s="3">
        <v>45823</v>
      </c>
      <c r="G832" s="3">
        <v>45929</v>
      </c>
      <c r="H832" s="2">
        <v>18</v>
      </c>
      <c r="I832" s="1">
        <v>1998.18</v>
      </c>
      <c r="J832" s="1">
        <v>111.01</v>
      </c>
      <c r="K832" t="s">
        <v>35</v>
      </c>
      <c r="L832" t="s">
        <v>20</v>
      </c>
      <c r="M832" s="2">
        <v>6</v>
      </c>
      <c r="N832" t="s">
        <v>21</v>
      </c>
    </row>
    <row r="833" spans="1:14" x14ac:dyDescent="0.3">
      <c r="A833" t="s">
        <v>869</v>
      </c>
      <c r="B833" s="2">
        <v>22</v>
      </c>
      <c r="C833" t="s">
        <v>16</v>
      </c>
      <c r="D833" t="s">
        <v>50</v>
      </c>
      <c r="E833" t="s">
        <v>29</v>
      </c>
      <c r="F833" s="3">
        <v>45877</v>
      </c>
      <c r="G833" s="3">
        <v>45889</v>
      </c>
      <c r="H833" s="2">
        <v>24</v>
      </c>
      <c r="I833" s="1">
        <v>1996.32</v>
      </c>
      <c r="J833" s="1">
        <v>83.18</v>
      </c>
      <c r="K833" t="s">
        <v>45</v>
      </c>
      <c r="L833" t="s">
        <v>26</v>
      </c>
      <c r="M833" s="2">
        <v>2</v>
      </c>
      <c r="N833" t="s">
        <v>21</v>
      </c>
    </row>
    <row r="834" spans="1:14" x14ac:dyDescent="0.3">
      <c r="A834" t="s">
        <v>870</v>
      </c>
      <c r="B834" s="2">
        <v>33</v>
      </c>
      <c r="C834" t="s">
        <v>16</v>
      </c>
      <c r="D834" t="s">
        <v>28</v>
      </c>
      <c r="E834" t="s">
        <v>38</v>
      </c>
      <c r="F834" s="3">
        <v>45496</v>
      </c>
      <c r="G834" s="3">
        <v>45652</v>
      </c>
      <c r="H834" s="2">
        <v>11</v>
      </c>
      <c r="I834" s="1">
        <v>1993.53</v>
      </c>
      <c r="J834" s="1">
        <v>181.23</v>
      </c>
      <c r="K834" t="s">
        <v>45</v>
      </c>
      <c r="L834" t="s">
        <v>26</v>
      </c>
      <c r="M834" s="2">
        <v>8</v>
      </c>
      <c r="N834" t="s">
        <v>31</v>
      </c>
    </row>
    <row r="835" spans="1:14" x14ac:dyDescent="0.3">
      <c r="A835" t="s">
        <v>871</v>
      </c>
      <c r="B835" s="2">
        <v>63</v>
      </c>
      <c r="C835" t="s">
        <v>23</v>
      </c>
      <c r="D835" t="s">
        <v>42</v>
      </c>
      <c r="E835" t="s">
        <v>18</v>
      </c>
      <c r="F835" s="3">
        <v>45762</v>
      </c>
      <c r="G835" s="3">
        <v>45801</v>
      </c>
      <c r="H835" s="2">
        <v>11</v>
      </c>
      <c r="I835" s="1">
        <v>1993.31</v>
      </c>
      <c r="J835" s="1">
        <v>181.21</v>
      </c>
      <c r="K835" t="s">
        <v>35</v>
      </c>
      <c r="L835" t="s">
        <v>30</v>
      </c>
      <c r="M835" s="2">
        <v>6</v>
      </c>
      <c r="N835" t="s">
        <v>21</v>
      </c>
    </row>
    <row r="836" spans="1:14" x14ac:dyDescent="0.3">
      <c r="A836" t="s">
        <v>872</v>
      </c>
      <c r="B836" s="2">
        <v>39</v>
      </c>
      <c r="C836" t="s">
        <v>23</v>
      </c>
      <c r="D836" t="s">
        <v>42</v>
      </c>
      <c r="E836" t="s">
        <v>34</v>
      </c>
      <c r="F836" s="3">
        <v>45628</v>
      </c>
      <c r="G836" s="3">
        <v>45905</v>
      </c>
      <c r="H836" s="2">
        <v>13</v>
      </c>
      <c r="I836" s="1">
        <v>1991.21</v>
      </c>
      <c r="J836" s="1">
        <v>153.16999999999999</v>
      </c>
      <c r="K836" t="s">
        <v>35</v>
      </c>
      <c r="L836" t="s">
        <v>30</v>
      </c>
      <c r="M836" s="2">
        <v>8</v>
      </c>
      <c r="N836" t="s">
        <v>21</v>
      </c>
    </row>
    <row r="837" spans="1:14" x14ac:dyDescent="0.3">
      <c r="A837" t="s">
        <v>873</v>
      </c>
      <c r="B837" s="2">
        <v>49</v>
      </c>
      <c r="C837" t="s">
        <v>23</v>
      </c>
      <c r="D837" t="s">
        <v>44</v>
      </c>
      <c r="E837" t="s">
        <v>34</v>
      </c>
      <c r="F837" s="3">
        <v>45436</v>
      </c>
      <c r="G837" s="3">
        <v>45453</v>
      </c>
      <c r="H837" s="2">
        <v>17</v>
      </c>
      <c r="I837" s="1">
        <v>1990.02</v>
      </c>
      <c r="J837" s="1">
        <v>117.06</v>
      </c>
      <c r="K837" t="s">
        <v>25</v>
      </c>
      <c r="L837" t="s">
        <v>26</v>
      </c>
      <c r="M837" s="2">
        <v>4</v>
      </c>
      <c r="N837" t="s">
        <v>21</v>
      </c>
    </row>
    <row r="838" spans="1:14" x14ac:dyDescent="0.3">
      <c r="A838" t="s">
        <v>874</v>
      </c>
      <c r="B838" s="2">
        <v>64</v>
      </c>
      <c r="C838" t="s">
        <v>23</v>
      </c>
      <c r="D838" t="s">
        <v>44</v>
      </c>
      <c r="E838" t="s">
        <v>34</v>
      </c>
      <c r="F838" s="3">
        <v>45803</v>
      </c>
      <c r="G838" s="3">
        <v>45972</v>
      </c>
      <c r="H838" s="2">
        <v>15</v>
      </c>
      <c r="I838" s="1">
        <v>1985.85</v>
      </c>
      <c r="J838" s="1">
        <v>132.38999999999999</v>
      </c>
      <c r="K838" t="s">
        <v>25</v>
      </c>
      <c r="L838" t="s">
        <v>26</v>
      </c>
      <c r="M838" s="2">
        <v>4</v>
      </c>
      <c r="N838" t="s">
        <v>21</v>
      </c>
    </row>
    <row r="839" spans="1:14" x14ac:dyDescent="0.3">
      <c r="A839" t="s">
        <v>875</v>
      </c>
      <c r="B839" s="2">
        <v>30</v>
      </c>
      <c r="C839" t="s">
        <v>23</v>
      </c>
      <c r="D839" t="s">
        <v>50</v>
      </c>
      <c r="E839" t="s">
        <v>34</v>
      </c>
      <c r="F839" s="3">
        <v>45575</v>
      </c>
      <c r="G839" s="3">
        <v>45843</v>
      </c>
      <c r="H839" s="2">
        <v>20</v>
      </c>
      <c r="I839" s="1">
        <v>1984.8</v>
      </c>
      <c r="J839" s="1">
        <v>99.24</v>
      </c>
      <c r="K839" t="s">
        <v>25</v>
      </c>
      <c r="L839" t="s">
        <v>26</v>
      </c>
      <c r="M839" s="2">
        <v>1</v>
      </c>
      <c r="N839" t="s">
        <v>31</v>
      </c>
    </row>
    <row r="840" spans="1:14" x14ac:dyDescent="0.3">
      <c r="A840" t="s">
        <v>876</v>
      </c>
      <c r="B840" s="2">
        <v>45</v>
      </c>
      <c r="C840" t="s">
        <v>23</v>
      </c>
      <c r="D840" t="s">
        <v>24</v>
      </c>
      <c r="E840" t="s">
        <v>34</v>
      </c>
      <c r="F840" s="3">
        <v>45776</v>
      </c>
      <c r="G840" s="3">
        <v>45957</v>
      </c>
      <c r="H840" s="2">
        <v>8</v>
      </c>
      <c r="I840" s="1">
        <v>1978.24</v>
      </c>
      <c r="J840" s="1">
        <v>247.28</v>
      </c>
      <c r="K840" t="s">
        <v>45</v>
      </c>
      <c r="L840" t="s">
        <v>20</v>
      </c>
      <c r="M840" s="2">
        <v>5</v>
      </c>
      <c r="N840" t="s">
        <v>21</v>
      </c>
    </row>
    <row r="841" spans="1:14" x14ac:dyDescent="0.3">
      <c r="A841" t="s">
        <v>877</v>
      </c>
      <c r="B841" s="2">
        <v>42</v>
      </c>
      <c r="C841" t="s">
        <v>23</v>
      </c>
      <c r="D841" t="s">
        <v>42</v>
      </c>
      <c r="E841" t="s">
        <v>18</v>
      </c>
      <c r="F841" s="3">
        <v>45312</v>
      </c>
      <c r="G841" s="3">
        <v>45335</v>
      </c>
      <c r="H841" s="2">
        <v>14</v>
      </c>
      <c r="I841" s="1">
        <v>1976.8</v>
      </c>
      <c r="J841" s="1">
        <v>141.19999999999999</v>
      </c>
      <c r="K841" t="s">
        <v>39</v>
      </c>
      <c r="L841" t="s">
        <v>30</v>
      </c>
      <c r="M841" s="2">
        <v>7</v>
      </c>
      <c r="N841" t="s">
        <v>21</v>
      </c>
    </row>
    <row r="842" spans="1:14" x14ac:dyDescent="0.3">
      <c r="A842" t="s">
        <v>878</v>
      </c>
      <c r="B842" s="2">
        <v>34</v>
      </c>
      <c r="C842" t="s">
        <v>16</v>
      </c>
      <c r="D842" t="s">
        <v>24</v>
      </c>
      <c r="E842" t="s">
        <v>29</v>
      </c>
      <c r="F842" s="3">
        <v>45384</v>
      </c>
      <c r="G842" s="3">
        <v>45646</v>
      </c>
      <c r="H842" s="2">
        <v>25</v>
      </c>
      <c r="I842" s="1">
        <v>1975</v>
      </c>
      <c r="J842" s="1">
        <v>79</v>
      </c>
      <c r="K842" t="s">
        <v>35</v>
      </c>
      <c r="L842" t="s">
        <v>30</v>
      </c>
      <c r="M842" s="2">
        <v>8</v>
      </c>
      <c r="N842" t="s">
        <v>21</v>
      </c>
    </row>
    <row r="843" spans="1:14" x14ac:dyDescent="0.3">
      <c r="A843" t="s">
        <v>879</v>
      </c>
      <c r="B843" s="2">
        <v>22</v>
      </c>
      <c r="C843" t="s">
        <v>16</v>
      </c>
      <c r="D843" t="s">
        <v>42</v>
      </c>
      <c r="E843" t="s">
        <v>18</v>
      </c>
      <c r="F843" s="3">
        <v>45806</v>
      </c>
      <c r="G843" s="3">
        <v>45973</v>
      </c>
      <c r="H843" s="2">
        <v>16</v>
      </c>
      <c r="I843" s="1">
        <v>1969.76</v>
      </c>
      <c r="J843" s="1">
        <v>123.11</v>
      </c>
      <c r="K843" t="s">
        <v>19</v>
      </c>
      <c r="L843" t="s">
        <v>20</v>
      </c>
      <c r="M843" s="2">
        <v>1</v>
      </c>
      <c r="N843" t="s">
        <v>31</v>
      </c>
    </row>
    <row r="844" spans="1:14" x14ac:dyDescent="0.3">
      <c r="A844" t="s">
        <v>880</v>
      </c>
      <c r="B844" s="2">
        <v>22</v>
      </c>
      <c r="C844" t="s">
        <v>23</v>
      </c>
      <c r="D844" t="s">
        <v>61</v>
      </c>
      <c r="E844" t="s">
        <v>18</v>
      </c>
      <c r="F844" s="3">
        <v>45560</v>
      </c>
      <c r="G844" s="3">
        <v>45709</v>
      </c>
      <c r="H844" s="2">
        <v>24</v>
      </c>
      <c r="I844" s="1">
        <v>1967.76</v>
      </c>
      <c r="J844" s="1">
        <v>81.99</v>
      </c>
      <c r="K844" t="s">
        <v>35</v>
      </c>
      <c r="L844" t="s">
        <v>20</v>
      </c>
      <c r="M844" s="2">
        <v>10</v>
      </c>
      <c r="N844" t="s">
        <v>21</v>
      </c>
    </row>
    <row r="845" spans="1:14" x14ac:dyDescent="0.3">
      <c r="A845" t="s">
        <v>881</v>
      </c>
      <c r="B845" s="2">
        <v>19</v>
      </c>
      <c r="C845" t="s">
        <v>16</v>
      </c>
      <c r="D845" t="s">
        <v>28</v>
      </c>
      <c r="E845" t="s">
        <v>34</v>
      </c>
      <c r="F845" s="3">
        <v>45857</v>
      </c>
      <c r="G845" s="3">
        <v>46016</v>
      </c>
      <c r="H845" s="2">
        <v>17</v>
      </c>
      <c r="I845" s="1">
        <v>1961.8</v>
      </c>
      <c r="J845" s="1">
        <v>115.4</v>
      </c>
      <c r="K845" t="s">
        <v>25</v>
      </c>
      <c r="L845" t="s">
        <v>26</v>
      </c>
      <c r="M845" s="2">
        <v>7</v>
      </c>
      <c r="N845" t="s">
        <v>21</v>
      </c>
    </row>
    <row r="846" spans="1:14" x14ac:dyDescent="0.3">
      <c r="A846" t="s">
        <v>882</v>
      </c>
      <c r="B846" s="2">
        <v>27</v>
      </c>
      <c r="C846" t="s">
        <v>16</v>
      </c>
      <c r="D846" t="s">
        <v>28</v>
      </c>
      <c r="E846" t="s">
        <v>29</v>
      </c>
      <c r="F846" s="3">
        <v>45336</v>
      </c>
      <c r="G846" s="3">
        <v>45423</v>
      </c>
      <c r="H846" s="2">
        <v>11</v>
      </c>
      <c r="I846" s="1">
        <v>1961.74</v>
      </c>
      <c r="J846" s="1">
        <v>178.34</v>
      </c>
      <c r="K846" t="s">
        <v>25</v>
      </c>
      <c r="L846" t="s">
        <v>20</v>
      </c>
      <c r="M846" s="2">
        <v>1</v>
      </c>
      <c r="N846" t="s">
        <v>21</v>
      </c>
    </row>
    <row r="847" spans="1:14" x14ac:dyDescent="0.3">
      <c r="A847" t="s">
        <v>883</v>
      </c>
      <c r="B847" s="2">
        <v>60</v>
      </c>
      <c r="C847" t="s">
        <v>23</v>
      </c>
      <c r="D847" t="s">
        <v>17</v>
      </c>
      <c r="E847" t="s">
        <v>38</v>
      </c>
      <c r="F847" s="3">
        <v>45722</v>
      </c>
      <c r="G847" s="3">
        <v>46009</v>
      </c>
      <c r="H847" s="2">
        <v>15</v>
      </c>
      <c r="I847" s="1">
        <v>1961.7</v>
      </c>
      <c r="J847" s="1">
        <v>130.78</v>
      </c>
      <c r="K847" t="s">
        <v>45</v>
      </c>
      <c r="L847" t="s">
        <v>20</v>
      </c>
      <c r="M847" s="2">
        <v>8</v>
      </c>
      <c r="N847" t="s">
        <v>21</v>
      </c>
    </row>
    <row r="848" spans="1:14" x14ac:dyDescent="0.3">
      <c r="A848" t="s">
        <v>884</v>
      </c>
      <c r="B848" s="2">
        <v>42</v>
      </c>
      <c r="C848" t="s">
        <v>23</v>
      </c>
      <c r="D848" t="s">
        <v>50</v>
      </c>
      <c r="E848" t="s">
        <v>38</v>
      </c>
      <c r="F848" s="3">
        <v>45738</v>
      </c>
      <c r="G848" s="3">
        <v>45812</v>
      </c>
      <c r="H848" s="2">
        <v>7</v>
      </c>
      <c r="I848" s="1">
        <v>1958.67</v>
      </c>
      <c r="J848" s="1">
        <v>279.81</v>
      </c>
      <c r="K848" t="s">
        <v>25</v>
      </c>
      <c r="L848" t="s">
        <v>20</v>
      </c>
      <c r="M848" s="2">
        <v>6</v>
      </c>
      <c r="N848" t="s">
        <v>21</v>
      </c>
    </row>
    <row r="849" spans="1:14" x14ac:dyDescent="0.3">
      <c r="A849" t="s">
        <v>885</v>
      </c>
      <c r="B849" s="2">
        <v>27</v>
      </c>
      <c r="C849" t="s">
        <v>23</v>
      </c>
      <c r="D849" t="s">
        <v>17</v>
      </c>
      <c r="E849" t="s">
        <v>34</v>
      </c>
      <c r="F849" s="3">
        <v>45725</v>
      </c>
      <c r="G849" s="3">
        <v>45968</v>
      </c>
      <c r="H849" s="2">
        <v>22</v>
      </c>
      <c r="I849" s="1">
        <v>1957.56</v>
      </c>
      <c r="J849" s="1">
        <v>88.98</v>
      </c>
      <c r="K849" t="s">
        <v>45</v>
      </c>
      <c r="L849" t="s">
        <v>30</v>
      </c>
      <c r="M849" s="2">
        <v>10</v>
      </c>
      <c r="N849" t="s">
        <v>21</v>
      </c>
    </row>
    <row r="850" spans="1:14" x14ac:dyDescent="0.3">
      <c r="A850" t="s">
        <v>886</v>
      </c>
      <c r="B850" s="2">
        <v>37</v>
      </c>
      <c r="C850" t="s">
        <v>23</v>
      </c>
      <c r="D850" t="s">
        <v>42</v>
      </c>
      <c r="E850" t="s">
        <v>38</v>
      </c>
      <c r="F850" s="3">
        <v>45621</v>
      </c>
      <c r="G850" s="3">
        <v>45765</v>
      </c>
      <c r="H850" s="2">
        <v>13</v>
      </c>
      <c r="I850" s="1">
        <v>1957.15</v>
      </c>
      <c r="J850" s="1">
        <v>150.55000000000001</v>
      </c>
      <c r="K850" t="s">
        <v>35</v>
      </c>
      <c r="L850" t="s">
        <v>30</v>
      </c>
      <c r="M850" s="2">
        <v>8</v>
      </c>
      <c r="N850" t="s">
        <v>21</v>
      </c>
    </row>
    <row r="851" spans="1:14" x14ac:dyDescent="0.3">
      <c r="A851" t="s">
        <v>887</v>
      </c>
      <c r="B851" s="2">
        <v>60</v>
      </c>
      <c r="C851" t="s">
        <v>16</v>
      </c>
      <c r="D851" t="s">
        <v>50</v>
      </c>
      <c r="E851" t="s">
        <v>29</v>
      </c>
      <c r="F851" s="3">
        <v>45353</v>
      </c>
      <c r="G851" s="3">
        <v>45403</v>
      </c>
      <c r="H851" s="2">
        <v>25</v>
      </c>
      <c r="I851" s="1">
        <v>1954.5</v>
      </c>
      <c r="J851" s="1">
        <v>78.180000000000007</v>
      </c>
      <c r="K851" t="s">
        <v>25</v>
      </c>
      <c r="L851" t="s">
        <v>20</v>
      </c>
      <c r="M851" s="2">
        <v>2</v>
      </c>
      <c r="N851" t="s">
        <v>21</v>
      </c>
    </row>
    <row r="852" spans="1:14" x14ac:dyDescent="0.3">
      <c r="A852" t="s">
        <v>888</v>
      </c>
      <c r="B852" s="2">
        <v>34</v>
      </c>
      <c r="C852" t="s">
        <v>16</v>
      </c>
      <c r="D852" t="s">
        <v>24</v>
      </c>
      <c r="E852" t="s">
        <v>29</v>
      </c>
      <c r="F852" s="3">
        <v>45840</v>
      </c>
      <c r="G852" s="3">
        <v>46023</v>
      </c>
      <c r="H852" s="2">
        <v>25</v>
      </c>
      <c r="I852" s="1">
        <v>1953.5</v>
      </c>
      <c r="J852" s="1">
        <v>78.14</v>
      </c>
      <c r="K852" t="s">
        <v>45</v>
      </c>
      <c r="L852" t="s">
        <v>20</v>
      </c>
      <c r="M852" s="2">
        <v>10</v>
      </c>
      <c r="N852" t="s">
        <v>21</v>
      </c>
    </row>
    <row r="853" spans="1:14" x14ac:dyDescent="0.3">
      <c r="A853" t="s">
        <v>889</v>
      </c>
      <c r="B853" s="2">
        <v>39</v>
      </c>
      <c r="C853" t="s">
        <v>16</v>
      </c>
      <c r="D853" t="s">
        <v>28</v>
      </c>
      <c r="E853" t="s">
        <v>18</v>
      </c>
      <c r="F853" s="3">
        <v>45564</v>
      </c>
      <c r="G853" s="3">
        <v>45770</v>
      </c>
      <c r="H853" s="2">
        <v>14</v>
      </c>
      <c r="I853" s="1">
        <v>1948.24</v>
      </c>
      <c r="J853" s="1">
        <v>139.16</v>
      </c>
      <c r="K853" t="s">
        <v>39</v>
      </c>
      <c r="L853" t="s">
        <v>30</v>
      </c>
      <c r="M853" s="2">
        <v>8</v>
      </c>
      <c r="N853" t="s">
        <v>21</v>
      </c>
    </row>
    <row r="854" spans="1:14" x14ac:dyDescent="0.3">
      <c r="A854" t="s">
        <v>890</v>
      </c>
      <c r="B854" s="2">
        <v>48</v>
      </c>
      <c r="C854" t="s">
        <v>23</v>
      </c>
      <c r="D854" t="s">
        <v>44</v>
      </c>
      <c r="E854" t="s">
        <v>29</v>
      </c>
      <c r="F854" s="3">
        <v>45296</v>
      </c>
      <c r="G854" s="3">
        <v>45346</v>
      </c>
      <c r="H854" s="2">
        <v>7</v>
      </c>
      <c r="I854" s="1">
        <v>1944.11</v>
      </c>
      <c r="J854" s="1">
        <v>277.73</v>
      </c>
      <c r="K854" t="s">
        <v>35</v>
      </c>
      <c r="L854" t="s">
        <v>20</v>
      </c>
      <c r="M854" s="2">
        <v>2</v>
      </c>
      <c r="N854" t="s">
        <v>21</v>
      </c>
    </row>
    <row r="855" spans="1:14" x14ac:dyDescent="0.3">
      <c r="A855" t="s">
        <v>891</v>
      </c>
      <c r="B855" s="2">
        <v>55</v>
      </c>
      <c r="C855" t="s">
        <v>23</v>
      </c>
      <c r="D855" t="s">
        <v>42</v>
      </c>
      <c r="E855" t="s">
        <v>34</v>
      </c>
      <c r="F855" s="3">
        <v>45669</v>
      </c>
      <c r="G855" s="3">
        <v>45885</v>
      </c>
      <c r="H855" s="2">
        <v>10</v>
      </c>
      <c r="I855" s="1">
        <v>1944.1</v>
      </c>
      <c r="J855" s="1">
        <v>194.41</v>
      </c>
      <c r="K855" t="s">
        <v>35</v>
      </c>
      <c r="L855" t="s">
        <v>30</v>
      </c>
      <c r="M855" s="2">
        <v>4</v>
      </c>
      <c r="N855" t="s">
        <v>21</v>
      </c>
    </row>
    <row r="856" spans="1:14" x14ac:dyDescent="0.3">
      <c r="A856" t="s">
        <v>892</v>
      </c>
      <c r="B856" s="2">
        <v>43</v>
      </c>
      <c r="C856" t="s">
        <v>23</v>
      </c>
      <c r="D856" t="s">
        <v>50</v>
      </c>
      <c r="E856" t="s">
        <v>18</v>
      </c>
      <c r="F856" s="3">
        <v>45823</v>
      </c>
      <c r="G856" s="3">
        <v>46015</v>
      </c>
      <c r="H856" s="2">
        <v>8</v>
      </c>
      <c r="I856" s="1">
        <v>1936.96</v>
      </c>
      <c r="J856" s="1">
        <v>242.12</v>
      </c>
      <c r="K856" t="s">
        <v>19</v>
      </c>
      <c r="L856" t="s">
        <v>30</v>
      </c>
      <c r="M856" s="2">
        <v>1</v>
      </c>
      <c r="N856" t="s">
        <v>21</v>
      </c>
    </row>
    <row r="857" spans="1:14" x14ac:dyDescent="0.3">
      <c r="A857" t="s">
        <v>893</v>
      </c>
      <c r="B857" s="2">
        <v>23</v>
      </c>
      <c r="C857" t="s">
        <v>23</v>
      </c>
      <c r="D857" t="s">
        <v>42</v>
      </c>
      <c r="E857" t="s">
        <v>18</v>
      </c>
      <c r="F857" s="3">
        <v>45325</v>
      </c>
      <c r="G857" s="3">
        <v>45576</v>
      </c>
      <c r="H857" s="2">
        <v>10</v>
      </c>
      <c r="I857" s="1">
        <v>1935.2</v>
      </c>
      <c r="J857" s="1">
        <v>193.52</v>
      </c>
      <c r="K857" t="s">
        <v>39</v>
      </c>
      <c r="L857" t="s">
        <v>26</v>
      </c>
      <c r="M857" s="2">
        <v>10</v>
      </c>
      <c r="N857" t="s">
        <v>21</v>
      </c>
    </row>
    <row r="858" spans="1:14" x14ac:dyDescent="0.3">
      <c r="A858" t="s">
        <v>894</v>
      </c>
      <c r="B858" s="2">
        <v>22</v>
      </c>
      <c r="C858" t="s">
        <v>23</v>
      </c>
      <c r="D858" t="s">
        <v>50</v>
      </c>
      <c r="E858" t="s">
        <v>18</v>
      </c>
      <c r="F858" s="3">
        <v>45402</v>
      </c>
      <c r="G858" s="3">
        <v>45538</v>
      </c>
      <c r="H858" s="2">
        <v>19</v>
      </c>
      <c r="I858" s="1">
        <v>1930.4</v>
      </c>
      <c r="J858" s="1">
        <v>101.6</v>
      </c>
      <c r="K858" t="s">
        <v>35</v>
      </c>
      <c r="L858" t="s">
        <v>20</v>
      </c>
      <c r="M858" s="2">
        <v>5</v>
      </c>
      <c r="N858" t="s">
        <v>21</v>
      </c>
    </row>
    <row r="859" spans="1:14" x14ac:dyDescent="0.3">
      <c r="A859" t="s">
        <v>895</v>
      </c>
      <c r="B859" s="2">
        <v>29</v>
      </c>
      <c r="C859" t="s">
        <v>23</v>
      </c>
      <c r="D859" t="s">
        <v>17</v>
      </c>
      <c r="E859" t="s">
        <v>18</v>
      </c>
      <c r="F859" s="3">
        <v>45898</v>
      </c>
      <c r="G859" s="3">
        <v>46135</v>
      </c>
      <c r="H859" s="2">
        <v>11</v>
      </c>
      <c r="I859" s="1">
        <v>1929.62</v>
      </c>
      <c r="J859" s="1">
        <v>175.42</v>
      </c>
      <c r="K859" t="s">
        <v>19</v>
      </c>
      <c r="L859" t="s">
        <v>30</v>
      </c>
      <c r="M859" s="2">
        <v>10</v>
      </c>
      <c r="N859" t="s">
        <v>21</v>
      </c>
    </row>
    <row r="860" spans="1:14" x14ac:dyDescent="0.3">
      <c r="A860" t="s">
        <v>896</v>
      </c>
      <c r="B860" s="2">
        <v>55</v>
      </c>
      <c r="C860" t="s">
        <v>16</v>
      </c>
      <c r="D860" t="s">
        <v>17</v>
      </c>
      <c r="E860" t="s">
        <v>38</v>
      </c>
      <c r="F860" s="3">
        <v>45878</v>
      </c>
      <c r="G860" s="3">
        <v>46123</v>
      </c>
      <c r="H860" s="2">
        <v>9</v>
      </c>
      <c r="I860" s="1">
        <v>1928.16</v>
      </c>
      <c r="J860" s="1">
        <v>214.24</v>
      </c>
      <c r="K860" t="s">
        <v>35</v>
      </c>
      <c r="L860" t="s">
        <v>26</v>
      </c>
      <c r="M860" s="2">
        <v>10</v>
      </c>
      <c r="N860" t="s">
        <v>31</v>
      </c>
    </row>
    <row r="861" spans="1:14" x14ac:dyDescent="0.3">
      <c r="A861" t="s">
        <v>897</v>
      </c>
      <c r="B861" s="2">
        <v>28</v>
      </c>
      <c r="C861" t="s">
        <v>16</v>
      </c>
      <c r="D861" t="s">
        <v>61</v>
      </c>
      <c r="E861" t="s">
        <v>18</v>
      </c>
      <c r="F861" s="3">
        <v>45691</v>
      </c>
      <c r="G861" s="3">
        <v>45896</v>
      </c>
      <c r="H861" s="2">
        <v>20</v>
      </c>
      <c r="I861" s="1">
        <v>1920.4</v>
      </c>
      <c r="J861" s="1">
        <v>96.02</v>
      </c>
      <c r="K861" t="s">
        <v>19</v>
      </c>
      <c r="L861" t="s">
        <v>26</v>
      </c>
      <c r="M861" s="2">
        <v>9</v>
      </c>
      <c r="N861" t="s">
        <v>21</v>
      </c>
    </row>
    <row r="862" spans="1:14" x14ac:dyDescent="0.3">
      <c r="A862" t="s">
        <v>898</v>
      </c>
      <c r="B862" s="2">
        <v>62</v>
      </c>
      <c r="C862" t="s">
        <v>16</v>
      </c>
      <c r="D862" t="s">
        <v>17</v>
      </c>
      <c r="E862" t="s">
        <v>18</v>
      </c>
      <c r="F862" s="3">
        <v>45924</v>
      </c>
      <c r="G862" s="3">
        <v>46145</v>
      </c>
      <c r="H862" s="2">
        <v>15</v>
      </c>
      <c r="I862" s="1">
        <v>1915.65</v>
      </c>
      <c r="J862" s="1">
        <v>127.71</v>
      </c>
      <c r="K862" t="s">
        <v>25</v>
      </c>
      <c r="L862" t="s">
        <v>30</v>
      </c>
      <c r="M862" s="2">
        <v>5</v>
      </c>
      <c r="N862" t="s">
        <v>21</v>
      </c>
    </row>
    <row r="863" spans="1:14" x14ac:dyDescent="0.3">
      <c r="A863" t="s">
        <v>899</v>
      </c>
      <c r="B863" s="2">
        <v>25</v>
      </c>
      <c r="C863" t="s">
        <v>23</v>
      </c>
      <c r="D863" t="s">
        <v>42</v>
      </c>
      <c r="E863" t="s">
        <v>38</v>
      </c>
      <c r="F863" s="3">
        <v>45896</v>
      </c>
      <c r="G863" s="3">
        <v>46106</v>
      </c>
      <c r="H863" s="2">
        <v>19</v>
      </c>
      <c r="I863" s="1">
        <v>1910.45</v>
      </c>
      <c r="J863" s="1">
        <v>100.55</v>
      </c>
      <c r="K863" t="s">
        <v>39</v>
      </c>
      <c r="L863" t="s">
        <v>30</v>
      </c>
      <c r="M863" s="2">
        <v>7</v>
      </c>
      <c r="N863" t="s">
        <v>21</v>
      </c>
    </row>
    <row r="864" spans="1:14" x14ac:dyDescent="0.3">
      <c r="A864" t="s">
        <v>900</v>
      </c>
      <c r="B864" s="2">
        <v>19</v>
      </c>
      <c r="C864" t="s">
        <v>16</v>
      </c>
      <c r="D864" t="s">
        <v>17</v>
      </c>
      <c r="E864" t="s">
        <v>29</v>
      </c>
      <c r="F864" s="3">
        <v>45787</v>
      </c>
      <c r="G864" s="3">
        <v>45844</v>
      </c>
      <c r="H864" s="2">
        <v>9</v>
      </c>
      <c r="I864" s="1">
        <v>1908.18</v>
      </c>
      <c r="J864" s="1">
        <v>212.02</v>
      </c>
      <c r="K864" t="s">
        <v>25</v>
      </c>
      <c r="L864" t="s">
        <v>26</v>
      </c>
      <c r="M864" s="2">
        <v>8</v>
      </c>
      <c r="N864" t="s">
        <v>21</v>
      </c>
    </row>
    <row r="865" spans="1:14" x14ac:dyDescent="0.3">
      <c r="A865" t="s">
        <v>901</v>
      </c>
      <c r="B865" s="2">
        <v>22</v>
      </c>
      <c r="C865" t="s">
        <v>16</v>
      </c>
      <c r="D865" t="s">
        <v>17</v>
      </c>
      <c r="E865" t="s">
        <v>18</v>
      </c>
      <c r="F865" s="3">
        <v>45637</v>
      </c>
      <c r="G865" s="3">
        <v>45729</v>
      </c>
      <c r="H865" s="2">
        <v>11</v>
      </c>
      <c r="I865" s="1">
        <v>1906.63</v>
      </c>
      <c r="J865" s="1">
        <v>173.33</v>
      </c>
      <c r="K865" t="s">
        <v>19</v>
      </c>
      <c r="L865" t="s">
        <v>30</v>
      </c>
      <c r="M865" s="2">
        <v>8</v>
      </c>
      <c r="N865" t="s">
        <v>21</v>
      </c>
    </row>
    <row r="866" spans="1:14" x14ac:dyDescent="0.3">
      <c r="A866" t="s">
        <v>902</v>
      </c>
      <c r="B866" s="2">
        <v>32</v>
      </c>
      <c r="C866" t="s">
        <v>16</v>
      </c>
      <c r="D866" t="s">
        <v>50</v>
      </c>
      <c r="E866" t="s">
        <v>18</v>
      </c>
      <c r="F866" s="3">
        <v>45915</v>
      </c>
      <c r="G866" s="3">
        <v>46214</v>
      </c>
      <c r="H866" s="2">
        <v>15</v>
      </c>
      <c r="I866" s="1">
        <v>1905.9</v>
      </c>
      <c r="J866" s="1">
        <v>127.06</v>
      </c>
      <c r="K866" t="s">
        <v>19</v>
      </c>
      <c r="L866" t="s">
        <v>30</v>
      </c>
      <c r="M866" s="2">
        <v>5</v>
      </c>
      <c r="N866" t="s">
        <v>21</v>
      </c>
    </row>
    <row r="867" spans="1:14" x14ac:dyDescent="0.3">
      <c r="A867" t="s">
        <v>903</v>
      </c>
      <c r="B867" s="2">
        <v>52</v>
      </c>
      <c r="C867" t="s">
        <v>16</v>
      </c>
      <c r="D867" t="s">
        <v>28</v>
      </c>
      <c r="E867" t="s">
        <v>18</v>
      </c>
      <c r="F867" s="3">
        <v>45465</v>
      </c>
      <c r="G867" s="3">
        <v>45502</v>
      </c>
      <c r="H867" s="2">
        <v>16</v>
      </c>
      <c r="I867" s="1">
        <v>1904.32</v>
      </c>
      <c r="J867" s="1">
        <v>119.02</v>
      </c>
      <c r="K867" t="s">
        <v>19</v>
      </c>
      <c r="L867" t="s">
        <v>26</v>
      </c>
      <c r="M867" s="2">
        <v>4</v>
      </c>
      <c r="N867" t="s">
        <v>31</v>
      </c>
    </row>
    <row r="868" spans="1:14" x14ac:dyDescent="0.3">
      <c r="A868" t="s">
        <v>904</v>
      </c>
      <c r="B868" s="2">
        <v>31</v>
      </c>
      <c r="C868" t="s">
        <v>23</v>
      </c>
      <c r="D868" t="s">
        <v>61</v>
      </c>
      <c r="E868" t="s">
        <v>38</v>
      </c>
      <c r="F868" s="3">
        <v>45451</v>
      </c>
      <c r="G868" s="3">
        <v>45590</v>
      </c>
      <c r="H868" s="2">
        <v>10</v>
      </c>
      <c r="I868" s="1">
        <v>1893.5</v>
      </c>
      <c r="J868" s="1">
        <v>189.35</v>
      </c>
      <c r="K868" t="s">
        <v>45</v>
      </c>
      <c r="L868" t="s">
        <v>30</v>
      </c>
      <c r="M868" s="2">
        <v>2</v>
      </c>
      <c r="N868" t="s">
        <v>21</v>
      </c>
    </row>
    <row r="869" spans="1:14" x14ac:dyDescent="0.3">
      <c r="A869" t="s">
        <v>905</v>
      </c>
      <c r="B869" s="2">
        <v>51</v>
      </c>
      <c r="C869" t="s">
        <v>23</v>
      </c>
      <c r="D869" t="s">
        <v>17</v>
      </c>
      <c r="E869" t="s">
        <v>18</v>
      </c>
      <c r="F869" s="3">
        <v>45892</v>
      </c>
      <c r="G869" s="3">
        <v>46101</v>
      </c>
      <c r="H869" s="2">
        <v>10</v>
      </c>
      <c r="I869" s="1">
        <v>1890.9</v>
      </c>
      <c r="J869" s="1">
        <v>189.09</v>
      </c>
      <c r="K869" t="s">
        <v>39</v>
      </c>
      <c r="L869" t="s">
        <v>30</v>
      </c>
      <c r="M869" s="2">
        <v>6</v>
      </c>
      <c r="N869" t="s">
        <v>21</v>
      </c>
    </row>
    <row r="870" spans="1:14" x14ac:dyDescent="0.3">
      <c r="A870" t="s">
        <v>906</v>
      </c>
      <c r="B870" s="2">
        <v>32</v>
      </c>
      <c r="C870" t="s">
        <v>23</v>
      </c>
      <c r="D870" t="s">
        <v>28</v>
      </c>
      <c r="E870" t="s">
        <v>34</v>
      </c>
      <c r="F870" s="3">
        <v>45807</v>
      </c>
      <c r="G870" s="3">
        <v>45906</v>
      </c>
      <c r="H870" s="2">
        <v>18</v>
      </c>
      <c r="I870" s="1">
        <v>1890.36</v>
      </c>
      <c r="J870" s="1">
        <v>105.02</v>
      </c>
      <c r="K870" t="s">
        <v>35</v>
      </c>
      <c r="L870" t="s">
        <v>30</v>
      </c>
      <c r="M870" s="2">
        <v>9</v>
      </c>
      <c r="N870" t="s">
        <v>31</v>
      </c>
    </row>
    <row r="871" spans="1:14" x14ac:dyDescent="0.3">
      <c r="A871" t="s">
        <v>907</v>
      </c>
      <c r="B871" s="2">
        <v>22</v>
      </c>
      <c r="C871" t="s">
        <v>23</v>
      </c>
      <c r="D871" t="s">
        <v>24</v>
      </c>
      <c r="E871" t="s">
        <v>29</v>
      </c>
      <c r="F871" s="3">
        <v>45669</v>
      </c>
      <c r="G871" s="3">
        <v>45698</v>
      </c>
      <c r="H871" s="2">
        <v>20</v>
      </c>
      <c r="I871" s="1">
        <v>1888.6</v>
      </c>
      <c r="J871" s="1">
        <v>94.43</v>
      </c>
      <c r="K871" t="s">
        <v>19</v>
      </c>
      <c r="L871" t="s">
        <v>30</v>
      </c>
      <c r="M871" s="2">
        <v>2</v>
      </c>
      <c r="N871" t="s">
        <v>31</v>
      </c>
    </row>
    <row r="872" spans="1:14" x14ac:dyDescent="0.3">
      <c r="A872" t="s">
        <v>908</v>
      </c>
      <c r="B872" s="2">
        <v>65</v>
      </c>
      <c r="C872" t="s">
        <v>16</v>
      </c>
      <c r="D872" t="s">
        <v>44</v>
      </c>
      <c r="E872" t="s">
        <v>18</v>
      </c>
      <c r="F872" s="3">
        <v>45473</v>
      </c>
      <c r="G872" s="3">
        <v>45493</v>
      </c>
      <c r="H872" s="2">
        <v>20</v>
      </c>
      <c r="I872" s="1">
        <v>1888.2</v>
      </c>
      <c r="J872" s="1">
        <v>94.41</v>
      </c>
      <c r="K872" t="s">
        <v>25</v>
      </c>
      <c r="L872" t="s">
        <v>20</v>
      </c>
      <c r="M872" s="2">
        <v>5</v>
      </c>
      <c r="N872" t="s">
        <v>21</v>
      </c>
    </row>
    <row r="873" spans="1:14" x14ac:dyDescent="0.3">
      <c r="A873" t="s">
        <v>909</v>
      </c>
      <c r="B873" s="2">
        <v>48</v>
      </c>
      <c r="C873" t="s">
        <v>16</v>
      </c>
      <c r="D873" t="s">
        <v>24</v>
      </c>
      <c r="E873" t="s">
        <v>38</v>
      </c>
      <c r="F873" s="3">
        <v>45619</v>
      </c>
      <c r="G873" s="3">
        <v>45694</v>
      </c>
      <c r="H873" s="2">
        <v>13</v>
      </c>
      <c r="I873" s="1">
        <v>1885.91</v>
      </c>
      <c r="J873" s="1">
        <v>145.07</v>
      </c>
      <c r="K873" t="s">
        <v>45</v>
      </c>
      <c r="L873" t="s">
        <v>30</v>
      </c>
      <c r="M873" s="2">
        <v>2</v>
      </c>
      <c r="N873" t="s">
        <v>21</v>
      </c>
    </row>
    <row r="874" spans="1:14" x14ac:dyDescent="0.3">
      <c r="A874" t="s">
        <v>910</v>
      </c>
      <c r="B874" s="2">
        <v>44</v>
      </c>
      <c r="C874" t="s">
        <v>16</v>
      </c>
      <c r="D874" t="s">
        <v>50</v>
      </c>
      <c r="E874" t="s">
        <v>38</v>
      </c>
      <c r="F874" s="3">
        <v>45511</v>
      </c>
      <c r="G874" s="3">
        <v>45543</v>
      </c>
      <c r="H874" s="2">
        <v>14</v>
      </c>
      <c r="I874" s="1">
        <v>1877.82</v>
      </c>
      <c r="J874" s="1">
        <v>134.13</v>
      </c>
      <c r="K874" t="s">
        <v>35</v>
      </c>
      <c r="L874" t="s">
        <v>20</v>
      </c>
      <c r="M874" s="2">
        <v>1</v>
      </c>
      <c r="N874" t="s">
        <v>21</v>
      </c>
    </row>
    <row r="875" spans="1:14" x14ac:dyDescent="0.3">
      <c r="A875" t="s">
        <v>911</v>
      </c>
      <c r="B875" s="2">
        <v>37</v>
      </c>
      <c r="C875" t="s">
        <v>23</v>
      </c>
      <c r="D875" t="s">
        <v>28</v>
      </c>
      <c r="E875" t="s">
        <v>34</v>
      </c>
      <c r="F875" s="3">
        <v>45623</v>
      </c>
      <c r="G875" s="3">
        <v>45727</v>
      </c>
      <c r="H875" s="2">
        <v>11</v>
      </c>
      <c r="I875" s="1">
        <v>1869.12</v>
      </c>
      <c r="J875" s="1">
        <v>169.92</v>
      </c>
      <c r="K875" t="s">
        <v>39</v>
      </c>
      <c r="L875" t="s">
        <v>26</v>
      </c>
      <c r="M875" s="2">
        <v>2</v>
      </c>
      <c r="N875" t="s">
        <v>21</v>
      </c>
    </row>
    <row r="876" spans="1:14" x14ac:dyDescent="0.3">
      <c r="A876" t="s">
        <v>912</v>
      </c>
      <c r="B876" s="2">
        <v>52</v>
      </c>
      <c r="C876" t="s">
        <v>16</v>
      </c>
      <c r="D876" t="s">
        <v>24</v>
      </c>
      <c r="E876" t="s">
        <v>38</v>
      </c>
      <c r="F876" s="3">
        <v>45872</v>
      </c>
      <c r="G876" s="3">
        <v>45933</v>
      </c>
      <c r="H876" s="2">
        <v>8</v>
      </c>
      <c r="I876" s="1">
        <v>1867.28</v>
      </c>
      <c r="J876" s="1">
        <v>233.41</v>
      </c>
      <c r="K876" t="s">
        <v>19</v>
      </c>
      <c r="L876" t="s">
        <v>20</v>
      </c>
      <c r="M876" s="2">
        <v>7</v>
      </c>
      <c r="N876" t="s">
        <v>31</v>
      </c>
    </row>
    <row r="877" spans="1:14" x14ac:dyDescent="0.3">
      <c r="A877" t="s">
        <v>913</v>
      </c>
      <c r="B877" s="2">
        <v>24</v>
      </c>
      <c r="C877" t="s">
        <v>16</v>
      </c>
      <c r="D877" t="s">
        <v>44</v>
      </c>
      <c r="E877" t="s">
        <v>34</v>
      </c>
      <c r="F877" s="3">
        <v>45373</v>
      </c>
      <c r="G877" s="3">
        <v>45541</v>
      </c>
      <c r="H877" s="2">
        <v>21</v>
      </c>
      <c r="I877" s="1">
        <v>1864.17</v>
      </c>
      <c r="J877" s="1">
        <v>88.77</v>
      </c>
      <c r="K877" t="s">
        <v>25</v>
      </c>
      <c r="L877" t="s">
        <v>20</v>
      </c>
      <c r="M877" s="2">
        <v>5</v>
      </c>
      <c r="N877" t="s">
        <v>21</v>
      </c>
    </row>
    <row r="878" spans="1:14" x14ac:dyDescent="0.3">
      <c r="A878" t="s">
        <v>914</v>
      </c>
      <c r="B878" s="2">
        <v>57</v>
      </c>
      <c r="C878" t="s">
        <v>23</v>
      </c>
      <c r="D878" t="s">
        <v>24</v>
      </c>
      <c r="E878" t="s">
        <v>38</v>
      </c>
      <c r="F878" s="3">
        <v>45355</v>
      </c>
      <c r="G878" s="3">
        <v>45387</v>
      </c>
      <c r="H878" s="2">
        <v>16</v>
      </c>
      <c r="I878" s="1">
        <v>1862.08</v>
      </c>
      <c r="J878" s="1">
        <v>116.38</v>
      </c>
      <c r="K878" t="s">
        <v>39</v>
      </c>
      <c r="L878" t="s">
        <v>20</v>
      </c>
      <c r="M878" s="2">
        <v>2</v>
      </c>
      <c r="N878" t="s">
        <v>21</v>
      </c>
    </row>
    <row r="879" spans="1:14" x14ac:dyDescent="0.3">
      <c r="A879" t="s">
        <v>915</v>
      </c>
      <c r="B879" s="2">
        <v>38</v>
      </c>
      <c r="C879" t="s">
        <v>23</v>
      </c>
      <c r="D879" t="s">
        <v>42</v>
      </c>
      <c r="E879" t="s">
        <v>29</v>
      </c>
      <c r="F879" s="3">
        <v>45783</v>
      </c>
      <c r="G879" s="3">
        <v>46061</v>
      </c>
      <c r="H879" s="2">
        <v>16</v>
      </c>
      <c r="I879" s="1">
        <v>1861.28</v>
      </c>
      <c r="J879" s="1">
        <v>116.33</v>
      </c>
      <c r="K879" t="s">
        <v>39</v>
      </c>
      <c r="L879" t="s">
        <v>26</v>
      </c>
      <c r="M879" s="2">
        <v>10</v>
      </c>
      <c r="N879" t="s">
        <v>21</v>
      </c>
    </row>
    <row r="880" spans="1:14" x14ac:dyDescent="0.3">
      <c r="A880" t="s">
        <v>916</v>
      </c>
      <c r="B880" s="2">
        <v>27</v>
      </c>
      <c r="C880" t="s">
        <v>23</v>
      </c>
      <c r="D880" t="s">
        <v>17</v>
      </c>
      <c r="E880" t="s">
        <v>29</v>
      </c>
      <c r="F880" s="3">
        <v>45644</v>
      </c>
      <c r="G880" s="3">
        <v>45839</v>
      </c>
      <c r="H880" s="2">
        <v>17</v>
      </c>
      <c r="I880" s="1">
        <v>1857.25</v>
      </c>
      <c r="J880" s="1">
        <v>109.25</v>
      </c>
      <c r="K880" t="s">
        <v>19</v>
      </c>
      <c r="L880" t="s">
        <v>26</v>
      </c>
      <c r="M880" s="2">
        <v>4</v>
      </c>
      <c r="N880" t="s">
        <v>21</v>
      </c>
    </row>
    <row r="881" spans="1:14" x14ac:dyDescent="0.3">
      <c r="A881" t="s">
        <v>917</v>
      </c>
      <c r="B881" s="2">
        <v>25</v>
      </c>
      <c r="C881" t="s">
        <v>16</v>
      </c>
      <c r="D881" t="s">
        <v>61</v>
      </c>
      <c r="E881" t="s">
        <v>29</v>
      </c>
      <c r="F881" s="3">
        <v>45716</v>
      </c>
      <c r="G881" s="3">
        <v>45728</v>
      </c>
      <c r="H881" s="2">
        <v>17</v>
      </c>
      <c r="I881" s="1">
        <v>1850.79</v>
      </c>
      <c r="J881" s="1">
        <v>108.87</v>
      </c>
      <c r="K881" t="s">
        <v>45</v>
      </c>
      <c r="L881" t="s">
        <v>30</v>
      </c>
      <c r="M881" s="2">
        <v>3</v>
      </c>
      <c r="N881" t="s">
        <v>21</v>
      </c>
    </row>
    <row r="882" spans="1:14" x14ac:dyDescent="0.3">
      <c r="A882" t="s">
        <v>918</v>
      </c>
      <c r="B882" s="2">
        <v>61</v>
      </c>
      <c r="C882" t="s">
        <v>23</v>
      </c>
      <c r="D882" t="s">
        <v>42</v>
      </c>
      <c r="E882" t="s">
        <v>29</v>
      </c>
      <c r="F882" s="3">
        <v>45454</v>
      </c>
      <c r="G882" s="3">
        <v>45748</v>
      </c>
      <c r="H882" s="2">
        <v>10</v>
      </c>
      <c r="I882" s="1">
        <v>1845</v>
      </c>
      <c r="J882" s="1">
        <v>184.5</v>
      </c>
      <c r="K882" t="s">
        <v>39</v>
      </c>
      <c r="L882" t="s">
        <v>30</v>
      </c>
      <c r="M882" s="2">
        <v>8</v>
      </c>
      <c r="N882" t="s">
        <v>21</v>
      </c>
    </row>
    <row r="883" spans="1:14" x14ac:dyDescent="0.3">
      <c r="A883" t="s">
        <v>919</v>
      </c>
      <c r="B883" s="2">
        <v>19</v>
      </c>
      <c r="C883" t="s">
        <v>23</v>
      </c>
      <c r="D883" t="s">
        <v>24</v>
      </c>
      <c r="E883" t="s">
        <v>34</v>
      </c>
      <c r="F883" s="3">
        <v>45933</v>
      </c>
      <c r="G883" s="3">
        <v>46151</v>
      </c>
      <c r="H883" s="2">
        <v>13</v>
      </c>
      <c r="I883" s="1">
        <v>1843.92</v>
      </c>
      <c r="J883" s="1">
        <v>141.84</v>
      </c>
      <c r="K883" t="s">
        <v>19</v>
      </c>
      <c r="L883" t="s">
        <v>26</v>
      </c>
      <c r="M883" s="2">
        <v>10</v>
      </c>
      <c r="N883" t="s">
        <v>31</v>
      </c>
    </row>
    <row r="884" spans="1:14" x14ac:dyDescent="0.3">
      <c r="A884" t="s">
        <v>920</v>
      </c>
      <c r="B884" s="2">
        <v>22</v>
      </c>
      <c r="C884" t="s">
        <v>23</v>
      </c>
      <c r="D884" t="s">
        <v>24</v>
      </c>
      <c r="E884" t="s">
        <v>34</v>
      </c>
      <c r="F884" s="3">
        <v>45864</v>
      </c>
      <c r="G884" s="3">
        <v>45893</v>
      </c>
      <c r="H884" s="2">
        <v>12</v>
      </c>
      <c r="I884" s="1">
        <v>1841.52</v>
      </c>
      <c r="J884" s="1">
        <v>153.46</v>
      </c>
      <c r="K884" t="s">
        <v>19</v>
      </c>
      <c r="L884" t="s">
        <v>26</v>
      </c>
      <c r="M884" s="2">
        <v>1</v>
      </c>
      <c r="N884" t="s">
        <v>21</v>
      </c>
    </row>
    <row r="885" spans="1:14" x14ac:dyDescent="0.3">
      <c r="A885" t="s">
        <v>921</v>
      </c>
      <c r="B885" s="2">
        <v>43</v>
      </c>
      <c r="C885" t="s">
        <v>16</v>
      </c>
      <c r="D885" t="s">
        <v>42</v>
      </c>
      <c r="E885" t="s">
        <v>18</v>
      </c>
      <c r="F885" s="3">
        <v>45828</v>
      </c>
      <c r="G885" s="3">
        <v>45944</v>
      </c>
      <c r="H885" s="2">
        <v>24</v>
      </c>
      <c r="I885" s="1">
        <v>1841.04</v>
      </c>
      <c r="J885" s="1">
        <v>76.709999999999994</v>
      </c>
      <c r="K885" t="s">
        <v>45</v>
      </c>
      <c r="L885" t="s">
        <v>20</v>
      </c>
      <c r="M885" s="2">
        <v>9</v>
      </c>
      <c r="N885" t="s">
        <v>21</v>
      </c>
    </row>
    <row r="886" spans="1:14" x14ac:dyDescent="0.3">
      <c r="A886" t="s">
        <v>922</v>
      </c>
      <c r="B886" s="2">
        <v>31</v>
      </c>
      <c r="C886" t="s">
        <v>16</v>
      </c>
      <c r="D886" t="s">
        <v>42</v>
      </c>
      <c r="E886" t="s">
        <v>29</v>
      </c>
      <c r="F886" s="3">
        <v>45816</v>
      </c>
      <c r="G886" s="3">
        <v>45894</v>
      </c>
      <c r="H886" s="2">
        <v>7</v>
      </c>
      <c r="I886" s="1">
        <v>1839.04</v>
      </c>
      <c r="J886" s="1">
        <v>262.72000000000003</v>
      </c>
      <c r="K886" t="s">
        <v>25</v>
      </c>
      <c r="L886" t="s">
        <v>30</v>
      </c>
      <c r="M886" s="2">
        <v>3</v>
      </c>
      <c r="N886" t="s">
        <v>31</v>
      </c>
    </row>
    <row r="887" spans="1:14" x14ac:dyDescent="0.3">
      <c r="A887" t="s">
        <v>923</v>
      </c>
      <c r="B887" s="2">
        <v>65</v>
      </c>
      <c r="C887" t="s">
        <v>23</v>
      </c>
      <c r="D887" t="s">
        <v>28</v>
      </c>
      <c r="E887" t="s">
        <v>38</v>
      </c>
      <c r="F887" s="3">
        <v>45713</v>
      </c>
      <c r="G887" s="3">
        <v>46000</v>
      </c>
      <c r="H887" s="2">
        <v>14</v>
      </c>
      <c r="I887" s="1">
        <v>1827.42</v>
      </c>
      <c r="J887" s="1">
        <v>130.53</v>
      </c>
      <c r="K887" t="s">
        <v>25</v>
      </c>
      <c r="L887" t="s">
        <v>26</v>
      </c>
      <c r="M887" s="2">
        <v>2</v>
      </c>
      <c r="N887" t="s">
        <v>31</v>
      </c>
    </row>
    <row r="888" spans="1:14" x14ac:dyDescent="0.3">
      <c r="A888" t="s">
        <v>924</v>
      </c>
      <c r="B888" s="2">
        <v>33</v>
      </c>
      <c r="C888" t="s">
        <v>16</v>
      </c>
      <c r="D888" t="s">
        <v>42</v>
      </c>
      <c r="E888" t="s">
        <v>29</v>
      </c>
      <c r="F888" s="3">
        <v>45697</v>
      </c>
      <c r="G888" s="3">
        <v>45806</v>
      </c>
      <c r="H888" s="2">
        <v>13</v>
      </c>
      <c r="I888" s="1">
        <v>1825.59</v>
      </c>
      <c r="J888" s="1">
        <v>140.43</v>
      </c>
      <c r="K888" t="s">
        <v>19</v>
      </c>
      <c r="L888" t="s">
        <v>26</v>
      </c>
      <c r="M888" s="2">
        <v>10</v>
      </c>
      <c r="N888" t="s">
        <v>21</v>
      </c>
    </row>
    <row r="889" spans="1:14" x14ac:dyDescent="0.3">
      <c r="A889" t="s">
        <v>925</v>
      </c>
      <c r="B889" s="2">
        <v>27</v>
      </c>
      <c r="C889" t="s">
        <v>23</v>
      </c>
      <c r="D889" t="s">
        <v>61</v>
      </c>
      <c r="E889" t="s">
        <v>18</v>
      </c>
      <c r="F889" s="3">
        <v>45641</v>
      </c>
      <c r="G889" s="3">
        <v>45878</v>
      </c>
      <c r="H889" s="2">
        <v>22</v>
      </c>
      <c r="I889" s="1">
        <v>1821.16</v>
      </c>
      <c r="J889" s="1">
        <v>82.78</v>
      </c>
      <c r="K889" t="s">
        <v>45</v>
      </c>
      <c r="L889" t="s">
        <v>26</v>
      </c>
      <c r="M889" s="2">
        <v>7</v>
      </c>
      <c r="N889" t="s">
        <v>21</v>
      </c>
    </row>
    <row r="890" spans="1:14" x14ac:dyDescent="0.3">
      <c r="A890" t="s">
        <v>926</v>
      </c>
      <c r="B890" s="2">
        <v>32</v>
      </c>
      <c r="C890" t="s">
        <v>16</v>
      </c>
      <c r="D890" t="s">
        <v>28</v>
      </c>
      <c r="E890" t="s">
        <v>18</v>
      </c>
      <c r="F890" s="3">
        <v>45749</v>
      </c>
      <c r="G890" s="3">
        <v>45773</v>
      </c>
      <c r="H890" s="2">
        <v>8</v>
      </c>
      <c r="I890" s="1">
        <v>1818.8</v>
      </c>
      <c r="J890" s="1">
        <v>227.35</v>
      </c>
      <c r="K890" t="s">
        <v>25</v>
      </c>
      <c r="L890" t="s">
        <v>20</v>
      </c>
      <c r="M890" s="2">
        <v>5</v>
      </c>
      <c r="N890" t="s">
        <v>21</v>
      </c>
    </row>
    <row r="891" spans="1:14" x14ac:dyDescent="0.3">
      <c r="A891" t="s">
        <v>927</v>
      </c>
      <c r="B891" s="2">
        <v>40</v>
      </c>
      <c r="C891" t="s">
        <v>23</v>
      </c>
      <c r="D891" t="s">
        <v>17</v>
      </c>
      <c r="E891" t="s">
        <v>29</v>
      </c>
      <c r="F891" s="3">
        <v>45734</v>
      </c>
      <c r="G891" s="3">
        <v>45778</v>
      </c>
      <c r="H891" s="2">
        <v>20</v>
      </c>
      <c r="I891" s="1">
        <v>1818</v>
      </c>
      <c r="J891" s="1">
        <v>90.9</v>
      </c>
      <c r="K891" t="s">
        <v>39</v>
      </c>
      <c r="L891" t="s">
        <v>26</v>
      </c>
      <c r="M891" s="2">
        <v>9</v>
      </c>
      <c r="N891" t="s">
        <v>31</v>
      </c>
    </row>
    <row r="892" spans="1:14" x14ac:dyDescent="0.3">
      <c r="A892" t="s">
        <v>928</v>
      </c>
      <c r="B892" s="2">
        <v>42</v>
      </c>
      <c r="C892" t="s">
        <v>16</v>
      </c>
      <c r="D892" t="s">
        <v>24</v>
      </c>
      <c r="E892" t="s">
        <v>38</v>
      </c>
      <c r="F892" s="3">
        <v>45525</v>
      </c>
      <c r="G892" s="3">
        <v>45575</v>
      </c>
      <c r="H892" s="2">
        <v>8</v>
      </c>
      <c r="I892" s="1">
        <v>1812.56</v>
      </c>
      <c r="J892" s="1">
        <v>226.57</v>
      </c>
      <c r="K892" t="s">
        <v>19</v>
      </c>
      <c r="L892" t="s">
        <v>26</v>
      </c>
      <c r="M892" s="2">
        <v>1</v>
      </c>
      <c r="N892" t="s">
        <v>21</v>
      </c>
    </row>
    <row r="893" spans="1:14" x14ac:dyDescent="0.3">
      <c r="A893" t="s">
        <v>929</v>
      </c>
      <c r="B893" s="2">
        <v>26</v>
      </c>
      <c r="C893" t="s">
        <v>16</v>
      </c>
      <c r="D893" t="s">
        <v>61</v>
      </c>
      <c r="E893" t="s">
        <v>29</v>
      </c>
      <c r="F893" s="3">
        <v>45608</v>
      </c>
      <c r="G893" s="3">
        <v>45725</v>
      </c>
      <c r="H893" s="2">
        <v>8</v>
      </c>
      <c r="I893" s="1">
        <v>1812.24</v>
      </c>
      <c r="J893" s="1">
        <v>226.53</v>
      </c>
      <c r="K893" t="s">
        <v>39</v>
      </c>
      <c r="L893" t="s">
        <v>30</v>
      </c>
      <c r="M893" s="2">
        <v>6</v>
      </c>
      <c r="N893" t="s">
        <v>21</v>
      </c>
    </row>
    <row r="894" spans="1:14" x14ac:dyDescent="0.3">
      <c r="A894" t="s">
        <v>930</v>
      </c>
      <c r="B894" s="2">
        <v>39</v>
      </c>
      <c r="C894" t="s">
        <v>16</v>
      </c>
      <c r="D894" t="s">
        <v>50</v>
      </c>
      <c r="E894" t="s">
        <v>29</v>
      </c>
      <c r="F894" s="3">
        <v>45864</v>
      </c>
      <c r="G894" s="3">
        <v>46007</v>
      </c>
      <c r="H894" s="2">
        <v>14</v>
      </c>
      <c r="I894" s="1">
        <v>1812.16</v>
      </c>
      <c r="J894" s="1">
        <v>129.44</v>
      </c>
      <c r="K894" t="s">
        <v>25</v>
      </c>
      <c r="L894" t="s">
        <v>20</v>
      </c>
      <c r="M894" s="2">
        <v>3</v>
      </c>
      <c r="N894" t="s">
        <v>21</v>
      </c>
    </row>
    <row r="895" spans="1:14" x14ac:dyDescent="0.3">
      <c r="A895" t="s">
        <v>931</v>
      </c>
      <c r="B895" s="2">
        <v>51</v>
      </c>
      <c r="C895" t="s">
        <v>23</v>
      </c>
      <c r="D895" t="s">
        <v>50</v>
      </c>
      <c r="E895" t="s">
        <v>18</v>
      </c>
      <c r="F895" s="3">
        <v>45741</v>
      </c>
      <c r="G895" s="3">
        <v>45746</v>
      </c>
      <c r="H895" s="2">
        <v>7</v>
      </c>
      <c r="I895" s="1">
        <v>1807.12</v>
      </c>
      <c r="J895" s="1">
        <v>258.16000000000003</v>
      </c>
      <c r="K895" t="s">
        <v>19</v>
      </c>
      <c r="L895" t="s">
        <v>20</v>
      </c>
      <c r="M895" s="2">
        <v>9</v>
      </c>
      <c r="N895" t="s">
        <v>21</v>
      </c>
    </row>
    <row r="896" spans="1:14" x14ac:dyDescent="0.3">
      <c r="A896" t="s">
        <v>932</v>
      </c>
      <c r="B896" s="2">
        <v>53</v>
      </c>
      <c r="C896" t="s">
        <v>16</v>
      </c>
      <c r="D896" t="s">
        <v>50</v>
      </c>
      <c r="E896" t="s">
        <v>18</v>
      </c>
      <c r="F896" s="3">
        <v>45783</v>
      </c>
      <c r="G896" s="3">
        <v>46019</v>
      </c>
      <c r="H896" s="2">
        <v>15</v>
      </c>
      <c r="I896" s="1">
        <v>1806.75</v>
      </c>
      <c r="J896" s="1">
        <v>120.45</v>
      </c>
      <c r="K896" t="s">
        <v>45</v>
      </c>
      <c r="L896" t="s">
        <v>30</v>
      </c>
      <c r="M896" s="2">
        <v>9</v>
      </c>
      <c r="N896" t="s">
        <v>21</v>
      </c>
    </row>
    <row r="897" spans="1:14" x14ac:dyDescent="0.3">
      <c r="A897" t="s">
        <v>933</v>
      </c>
      <c r="B897" s="2">
        <v>48</v>
      </c>
      <c r="C897" t="s">
        <v>16</v>
      </c>
      <c r="D897" t="s">
        <v>24</v>
      </c>
      <c r="E897" t="s">
        <v>38</v>
      </c>
      <c r="F897" s="3">
        <v>45803</v>
      </c>
      <c r="G897" s="3">
        <v>45963</v>
      </c>
      <c r="H897" s="2">
        <v>21</v>
      </c>
      <c r="I897" s="1">
        <v>1806.21</v>
      </c>
      <c r="J897" s="1">
        <v>86.01</v>
      </c>
      <c r="K897" t="s">
        <v>39</v>
      </c>
      <c r="L897" t="s">
        <v>26</v>
      </c>
      <c r="M897" s="2">
        <v>3</v>
      </c>
      <c r="N897" t="s">
        <v>21</v>
      </c>
    </row>
    <row r="898" spans="1:14" x14ac:dyDescent="0.3">
      <c r="A898" t="s">
        <v>934</v>
      </c>
      <c r="B898" s="2">
        <v>44</v>
      </c>
      <c r="C898" t="s">
        <v>16</v>
      </c>
      <c r="D898" t="s">
        <v>28</v>
      </c>
      <c r="E898" t="s">
        <v>34</v>
      </c>
      <c r="F898" s="3">
        <v>45477</v>
      </c>
      <c r="G898" s="3">
        <v>45658</v>
      </c>
      <c r="H898" s="2">
        <v>13</v>
      </c>
      <c r="I898" s="1">
        <v>1803.75</v>
      </c>
      <c r="J898" s="1">
        <v>138.75</v>
      </c>
      <c r="K898" t="s">
        <v>39</v>
      </c>
      <c r="L898" t="s">
        <v>26</v>
      </c>
      <c r="M898" s="2">
        <v>2</v>
      </c>
      <c r="N898" t="s">
        <v>21</v>
      </c>
    </row>
    <row r="899" spans="1:14" x14ac:dyDescent="0.3">
      <c r="A899" t="s">
        <v>935</v>
      </c>
      <c r="B899" s="2">
        <v>60</v>
      </c>
      <c r="C899" t="s">
        <v>16</v>
      </c>
      <c r="D899" t="s">
        <v>44</v>
      </c>
      <c r="E899" t="s">
        <v>18</v>
      </c>
      <c r="F899" s="3">
        <v>45516</v>
      </c>
      <c r="G899" s="3">
        <v>45613</v>
      </c>
      <c r="H899" s="2">
        <v>20</v>
      </c>
      <c r="I899" s="1">
        <v>1803.6</v>
      </c>
      <c r="J899" s="1">
        <v>90.18</v>
      </c>
      <c r="K899" t="s">
        <v>39</v>
      </c>
      <c r="L899" t="s">
        <v>26</v>
      </c>
      <c r="M899" s="2">
        <v>8</v>
      </c>
      <c r="N899" t="s">
        <v>21</v>
      </c>
    </row>
    <row r="900" spans="1:14" x14ac:dyDescent="0.3">
      <c r="A900" t="s">
        <v>936</v>
      </c>
      <c r="B900" s="2">
        <v>56</v>
      </c>
      <c r="C900" t="s">
        <v>16</v>
      </c>
      <c r="D900" t="s">
        <v>61</v>
      </c>
      <c r="E900" t="s">
        <v>29</v>
      </c>
      <c r="F900" s="3">
        <v>45924</v>
      </c>
      <c r="G900" s="3">
        <v>46036</v>
      </c>
      <c r="H900" s="2">
        <v>15</v>
      </c>
      <c r="I900" s="1">
        <v>1801.05</v>
      </c>
      <c r="J900" s="1">
        <v>120.07</v>
      </c>
      <c r="K900" t="s">
        <v>45</v>
      </c>
      <c r="L900" t="s">
        <v>30</v>
      </c>
      <c r="M900" s="2">
        <v>1</v>
      </c>
      <c r="N900" t="s">
        <v>21</v>
      </c>
    </row>
    <row r="901" spans="1:14" x14ac:dyDescent="0.3">
      <c r="A901" t="s">
        <v>937</v>
      </c>
      <c r="B901" s="2">
        <v>18</v>
      </c>
      <c r="C901" t="s">
        <v>23</v>
      </c>
      <c r="D901" t="s">
        <v>42</v>
      </c>
      <c r="E901" t="s">
        <v>29</v>
      </c>
      <c r="F901" s="3">
        <v>45581</v>
      </c>
      <c r="G901" s="3">
        <v>45708</v>
      </c>
      <c r="H901" s="2">
        <v>13</v>
      </c>
      <c r="I901" s="1">
        <v>1799.72</v>
      </c>
      <c r="J901" s="1">
        <v>138.44</v>
      </c>
      <c r="K901" t="s">
        <v>25</v>
      </c>
      <c r="L901" t="s">
        <v>26</v>
      </c>
      <c r="M901" s="2">
        <v>1</v>
      </c>
      <c r="N901" t="s">
        <v>21</v>
      </c>
    </row>
    <row r="902" spans="1:14" x14ac:dyDescent="0.3">
      <c r="A902" t="s">
        <v>938</v>
      </c>
      <c r="B902" s="2">
        <v>43</v>
      </c>
      <c r="C902" t="s">
        <v>23</v>
      </c>
      <c r="D902" t="s">
        <v>28</v>
      </c>
      <c r="E902" t="s">
        <v>29</v>
      </c>
      <c r="F902" s="3">
        <v>45755</v>
      </c>
      <c r="G902" s="3">
        <v>45938</v>
      </c>
      <c r="H902" s="2">
        <v>17</v>
      </c>
      <c r="I902" s="1">
        <v>1798.43</v>
      </c>
      <c r="J902" s="1">
        <v>105.79</v>
      </c>
      <c r="K902" t="s">
        <v>45</v>
      </c>
      <c r="L902" t="s">
        <v>20</v>
      </c>
      <c r="M902" s="2">
        <v>6</v>
      </c>
      <c r="N902" t="s">
        <v>21</v>
      </c>
    </row>
    <row r="903" spans="1:14" x14ac:dyDescent="0.3">
      <c r="A903" t="s">
        <v>939</v>
      </c>
      <c r="B903" s="2">
        <v>30</v>
      </c>
      <c r="C903" t="s">
        <v>16</v>
      </c>
      <c r="D903" t="s">
        <v>50</v>
      </c>
      <c r="E903" t="s">
        <v>18</v>
      </c>
      <c r="F903" s="3">
        <v>45313</v>
      </c>
      <c r="G903" s="3">
        <v>45569</v>
      </c>
      <c r="H903" s="2">
        <v>10</v>
      </c>
      <c r="I903" s="1">
        <v>1794.5</v>
      </c>
      <c r="J903" s="1">
        <v>179.45</v>
      </c>
      <c r="K903" t="s">
        <v>25</v>
      </c>
      <c r="L903" t="s">
        <v>30</v>
      </c>
      <c r="M903" s="2">
        <v>5</v>
      </c>
      <c r="N903" t="s">
        <v>21</v>
      </c>
    </row>
    <row r="904" spans="1:14" x14ac:dyDescent="0.3">
      <c r="A904" t="s">
        <v>940</v>
      </c>
      <c r="B904" s="2">
        <v>21</v>
      </c>
      <c r="C904" t="s">
        <v>23</v>
      </c>
      <c r="D904" t="s">
        <v>24</v>
      </c>
      <c r="E904" t="s">
        <v>18</v>
      </c>
      <c r="F904" s="3">
        <v>45540</v>
      </c>
      <c r="G904" s="3">
        <v>45643</v>
      </c>
      <c r="H904" s="2">
        <v>10</v>
      </c>
      <c r="I904" s="1">
        <v>1794.4</v>
      </c>
      <c r="J904" s="1">
        <v>179.44</v>
      </c>
      <c r="K904" t="s">
        <v>35</v>
      </c>
      <c r="L904" t="s">
        <v>26</v>
      </c>
      <c r="M904" s="2">
        <v>8</v>
      </c>
      <c r="N904" t="s">
        <v>21</v>
      </c>
    </row>
    <row r="905" spans="1:14" x14ac:dyDescent="0.3">
      <c r="A905" t="s">
        <v>941</v>
      </c>
      <c r="B905" s="2">
        <v>53</v>
      </c>
      <c r="C905" t="s">
        <v>16</v>
      </c>
      <c r="D905" t="s">
        <v>44</v>
      </c>
      <c r="E905" t="s">
        <v>38</v>
      </c>
      <c r="F905" s="3">
        <v>45683</v>
      </c>
      <c r="G905" s="3">
        <v>45966</v>
      </c>
      <c r="H905" s="2">
        <v>8</v>
      </c>
      <c r="I905" s="1">
        <v>1794.24</v>
      </c>
      <c r="J905" s="1">
        <v>224.28</v>
      </c>
      <c r="K905" t="s">
        <v>39</v>
      </c>
      <c r="L905" t="s">
        <v>20</v>
      </c>
      <c r="M905" s="2">
        <v>8</v>
      </c>
      <c r="N905" t="s">
        <v>21</v>
      </c>
    </row>
    <row r="906" spans="1:14" x14ac:dyDescent="0.3">
      <c r="A906" t="s">
        <v>942</v>
      </c>
      <c r="B906" s="2">
        <v>65</v>
      </c>
      <c r="C906" t="s">
        <v>23</v>
      </c>
      <c r="D906" t="s">
        <v>28</v>
      </c>
      <c r="E906" t="s">
        <v>38</v>
      </c>
      <c r="F906" s="3">
        <v>45826</v>
      </c>
      <c r="G906" s="3">
        <v>45928</v>
      </c>
      <c r="H906" s="2">
        <v>12</v>
      </c>
      <c r="I906" s="1">
        <v>1794</v>
      </c>
      <c r="J906" s="1">
        <v>149.5</v>
      </c>
      <c r="K906" t="s">
        <v>35</v>
      </c>
      <c r="L906" t="s">
        <v>26</v>
      </c>
      <c r="M906" s="2">
        <v>2</v>
      </c>
      <c r="N906" t="s">
        <v>21</v>
      </c>
    </row>
    <row r="907" spans="1:14" x14ac:dyDescent="0.3">
      <c r="A907" t="s">
        <v>943</v>
      </c>
      <c r="B907" s="2">
        <v>27</v>
      </c>
      <c r="C907" t="s">
        <v>23</v>
      </c>
      <c r="D907" t="s">
        <v>24</v>
      </c>
      <c r="E907" t="s">
        <v>38</v>
      </c>
      <c r="F907" s="3">
        <v>45773</v>
      </c>
      <c r="G907" s="3">
        <v>45782</v>
      </c>
      <c r="H907" s="2">
        <v>11</v>
      </c>
      <c r="I907" s="1">
        <v>1793.77</v>
      </c>
      <c r="J907" s="1">
        <v>163.07</v>
      </c>
      <c r="K907" t="s">
        <v>35</v>
      </c>
      <c r="L907" t="s">
        <v>20</v>
      </c>
      <c r="M907" s="2">
        <v>5</v>
      </c>
      <c r="N907" t="s">
        <v>31</v>
      </c>
    </row>
    <row r="908" spans="1:14" x14ac:dyDescent="0.3">
      <c r="A908" t="s">
        <v>944</v>
      </c>
      <c r="B908" s="2">
        <v>39</v>
      </c>
      <c r="C908" t="s">
        <v>23</v>
      </c>
      <c r="D908" t="s">
        <v>17</v>
      </c>
      <c r="E908" t="s">
        <v>38</v>
      </c>
      <c r="F908" s="3">
        <v>45330</v>
      </c>
      <c r="G908" s="3">
        <v>45334</v>
      </c>
      <c r="H908" s="2">
        <v>10</v>
      </c>
      <c r="I908" s="1">
        <v>1790.3</v>
      </c>
      <c r="J908" s="1">
        <v>179.03</v>
      </c>
      <c r="K908" t="s">
        <v>25</v>
      </c>
      <c r="L908" t="s">
        <v>20</v>
      </c>
      <c r="M908" s="2">
        <v>8</v>
      </c>
      <c r="N908" t="s">
        <v>31</v>
      </c>
    </row>
    <row r="909" spans="1:14" x14ac:dyDescent="0.3">
      <c r="A909" t="s">
        <v>945</v>
      </c>
      <c r="B909" s="2">
        <v>36</v>
      </c>
      <c r="C909" t="s">
        <v>23</v>
      </c>
      <c r="D909" t="s">
        <v>24</v>
      </c>
      <c r="E909" t="s">
        <v>34</v>
      </c>
      <c r="F909" s="3">
        <v>45407</v>
      </c>
      <c r="G909" s="3">
        <v>45658</v>
      </c>
      <c r="H909" s="2">
        <v>6</v>
      </c>
      <c r="I909" s="1">
        <v>1784.52</v>
      </c>
      <c r="J909" s="1">
        <v>297.42</v>
      </c>
      <c r="K909" t="s">
        <v>39</v>
      </c>
      <c r="L909" t="s">
        <v>26</v>
      </c>
      <c r="M909" s="2">
        <v>2</v>
      </c>
      <c r="N909" t="s">
        <v>21</v>
      </c>
    </row>
    <row r="910" spans="1:14" x14ac:dyDescent="0.3">
      <c r="A910" t="s">
        <v>946</v>
      </c>
      <c r="B910" s="2">
        <v>52</v>
      </c>
      <c r="C910" t="s">
        <v>23</v>
      </c>
      <c r="D910" t="s">
        <v>61</v>
      </c>
      <c r="E910" t="s">
        <v>29</v>
      </c>
      <c r="F910" s="3">
        <v>45433</v>
      </c>
      <c r="G910" s="3">
        <v>45558</v>
      </c>
      <c r="H910" s="2">
        <v>13</v>
      </c>
      <c r="I910" s="1">
        <v>1783.86</v>
      </c>
      <c r="J910" s="1">
        <v>137.22</v>
      </c>
      <c r="K910" t="s">
        <v>35</v>
      </c>
      <c r="L910" t="s">
        <v>30</v>
      </c>
      <c r="M910" s="2">
        <v>10</v>
      </c>
      <c r="N910" t="s">
        <v>21</v>
      </c>
    </row>
    <row r="911" spans="1:14" x14ac:dyDescent="0.3">
      <c r="A911" t="s">
        <v>947</v>
      </c>
      <c r="B911" s="2">
        <v>49</v>
      </c>
      <c r="C911" t="s">
        <v>23</v>
      </c>
      <c r="D911" t="s">
        <v>50</v>
      </c>
      <c r="E911" t="s">
        <v>38</v>
      </c>
      <c r="F911" s="3">
        <v>45437</v>
      </c>
      <c r="G911" s="3">
        <v>45725</v>
      </c>
      <c r="H911" s="2">
        <v>7</v>
      </c>
      <c r="I911" s="1">
        <v>1779.96</v>
      </c>
      <c r="J911" s="1">
        <v>254.28</v>
      </c>
      <c r="K911" t="s">
        <v>39</v>
      </c>
      <c r="L911" t="s">
        <v>30</v>
      </c>
      <c r="M911" s="2">
        <v>1</v>
      </c>
      <c r="N911" t="s">
        <v>21</v>
      </c>
    </row>
    <row r="912" spans="1:14" x14ac:dyDescent="0.3">
      <c r="A912" t="s">
        <v>948</v>
      </c>
      <c r="B912" s="2">
        <v>45</v>
      </c>
      <c r="C912" t="s">
        <v>23</v>
      </c>
      <c r="D912" t="s">
        <v>50</v>
      </c>
      <c r="E912" t="s">
        <v>34</v>
      </c>
      <c r="F912" s="3">
        <v>45451</v>
      </c>
      <c r="G912" s="3">
        <v>45523</v>
      </c>
      <c r="H912" s="2">
        <v>20</v>
      </c>
      <c r="I912" s="1">
        <v>1778.6</v>
      </c>
      <c r="J912" s="1">
        <v>88.93</v>
      </c>
      <c r="K912" t="s">
        <v>35</v>
      </c>
      <c r="L912" t="s">
        <v>20</v>
      </c>
      <c r="M912" s="2">
        <v>1</v>
      </c>
      <c r="N912" t="s">
        <v>21</v>
      </c>
    </row>
    <row r="913" spans="1:14" x14ac:dyDescent="0.3">
      <c r="A913" t="s">
        <v>949</v>
      </c>
      <c r="B913" s="2">
        <v>29</v>
      </c>
      <c r="C913" t="s">
        <v>16</v>
      </c>
      <c r="D913" t="s">
        <v>42</v>
      </c>
      <c r="E913" t="s">
        <v>18</v>
      </c>
      <c r="F913" s="3">
        <v>45936</v>
      </c>
      <c r="G913" s="3">
        <v>46011</v>
      </c>
      <c r="H913" s="2">
        <v>11</v>
      </c>
      <c r="I913" s="1">
        <v>1777.82</v>
      </c>
      <c r="J913" s="1">
        <v>161.62</v>
      </c>
      <c r="K913" t="s">
        <v>19</v>
      </c>
      <c r="L913" t="s">
        <v>20</v>
      </c>
      <c r="M913" s="2">
        <v>6</v>
      </c>
      <c r="N913" t="s">
        <v>21</v>
      </c>
    </row>
    <row r="914" spans="1:14" x14ac:dyDescent="0.3">
      <c r="A914" t="s">
        <v>950</v>
      </c>
      <c r="B914" s="2">
        <v>38</v>
      </c>
      <c r="C914" t="s">
        <v>23</v>
      </c>
      <c r="D914" t="s">
        <v>61</v>
      </c>
      <c r="E914" t="s">
        <v>18</v>
      </c>
      <c r="F914" s="3">
        <v>45389</v>
      </c>
      <c r="G914" s="3">
        <v>45589</v>
      </c>
      <c r="H914" s="2">
        <v>7</v>
      </c>
      <c r="I914" s="1">
        <v>1769.67</v>
      </c>
      <c r="J914" s="1">
        <v>252.81</v>
      </c>
      <c r="K914" t="s">
        <v>45</v>
      </c>
      <c r="L914" t="s">
        <v>26</v>
      </c>
      <c r="M914" s="2">
        <v>8</v>
      </c>
      <c r="N914" t="s">
        <v>21</v>
      </c>
    </row>
    <row r="915" spans="1:14" x14ac:dyDescent="0.3">
      <c r="A915" t="s">
        <v>951</v>
      </c>
      <c r="B915" s="2">
        <v>33</v>
      </c>
      <c r="C915" t="s">
        <v>16</v>
      </c>
      <c r="D915" t="s">
        <v>42</v>
      </c>
      <c r="E915" t="s">
        <v>38</v>
      </c>
      <c r="F915" s="3">
        <v>45702</v>
      </c>
      <c r="G915" s="3">
        <v>45750</v>
      </c>
      <c r="H915" s="2">
        <v>6</v>
      </c>
      <c r="I915" s="1">
        <v>1769.22</v>
      </c>
      <c r="J915" s="1">
        <v>294.87</v>
      </c>
      <c r="K915" t="s">
        <v>25</v>
      </c>
      <c r="L915" t="s">
        <v>26</v>
      </c>
      <c r="M915" s="2">
        <v>5</v>
      </c>
      <c r="N915" t="s">
        <v>21</v>
      </c>
    </row>
    <row r="916" spans="1:14" x14ac:dyDescent="0.3">
      <c r="A916" t="s">
        <v>952</v>
      </c>
      <c r="B916" s="2">
        <v>19</v>
      </c>
      <c r="C916" t="s">
        <v>23</v>
      </c>
      <c r="D916" t="s">
        <v>44</v>
      </c>
      <c r="E916" t="s">
        <v>38</v>
      </c>
      <c r="F916" s="3">
        <v>45687</v>
      </c>
      <c r="G916" s="3">
        <v>45923</v>
      </c>
      <c r="H916" s="2">
        <v>14</v>
      </c>
      <c r="I916" s="1">
        <v>1767.22</v>
      </c>
      <c r="J916" s="1">
        <v>126.23</v>
      </c>
      <c r="K916" t="s">
        <v>39</v>
      </c>
      <c r="L916" t="s">
        <v>30</v>
      </c>
      <c r="M916" s="2">
        <v>9</v>
      </c>
      <c r="N916" t="s">
        <v>31</v>
      </c>
    </row>
    <row r="917" spans="1:14" x14ac:dyDescent="0.3">
      <c r="A917" t="s">
        <v>953</v>
      </c>
      <c r="B917" s="2">
        <v>31</v>
      </c>
      <c r="C917" t="s">
        <v>23</v>
      </c>
      <c r="D917" t="s">
        <v>44</v>
      </c>
      <c r="E917" t="s">
        <v>38</v>
      </c>
      <c r="F917" s="3">
        <v>45609</v>
      </c>
      <c r="G917" s="3">
        <v>45615</v>
      </c>
      <c r="H917" s="2">
        <v>7</v>
      </c>
      <c r="I917" s="1">
        <v>1765.96</v>
      </c>
      <c r="J917" s="1">
        <v>252.28</v>
      </c>
      <c r="K917" t="s">
        <v>45</v>
      </c>
      <c r="L917" t="s">
        <v>26</v>
      </c>
      <c r="M917" s="2">
        <v>7</v>
      </c>
      <c r="N917" t="s">
        <v>21</v>
      </c>
    </row>
    <row r="918" spans="1:14" x14ac:dyDescent="0.3">
      <c r="A918" t="s">
        <v>954</v>
      </c>
      <c r="B918" s="2">
        <v>60</v>
      </c>
      <c r="C918" t="s">
        <v>16</v>
      </c>
      <c r="D918" t="s">
        <v>61</v>
      </c>
      <c r="E918" t="s">
        <v>38</v>
      </c>
      <c r="F918" s="3">
        <v>45514</v>
      </c>
      <c r="G918" s="3">
        <v>45566</v>
      </c>
      <c r="H918" s="2">
        <v>18</v>
      </c>
      <c r="I918" s="1">
        <v>1761.3</v>
      </c>
      <c r="J918" s="1">
        <v>97.85</v>
      </c>
      <c r="K918" t="s">
        <v>35</v>
      </c>
      <c r="L918" t="s">
        <v>26</v>
      </c>
      <c r="M918" s="2">
        <v>6</v>
      </c>
      <c r="N918" t="s">
        <v>21</v>
      </c>
    </row>
    <row r="919" spans="1:14" x14ac:dyDescent="0.3">
      <c r="A919" t="s">
        <v>955</v>
      </c>
      <c r="B919" s="2">
        <v>32</v>
      </c>
      <c r="C919" t="s">
        <v>16</v>
      </c>
      <c r="D919" t="s">
        <v>61</v>
      </c>
      <c r="E919" t="s">
        <v>34</v>
      </c>
      <c r="F919" s="3">
        <v>45372</v>
      </c>
      <c r="G919" s="3">
        <v>45437</v>
      </c>
      <c r="H919" s="2">
        <v>17</v>
      </c>
      <c r="I919" s="1">
        <v>1759.5</v>
      </c>
      <c r="J919" s="1">
        <v>103.5</v>
      </c>
      <c r="K919" t="s">
        <v>39</v>
      </c>
      <c r="L919" t="s">
        <v>30</v>
      </c>
      <c r="M919" s="2">
        <v>5</v>
      </c>
      <c r="N919" t="s">
        <v>31</v>
      </c>
    </row>
    <row r="920" spans="1:14" x14ac:dyDescent="0.3">
      <c r="A920" t="s">
        <v>956</v>
      </c>
      <c r="B920" s="2">
        <v>56</v>
      </c>
      <c r="C920" t="s">
        <v>23</v>
      </c>
      <c r="D920" t="s">
        <v>17</v>
      </c>
      <c r="E920" t="s">
        <v>38</v>
      </c>
      <c r="F920" s="3">
        <v>45454</v>
      </c>
      <c r="G920" s="3">
        <v>45609</v>
      </c>
      <c r="H920" s="2">
        <v>18</v>
      </c>
      <c r="I920" s="1">
        <v>1759.5</v>
      </c>
      <c r="J920" s="1">
        <v>97.75</v>
      </c>
      <c r="K920" t="s">
        <v>25</v>
      </c>
      <c r="L920" t="s">
        <v>26</v>
      </c>
      <c r="M920" s="2">
        <v>1</v>
      </c>
      <c r="N920" t="s">
        <v>21</v>
      </c>
    </row>
    <row r="921" spans="1:14" x14ac:dyDescent="0.3">
      <c r="A921" t="s">
        <v>957</v>
      </c>
      <c r="B921" s="2">
        <v>31</v>
      </c>
      <c r="C921" t="s">
        <v>23</v>
      </c>
      <c r="D921" t="s">
        <v>50</v>
      </c>
      <c r="E921" t="s">
        <v>18</v>
      </c>
      <c r="F921" s="3">
        <v>45760</v>
      </c>
      <c r="G921" s="3">
        <v>45855</v>
      </c>
      <c r="H921" s="2">
        <v>8</v>
      </c>
      <c r="I921" s="1">
        <v>1755.76</v>
      </c>
      <c r="J921" s="1">
        <v>219.47</v>
      </c>
      <c r="K921" t="s">
        <v>39</v>
      </c>
      <c r="L921" t="s">
        <v>26</v>
      </c>
      <c r="M921" s="2">
        <v>4</v>
      </c>
      <c r="N921" t="s">
        <v>31</v>
      </c>
    </row>
    <row r="922" spans="1:14" x14ac:dyDescent="0.3">
      <c r="A922" t="s">
        <v>958</v>
      </c>
      <c r="B922" s="2">
        <v>56</v>
      </c>
      <c r="C922" t="s">
        <v>16</v>
      </c>
      <c r="D922" t="s">
        <v>42</v>
      </c>
      <c r="E922" t="s">
        <v>18</v>
      </c>
      <c r="F922" s="3">
        <v>45911</v>
      </c>
      <c r="G922" s="3">
        <v>46185</v>
      </c>
      <c r="H922" s="2">
        <v>7</v>
      </c>
      <c r="I922" s="1">
        <v>1755.32</v>
      </c>
      <c r="J922" s="1">
        <v>250.76</v>
      </c>
      <c r="K922" t="s">
        <v>25</v>
      </c>
      <c r="L922" t="s">
        <v>20</v>
      </c>
      <c r="M922" s="2">
        <v>9</v>
      </c>
      <c r="N922" t="s">
        <v>21</v>
      </c>
    </row>
    <row r="923" spans="1:14" x14ac:dyDescent="0.3">
      <c r="A923" t="s">
        <v>959</v>
      </c>
      <c r="B923" s="2">
        <v>58</v>
      </c>
      <c r="C923" t="s">
        <v>16</v>
      </c>
      <c r="D923" t="s">
        <v>61</v>
      </c>
      <c r="E923" t="s">
        <v>34</v>
      </c>
      <c r="F923" s="3">
        <v>45519</v>
      </c>
      <c r="G923" s="3">
        <v>45585</v>
      </c>
      <c r="H923" s="2">
        <v>7</v>
      </c>
      <c r="I923" s="1">
        <v>1754.41</v>
      </c>
      <c r="J923" s="1">
        <v>250.63</v>
      </c>
      <c r="K923" t="s">
        <v>39</v>
      </c>
      <c r="L923" t="s">
        <v>30</v>
      </c>
      <c r="M923" s="2">
        <v>2</v>
      </c>
      <c r="N923" t="s">
        <v>21</v>
      </c>
    </row>
    <row r="924" spans="1:14" x14ac:dyDescent="0.3">
      <c r="A924" t="s">
        <v>960</v>
      </c>
      <c r="B924" s="2">
        <v>43</v>
      </c>
      <c r="C924" t="s">
        <v>23</v>
      </c>
      <c r="D924" t="s">
        <v>28</v>
      </c>
      <c r="E924" t="s">
        <v>29</v>
      </c>
      <c r="F924" s="3">
        <v>45522</v>
      </c>
      <c r="G924" s="3">
        <v>45548</v>
      </c>
      <c r="H924" s="2">
        <v>25</v>
      </c>
      <c r="I924" s="1">
        <v>1753.25</v>
      </c>
      <c r="J924" s="1">
        <v>70.13</v>
      </c>
      <c r="K924" t="s">
        <v>39</v>
      </c>
      <c r="L924" t="s">
        <v>20</v>
      </c>
      <c r="M924" s="2">
        <v>7</v>
      </c>
      <c r="N924" t="s">
        <v>21</v>
      </c>
    </row>
    <row r="925" spans="1:14" x14ac:dyDescent="0.3">
      <c r="A925" t="s">
        <v>961</v>
      </c>
      <c r="B925" s="2">
        <v>51</v>
      </c>
      <c r="C925" t="s">
        <v>16</v>
      </c>
      <c r="D925" t="s">
        <v>50</v>
      </c>
      <c r="E925" t="s">
        <v>18</v>
      </c>
      <c r="F925" s="3">
        <v>45500</v>
      </c>
      <c r="G925" s="3">
        <v>45785</v>
      </c>
      <c r="H925" s="2">
        <v>21</v>
      </c>
      <c r="I925" s="1">
        <v>1751.19</v>
      </c>
      <c r="J925" s="1">
        <v>83.39</v>
      </c>
      <c r="K925" t="s">
        <v>25</v>
      </c>
      <c r="L925" t="s">
        <v>30</v>
      </c>
      <c r="M925" s="2">
        <v>9</v>
      </c>
      <c r="N925" t="s">
        <v>21</v>
      </c>
    </row>
    <row r="926" spans="1:14" x14ac:dyDescent="0.3">
      <c r="A926" t="s">
        <v>962</v>
      </c>
      <c r="B926" s="2">
        <v>37</v>
      </c>
      <c r="C926" t="s">
        <v>23</v>
      </c>
      <c r="D926" t="s">
        <v>17</v>
      </c>
      <c r="E926" t="s">
        <v>38</v>
      </c>
      <c r="F926" s="3">
        <v>45482</v>
      </c>
      <c r="G926" s="3">
        <v>45677</v>
      </c>
      <c r="H926" s="2">
        <v>10</v>
      </c>
      <c r="I926" s="1">
        <v>1750.8</v>
      </c>
      <c r="J926" s="1">
        <v>175.08</v>
      </c>
      <c r="K926" t="s">
        <v>25</v>
      </c>
      <c r="L926" t="s">
        <v>30</v>
      </c>
      <c r="M926" s="2">
        <v>1</v>
      </c>
      <c r="N926" t="s">
        <v>31</v>
      </c>
    </row>
    <row r="927" spans="1:14" x14ac:dyDescent="0.3">
      <c r="A927" t="s">
        <v>963</v>
      </c>
      <c r="B927" s="2">
        <v>59</v>
      </c>
      <c r="C927" t="s">
        <v>16</v>
      </c>
      <c r="D927" t="s">
        <v>44</v>
      </c>
      <c r="E927" t="s">
        <v>34</v>
      </c>
      <c r="F927" s="3">
        <v>45824</v>
      </c>
      <c r="G927" s="3">
        <v>45836</v>
      </c>
      <c r="H927" s="2">
        <v>16</v>
      </c>
      <c r="I927" s="1">
        <v>1747.2</v>
      </c>
      <c r="J927" s="1">
        <v>109.2</v>
      </c>
      <c r="K927" t="s">
        <v>45</v>
      </c>
      <c r="L927" t="s">
        <v>26</v>
      </c>
      <c r="M927" s="2">
        <v>7</v>
      </c>
      <c r="N927" t="s">
        <v>31</v>
      </c>
    </row>
    <row r="928" spans="1:14" x14ac:dyDescent="0.3">
      <c r="A928" t="s">
        <v>964</v>
      </c>
      <c r="B928" s="2">
        <v>50</v>
      </c>
      <c r="C928" t="s">
        <v>23</v>
      </c>
      <c r="D928" t="s">
        <v>61</v>
      </c>
      <c r="E928" t="s">
        <v>34</v>
      </c>
      <c r="F928" s="3">
        <v>45864</v>
      </c>
      <c r="G928" s="3">
        <v>45901</v>
      </c>
      <c r="H928" s="2">
        <v>17</v>
      </c>
      <c r="I928" s="1">
        <v>1740.63</v>
      </c>
      <c r="J928" s="1">
        <v>102.39</v>
      </c>
      <c r="K928" t="s">
        <v>35</v>
      </c>
      <c r="L928" t="s">
        <v>26</v>
      </c>
      <c r="M928" s="2">
        <v>10</v>
      </c>
      <c r="N928" t="s">
        <v>21</v>
      </c>
    </row>
    <row r="929" spans="1:14" x14ac:dyDescent="0.3">
      <c r="A929" t="s">
        <v>965</v>
      </c>
      <c r="B929" s="2">
        <v>36</v>
      </c>
      <c r="C929" t="s">
        <v>23</v>
      </c>
      <c r="D929" t="s">
        <v>61</v>
      </c>
      <c r="E929" t="s">
        <v>29</v>
      </c>
      <c r="F929" s="3">
        <v>45782</v>
      </c>
      <c r="G929" s="3">
        <v>45942</v>
      </c>
      <c r="H929" s="2">
        <v>6</v>
      </c>
      <c r="I929" s="1">
        <v>1740.48</v>
      </c>
      <c r="J929" s="1">
        <v>290.08</v>
      </c>
      <c r="K929" t="s">
        <v>45</v>
      </c>
      <c r="L929" t="s">
        <v>26</v>
      </c>
      <c r="M929" s="2">
        <v>5</v>
      </c>
      <c r="N929" t="s">
        <v>21</v>
      </c>
    </row>
    <row r="930" spans="1:14" x14ac:dyDescent="0.3">
      <c r="A930" t="s">
        <v>966</v>
      </c>
      <c r="B930" s="2">
        <v>65</v>
      </c>
      <c r="C930" t="s">
        <v>16</v>
      </c>
      <c r="D930" t="s">
        <v>42</v>
      </c>
      <c r="E930" t="s">
        <v>34</v>
      </c>
      <c r="F930" s="3">
        <v>45878</v>
      </c>
      <c r="G930" s="3">
        <v>45880</v>
      </c>
      <c r="H930" s="2">
        <v>15</v>
      </c>
      <c r="I930" s="1">
        <v>1723.65</v>
      </c>
      <c r="J930" s="1">
        <v>114.91</v>
      </c>
      <c r="K930" t="s">
        <v>45</v>
      </c>
      <c r="L930" t="s">
        <v>20</v>
      </c>
      <c r="M930" s="2">
        <v>10</v>
      </c>
      <c r="N930" t="s">
        <v>21</v>
      </c>
    </row>
    <row r="931" spans="1:14" x14ac:dyDescent="0.3">
      <c r="A931" t="s">
        <v>967</v>
      </c>
      <c r="B931" s="2">
        <v>49</v>
      </c>
      <c r="C931" t="s">
        <v>16</v>
      </c>
      <c r="D931" t="s">
        <v>50</v>
      </c>
      <c r="E931" t="s">
        <v>29</v>
      </c>
      <c r="F931" s="3">
        <v>45663</v>
      </c>
      <c r="G931" s="3">
        <v>45821</v>
      </c>
      <c r="H931" s="2">
        <v>6</v>
      </c>
      <c r="I931" s="1">
        <v>1717.98</v>
      </c>
      <c r="J931" s="1">
        <v>286.33</v>
      </c>
      <c r="K931" t="s">
        <v>25</v>
      </c>
      <c r="L931" t="s">
        <v>30</v>
      </c>
      <c r="M931" s="2">
        <v>5</v>
      </c>
      <c r="N931" t="s">
        <v>21</v>
      </c>
    </row>
    <row r="932" spans="1:14" x14ac:dyDescent="0.3">
      <c r="A932" t="s">
        <v>968</v>
      </c>
      <c r="B932" s="2">
        <v>60</v>
      </c>
      <c r="C932" t="s">
        <v>23</v>
      </c>
      <c r="D932" t="s">
        <v>44</v>
      </c>
      <c r="E932" t="s">
        <v>29</v>
      </c>
      <c r="F932" s="3">
        <v>45363</v>
      </c>
      <c r="G932" s="3">
        <v>45462</v>
      </c>
      <c r="H932" s="2">
        <v>11</v>
      </c>
      <c r="I932" s="1">
        <v>1716.44</v>
      </c>
      <c r="J932" s="1">
        <v>156.04</v>
      </c>
      <c r="K932" t="s">
        <v>19</v>
      </c>
      <c r="L932" t="s">
        <v>20</v>
      </c>
      <c r="M932" s="2">
        <v>6</v>
      </c>
      <c r="N932" t="s">
        <v>21</v>
      </c>
    </row>
    <row r="933" spans="1:14" x14ac:dyDescent="0.3">
      <c r="A933" t="s">
        <v>969</v>
      </c>
      <c r="B933" s="2">
        <v>38</v>
      </c>
      <c r="C933" t="s">
        <v>23</v>
      </c>
      <c r="D933" t="s">
        <v>61</v>
      </c>
      <c r="E933" t="s">
        <v>29</v>
      </c>
      <c r="F933" s="3">
        <v>45783</v>
      </c>
      <c r="G933" s="3">
        <v>45982</v>
      </c>
      <c r="H933" s="2">
        <v>10</v>
      </c>
      <c r="I933" s="1">
        <v>1715.3</v>
      </c>
      <c r="J933" s="1">
        <v>171.53</v>
      </c>
      <c r="K933" t="s">
        <v>19</v>
      </c>
      <c r="L933" t="s">
        <v>26</v>
      </c>
      <c r="M933" s="2">
        <v>6</v>
      </c>
      <c r="N933" t="s">
        <v>21</v>
      </c>
    </row>
    <row r="934" spans="1:14" x14ac:dyDescent="0.3">
      <c r="A934" t="s">
        <v>970</v>
      </c>
      <c r="B934" s="2">
        <v>26</v>
      </c>
      <c r="C934" t="s">
        <v>16</v>
      </c>
      <c r="D934" t="s">
        <v>17</v>
      </c>
      <c r="E934" t="s">
        <v>34</v>
      </c>
      <c r="F934" s="3">
        <v>45933</v>
      </c>
      <c r="G934" s="3">
        <v>46060</v>
      </c>
      <c r="H934" s="2">
        <v>8</v>
      </c>
      <c r="I934" s="1">
        <v>1713.52</v>
      </c>
      <c r="J934" s="1">
        <v>214.19</v>
      </c>
      <c r="K934" t="s">
        <v>25</v>
      </c>
      <c r="L934" t="s">
        <v>30</v>
      </c>
      <c r="M934" s="2">
        <v>1</v>
      </c>
      <c r="N934" t="s">
        <v>21</v>
      </c>
    </row>
    <row r="935" spans="1:14" x14ac:dyDescent="0.3">
      <c r="A935" t="s">
        <v>971</v>
      </c>
      <c r="B935" s="2">
        <v>50</v>
      </c>
      <c r="C935" t="s">
        <v>16</v>
      </c>
      <c r="D935" t="s">
        <v>28</v>
      </c>
      <c r="E935" t="s">
        <v>18</v>
      </c>
      <c r="F935" s="3">
        <v>45518</v>
      </c>
      <c r="G935" s="3">
        <v>45633</v>
      </c>
      <c r="H935" s="2">
        <v>22</v>
      </c>
      <c r="I935" s="1">
        <v>1713.36</v>
      </c>
      <c r="J935" s="1">
        <v>77.88</v>
      </c>
      <c r="K935" t="s">
        <v>35</v>
      </c>
      <c r="L935" t="s">
        <v>30</v>
      </c>
      <c r="M935" s="2">
        <v>3</v>
      </c>
      <c r="N935" t="s">
        <v>21</v>
      </c>
    </row>
    <row r="936" spans="1:14" x14ac:dyDescent="0.3">
      <c r="A936" t="s">
        <v>972</v>
      </c>
      <c r="B936" s="2">
        <v>24</v>
      </c>
      <c r="C936" t="s">
        <v>16</v>
      </c>
      <c r="D936" t="s">
        <v>24</v>
      </c>
      <c r="E936" t="s">
        <v>38</v>
      </c>
      <c r="F936" s="3">
        <v>45563</v>
      </c>
      <c r="G936" s="3">
        <v>45670</v>
      </c>
      <c r="H936" s="2">
        <v>8</v>
      </c>
      <c r="I936" s="1">
        <v>1712.72</v>
      </c>
      <c r="J936" s="1">
        <v>214.09</v>
      </c>
      <c r="K936" t="s">
        <v>35</v>
      </c>
      <c r="L936" t="s">
        <v>20</v>
      </c>
      <c r="M936" s="2">
        <v>7</v>
      </c>
      <c r="N936" t="s">
        <v>21</v>
      </c>
    </row>
    <row r="937" spans="1:14" x14ac:dyDescent="0.3">
      <c r="A937" t="s">
        <v>973</v>
      </c>
      <c r="B937" s="2">
        <v>38</v>
      </c>
      <c r="C937" t="s">
        <v>16</v>
      </c>
      <c r="D937" t="s">
        <v>44</v>
      </c>
      <c r="E937" t="s">
        <v>29</v>
      </c>
      <c r="F937" s="3">
        <v>45883</v>
      </c>
      <c r="G937" s="3">
        <v>46052</v>
      </c>
      <c r="H937" s="2">
        <v>23</v>
      </c>
      <c r="I937" s="1">
        <v>1711.89</v>
      </c>
      <c r="J937" s="1">
        <v>74.430000000000007</v>
      </c>
      <c r="K937" t="s">
        <v>25</v>
      </c>
      <c r="L937" t="s">
        <v>26</v>
      </c>
      <c r="M937" s="2">
        <v>10</v>
      </c>
      <c r="N937" t="s">
        <v>31</v>
      </c>
    </row>
    <row r="938" spans="1:14" x14ac:dyDescent="0.3">
      <c r="A938" t="s">
        <v>974</v>
      </c>
      <c r="B938" s="2">
        <v>63</v>
      </c>
      <c r="C938" t="s">
        <v>16</v>
      </c>
      <c r="D938" t="s">
        <v>24</v>
      </c>
      <c r="E938" t="s">
        <v>18</v>
      </c>
      <c r="F938" s="3">
        <v>45795</v>
      </c>
      <c r="G938" s="3">
        <v>45948</v>
      </c>
      <c r="H938" s="2">
        <v>7</v>
      </c>
      <c r="I938" s="1">
        <v>1710.03</v>
      </c>
      <c r="J938" s="1">
        <v>244.29</v>
      </c>
      <c r="K938" t="s">
        <v>19</v>
      </c>
      <c r="L938" t="s">
        <v>26</v>
      </c>
      <c r="M938" s="2">
        <v>3</v>
      </c>
      <c r="N938" t="s">
        <v>31</v>
      </c>
    </row>
    <row r="939" spans="1:14" x14ac:dyDescent="0.3">
      <c r="A939" t="s">
        <v>975</v>
      </c>
      <c r="B939" s="2">
        <v>37</v>
      </c>
      <c r="C939" t="s">
        <v>16</v>
      </c>
      <c r="D939" t="s">
        <v>61</v>
      </c>
      <c r="E939" t="s">
        <v>38</v>
      </c>
      <c r="F939" s="3">
        <v>45563</v>
      </c>
      <c r="G939" s="3">
        <v>45750</v>
      </c>
      <c r="H939" s="2">
        <v>19</v>
      </c>
      <c r="I939" s="1">
        <v>1709.24</v>
      </c>
      <c r="J939" s="1">
        <v>89.96</v>
      </c>
      <c r="K939" t="s">
        <v>19</v>
      </c>
      <c r="L939" t="s">
        <v>30</v>
      </c>
      <c r="M939" s="2">
        <v>2</v>
      </c>
      <c r="N939" t="s">
        <v>21</v>
      </c>
    </row>
    <row r="940" spans="1:14" x14ac:dyDescent="0.3">
      <c r="A940" t="s">
        <v>976</v>
      </c>
      <c r="B940" s="2">
        <v>27</v>
      </c>
      <c r="C940" t="s">
        <v>23</v>
      </c>
      <c r="D940" t="s">
        <v>50</v>
      </c>
      <c r="E940" t="s">
        <v>29</v>
      </c>
      <c r="F940" s="3">
        <v>45973</v>
      </c>
      <c r="G940" s="3">
        <v>46048</v>
      </c>
      <c r="H940" s="2">
        <v>9</v>
      </c>
      <c r="I940" s="1">
        <v>1705.68</v>
      </c>
      <c r="J940" s="1">
        <v>189.52</v>
      </c>
      <c r="K940" t="s">
        <v>39</v>
      </c>
      <c r="L940" t="s">
        <v>30</v>
      </c>
      <c r="M940" s="2">
        <v>2</v>
      </c>
      <c r="N940" t="s">
        <v>21</v>
      </c>
    </row>
    <row r="941" spans="1:14" x14ac:dyDescent="0.3">
      <c r="A941" t="s">
        <v>977</v>
      </c>
      <c r="B941" s="2">
        <v>30</v>
      </c>
      <c r="C941" t="s">
        <v>16</v>
      </c>
      <c r="D941" t="s">
        <v>24</v>
      </c>
      <c r="E941" t="s">
        <v>18</v>
      </c>
      <c r="F941" s="3">
        <v>45796</v>
      </c>
      <c r="G941" s="3">
        <v>45888</v>
      </c>
      <c r="H941" s="2">
        <v>20</v>
      </c>
      <c r="I941" s="1">
        <v>1703.2</v>
      </c>
      <c r="J941" s="1">
        <v>85.16</v>
      </c>
      <c r="K941" t="s">
        <v>35</v>
      </c>
      <c r="L941" t="s">
        <v>20</v>
      </c>
      <c r="M941" s="2">
        <v>2</v>
      </c>
      <c r="N941" t="s">
        <v>21</v>
      </c>
    </row>
    <row r="942" spans="1:14" x14ac:dyDescent="0.3">
      <c r="A942" t="s">
        <v>978</v>
      </c>
      <c r="B942" s="2">
        <v>54</v>
      </c>
      <c r="C942" t="s">
        <v>23</v>
      </c>
      <c r="D942" t="s">
        <v>24</v>
      </c>
      <c r="E942" t="s">
        <v>18</v>
      </c>
      <c r="F942" s="3">
        <v>45989</v>
      </c>
      <c r="G942" s="3">
        <v>46192</v>
      </c>
      <c r="H942" s="2">
        <v>10</v>
      </c>
      <c r="I942" s="1">
        <v>1701.5</v>
      </c>
      <c r="J942" s="1">
        <v>170.15</v>
      </c>
      <c r="K942" t="s">
        <v>35</v>
      </c>
      <c r="L942" t="s">
        <v>30</v>
      </c>
      <c r="M942" s="2">
        <v>2</v>
      </c>
      <c r="N942" t="s">
        <v>21</v>
      </c>
    </row>
    <row r="943" spans="1:14" x14ac:dyDescent="0.3">
      <c r="A943" t="s">
        <v>979</v>
      </c>
      <c r="B943" s="2">
        <v>26</v>
      </c>
      <c r="C943" t="s">
        <v>16</v>
      </c>
      <c r="D943" t="s">
        <v>44</v>
      </c>
      <c r="E943" t="s">
        <v>38</v>
      </c>
      <c r="F943" s="3">
        <v>45495</v>
      </c>
      <c r="G943" s="3">
        <v>45627</v>
      </c>
      <c r="H943" s="2">
        <v>9</v>
      </c>
      <c r="I943" s="1">
        <v>1701.09</v>
      </c>
      <c r="J943" s="1">
        <v>189.01</v>
      </c>
      <c r="K943" t="s">
        <v>35</v>
      </c>
      <c r="L943" t="s">
        <v>26</v>
      </c>
      <c r="M943" s="2">
        <v>8</v>
      </c>
      <c r="N943" t="s">
        <v>21</v>
      </c>
    </row>
    <row r="944" spans="1:14" x14ac:dyDescent="0.3">
      <c r="A944" t="s">
        <v>980</v>
      </c>
      <c r="B944" s="2">
        <v>62</v>
      </c>
      <c r="C944" t="s">
        <v>16</v>
      </c>
      <c r="D944" t="s">
        <v>17</v>
      </c>
      <c r="E944" t="s">
        <v>38</v>
      </c>
      <c r="F944" s="3">
        <v>45807</v>
      </c>
      <c r="G944" s="3">
        <v>45920</v>
      </c>
      <c r="H944" s="2">
        <v>7</v>
      </c>
      <c r="I944" s="1">
        <v>1698.41</v>
      </c>
      <c r="J944" s="1">
        <v>242.63</v>
      </c>
      <c r="K944" t="s">
        <v>39</v>
      </c>
      <c r="L944" t="s">
        <v>30</v>
      </c>
      <c r="M944" s="2">
        <v>3</v>
      </c>
      <c r="N944" t="s">
        <v>21</v>
      </c>
    </row>
    <row r="945" spans="1:14" x14ac:dyDescent="0.3">
      <c r="A945" t="s">
        <v>981</v>
      </c>
      <c r="B945" s="2">
        <v>52</v>
      </c>
      <c r="C945" t="s">
        <v>16</v>
      </c>
      <c r="D945" t="s">
        <v>28</v>
      </c>
      <c r="E945" t="s">
        <v>34</v>
      </c>
      <c r="F945" s="3">
        <v>45837</v>
      </c>
      <c r="G945" s="3">
        <v>46120</v>
      </c>
      <c r="H945" s="2">
        <v>11</v>
      </c>
      <c r="I945" s="1">
        <v>1697.41</v>
      </c>
      <c r="J945" s="1">
        <v>154.31</v>
      </c>
      <c r="K945" t="s">
        <v>25</v>
      </c>
      <c r="L945" t="s">
        <v>30</v>
      </c>
      <c r="M945" s="2">
        <v>2</v>
      </c>
      <c r="N945" t="s">
        <v>21</v>
      </c>
    </row>
    <row r="946" spans="1:14" x14ac:dyDescent="0.3">
      <c r="A946" t="s">
        <v>982</v>
      </c>
      <c r="B946" s="2">
        <v>60</v>
      </c>
      <c r="C946" t="s">
        <v>16</v>
      </c>
      <c r="D946" t="s">
        <v>24</v>
      </c>
      <c r="E946" t="s">
        <v>34</v>
      </c>
      <c r="F946" s="3">
        <v>45418</v>
      </c>
      <c r="G946" s="3">
        <v>45445</v>
      </c>
      <c r="H946" s="2">
        <v>16</v>
      </c>
      <c r="I946" s="1">
        <v>1690.08</v>
      </c>
      <c r="J946" s="1">
        <v>105.63</v>
      </c>
      <c r="K946" t="s">
        <v>25</v>
      </c>
      <c r="L946" t="s">
        <v>26</v>
      </c>
      <c r="M946" s="2">
        <v>5</v>
      </c>
      <c r="N946" t="s">
        <v>21</v>
      </c>
    </row>
    <row r="947" spans="1:14" x14ac:dyDescent="0.3">
      <c r="A947" t="s">
        <v>983</v>
      </c>
      <c r="B947" s="2">
        <v>39</v>
      </c>
      <c r="C947" t="s">
        <v>23</v>
      </c>
      <c r="D947" t="s">
        <v>44</v>
      </c>
      <c r="E947" t="s">
        <v>18</v>
      </c>
      <c r="F947" s="3">
        <v>45978</v>
      </c>
      <c r="G947" s="3">
        <v>46078</v>
      </c>
      <c r="H947" s="2">
        <v>12</v>
      </c>
      <c r="I947" s="1">
        <v>1689.12</v>
      </c>
      <c r="J947" s="1">
        <v>140.76</v>
      </c>
      <c r="K947" t="s">
        <v>45</v>
      </c>
      <c r="L947" t="s">
        <v>20</v>
      </c>
      <c r="M947" s="2">
        <v>5</v>
      </c>
      <c r="N947" t="s">
        <v>21</v>
      </c>
    </row>
    <row r="948" spans="1:14" x14ac:dyDescent="0.3">
      <c r="A948" t="s">
        <v>984</v>
      </c>
      <c r="B948" s="2">
        <v>26</v>
      </c>
      <c r="C948" t="s">
        <v>16</v>
      </c>
      <c r="D948" t="s">
        <v>42</v>
      </c>
      <c r="E948" t="s">
        <v>34</v>
      </c>
      <c r="F948" s="3">
        <v>45411</v>
      </c>
      <c r="G948" s="3">
        <v>45456</v>
      </c>
      <c r="H948" s="2">
        <v>13</v>
      </c>
      <c r="I948" s="1">
        <v>1688.96</v>
      </c>
      <c r="J948" s="1">
        <v>129.91999999999999</v>
      </c>
      <c r="K948" t="s">
        <v>35</v>
      </c>
      <c r="L948" t="s">
        <v>26</v>
      </c>
      <c r="M948" s="2">
        <v>10</v>
      </c>
      <c r="N948" t="s">
        <v>21</v>
      </c>
    </row>
    <row r="949" spans="1:14" x14ac:dyDescent="0.3">
      <c r="A949" t="s">
        <v>985</v>
      </c>
      <c r="B949" s="2">
        <v>30</v>
      </c>
      <c r="C949" t="s">
        <v>16</v>
      </c>
      <c r="D949" t="s">
        <v>42</v>
      </c>
      <c r="E949" t="s">
        <v>38</v>
      </c>
      <c r="F949" s="3">
        <v>45531</v>
      </c>
      <c r="G949" s="3">
        <v>45554</v>
      </c>
      <c r="H949" s="2">
        <v>24</v>
      </c>
      <c r="I949" s="1">
        <v>1685.52</v>
      </c>
      <c r="J949" s="1">
        <v>70.23</v>
      </c>
      <c r="K949" t="s">
        <v>39</v>
      </c>
      <c r="L949" t="s">
        <v>20</v>
      </c>
      <c r="M949" s="2">
        <v>8</v>
      </c>
      <c r="N949" t="s">
        <v>21</v>
      </c>
    </row>
    <row r="950" spans="1:14" x14ac:dyDescent="0.3">
      <c r="A950" t="s">
        <v>986</v>
      </c>
      <c r="B950" s="2">
        <v>49</v>
      </c>
      <c r="C950" t="s">
        <v>16</v>
      </c>
      <c r="D950" t="s">
        <v>50</v>
      </c>
      <c r="E950" t="s">
        <v>38</v>
      </c>
      <c r="F950" s="3">
        <v>45871</v>
      </c>
      <c r="G950" s="3">
        <v>45902</v>
      </c>
      <c r="H950" s="2">
        <v>23</v>
      </c>
      <c r="I950" s="1">
        <v>1684.75</v>
      </c>
      <c r="J950" s="1">
        <v>73.25</v>
      </c>
      <c r="K950" t="s">
        <v>19</v>
      </c>
      <c r="L950" t="s">
        <v>26</v>
      </c>
      <c r="M950" s="2">
        <v>9</v>
      </c>
      <c r="N950" t="s">
        <v>21</v>
      </c>
    </row>
    <row r="951" spans="1:14" x14ac:dyDescent="0.3">
      <c r="A951" t="s">
        <v>987</v>
      </c>
      <c r="B951" s="2">
        <v>61</v>
      </c>
      <c r="C951" t="s">
        <v>23</v>
      </c>
      <c r="D951" t="s">
        <v>61</v>
      </c>
      <c r="E951" t="s">
        <v>34</v>
      </c>
      <c r="F951" s="3">
        <v>45816</v>
      </c>
      <c r="G951" s="3">
        <v>45874</v>
      </c>
      <c r="H951" s="2">
        <v>12</v>
      </c>
      <c r="I951" s="1">
        <v>1684.56</v>
      </c>
      <c r="J951" s="1">
        <v>140.38</v>
      </c>
      <c r="K951" t="s">
        <v>39</v>
      </c>
      <c r="L951" t="s">
        <v>30</v>
      </c>
      <c r="M951" s="2">
        <v>7</v>
      </c>
      <c r="N951" t="s">
        <v>21</v>
      </c>
    </row>
    <row r="952" spans="1:14" x14ac:dyDescent="0.3">
      <c r="A952" t="s">
        <v>988</v>
      </c>
      <c r="B952" s="2">
        <v>34</v>
      </c>
      <c r="C952" t="s">
        <v>16</v>
      </c>
      <c r="D952" t="s">
        <v>17</v>
      </c>
      <c r="E952" t="s">
        <v>38</v>
      </c>
      <c r="F952" s="3">
        <v>45365</v>
      </c>
      <c r="G952" s="3">
        <v>45525</v>
      </c>
      <c r="H952" s="2">
        <v>7</v>
      </c>
      <c r="I952" s="1">
        <v>1684.55</v>
      </c>
      <c r="J952" s="1">
        <v>240.65</v>
      </c>
      <c r="K952" t="s">
        <v>25</v>
      </c>
      <c r="L952" t="s">
        <v>30</v>
      </c>
      <c r="M952" s="2">
        <v>10</v>
      </c>
      <c r="N952" t="s">
        <v>21</v>
      </c>
    </row>
    <row r="953" spans="1:14" x14ac:dyDescent="0.3">
      <c r="A953" t="s">
        <v>989</v>
      </c>
      <c r="B953" s="2">
        <v>50</v>
      </c>
      <c r="C953" t="s">
        <v>16</v>
      </c>
      <c r="D953" t="s">
        <v>28</v>
      </c>
      <c r="E953" t="s">
        <v>29</v>
      </c>
      <c r="F953" s="3">
        <v>45341</v>
      </c>
      <c r="G953" s="3">
        <v>45489</v>
      </c>
      <c r="H953" s="2">
        <v>10</v>
      </c>
      <c r="I953" s="1">
        <v>1682.9</v>
      </c>
      <c r="J953" s="1">
        <v>168.29</v>
      </c>
      <c r="K953" t="s">
        <v>39</v>
      </c>
      <c r="L953" t="s">
        <v>20</v>
      </c>
      <c r="M953" s="2">
        <v>3</v>
      </c>
      <c r="N953" t="s">
        <v>21</v>
      </c>
    </row>
    <row r="954" spans="1:14" x14ac:dyDescent="0.3">
      <c r="A954" t="s">
        <v>990</v>
      </c>
      <c r="B954" s="2">
        <v>29</v>
      </c>
      <c r="C954" t="s">
        <v>16</v>
      </c>
      <c r="D954" t="s">
        <v>28</v>
      </c>
      <c r="E954" t="s">
        <v>18</v>
      </c>
      <c r="F954" s="3">
        <v>45858</v>
      </c>
      <c r="G954" s="3">
        <v>46046</v>
      </c>
      <c r="H954" s="2">
        <v>24</v>
      </c>
      <c r="I954" s="1">
        <v>1682.4</v>
      </c>
      <c r="J954" s="1">
        <v>70.099999999999994</v>
      </c>
      <c r="K954" t="s">
        <v>45</v>
      </c>
      <c r="L954" t="s">
        <v>30</v>
      </c>
      <c r="M954" s="2">
        <v>5</v>
      </c>
      <c r="N954" t="s">
        <v>21</v>
      </c>
    </row>
    <row r="955" spans="1:14" x14ac:dyDescent="0.3">
      <c r="A955" t="s">
        <v>991</v>
      </c>
      <c r="B955" s="2">
        <v>27</v>
      </c>
      <c r="C955" t="s">
        <v>23</v>
      </c>
      <c r="D955" t="s">
        <v>24</v>
      </c>
      <c r="E955" t="s">
        <v>29</v>
      </c>
      <c r="F955" s="3">
        <v>45556</v>
      </c>
      <c r="G955" s="3">
        <v>45846</v>
      </c>
      <c r="H955" s="2">
        <v>9</v>
      </c>
      <c r="I955" s="1">
        <v>1677.96</v>
      </c>
      <c r="J955" s="1">
        <v>186.44</v>
      </c>
      <c r="K955" t="s">
        <v>45</v>
      </c>
      <c r="L955" t="s">
        <v>20</v>
      </c>
      <c r="M955" s="2">
        <v>6</v>
      </c>
      <c r="N955" t="s">
        <v>21</v>
      </c>
    </row>
    <row r="956" spans="1:14" x14ac:dyDescent="0.3">
      <c r="A956" t="s">
        <v>992</v>
      </c>
      <c r="B956" s="2">
        <v>46</v>
      </c>
      <c r="C956" t="s">
        <v>23</v>
      </c>
      <c r="D956" t="s">
        <v>17</v>
      </c>
      <c r="E956" t="s">
        <v>38</v>
      </c>
      <c r="F956" s="3">
        <v>45591</v>
      </c>
      <c r="G956" s="3">
        <v>45640</v>
      </c>
      <c r="H956" s="2">
        <v>18</v>
      </c>
      <c r="I956" s="1">
        <v>1675.8</v>
      </c>
      <c r="J956" s="1">
        <v>93.1</v>
      </c>
      <c r="K956" t="s">
        <v>19</v>
      </c>
      <c r="L956" t="s">
        <v>30</v>
      </c>
      <c r="M956" s="2">
        <v>9</v>
      </c>
      <c r="N956" t="s">
        <v>21</v>
      </c>
    </row>
    <row r="957" spans="1:14" x14ac:dyDescent="0.3">
      <c r="A957" t="s">
        <v>993</v>
      </c>
      <c r="B957" s="2">
        <v>22</v>
      </c>
      <c r="C957" t="s">
        <v>23</v>
      </c>
      <c r="D957" t="s">
        <v>17</v>
      </c>
      <c r="E957" t="s">
        <v>38</v>
      </c>
      <c r="F957" s="3">
        <v>45938</v>
      </c>
      <c r="G957" s="3">
        <v>46093</v>
      </c>
      <c r="H957" s="2">
        <v>9</v>
      </c>
      <c r="I957" s="1">
        <v>1670.4</v>
      </c>
      <c r="J957" s="1">
        <v>185.6</v>
      </c>
      <c r="K957" t="s">
        <v>39</v>
      </c>
      <c r="L957" t="s">
        <v>30</v>
      </c>
      <c r="M957" s="2">
        <v>6</v>
      </c>
      <c r="N957" t="s">
        <v>21</v>
      </c>
    </row>
    <row r="958" spans="1:14" x14ac:dyDescent="0.3">
      <c r="A958" t="s">
        <v>994</v>
      </c>
      <c r="B958" s="2">
        <v>52</v>
      </c>
      <c r="C958" t="s">
        <v>16</v>
      </c>
      <c r="D958" t="s">
        <v>17</v>
      </c>
      <c r="E958" t="s">
        <v>38</v>
      </c>
      <c r="F958" s="3">
        <v>45767</v>
      </c>
      <c r="G958" s="3">
        <v>45971</v>
      </c>
      <c r="H958" s="2">
        <v>16</v>
      </c>
      <c r="I958" s="1">
        <v>1670.08</v>
      </c>
      <c r="J958" s="1">
        <v>104.38</v>
      </c>
      <c r="K958" t="s">
        <v>35</v>
      </c>
      <c r="L958" t="s">
        <v>26</v>
      </c>
      <c r="M958" s="2">
        <v>3</v>
      </c>
      <c r="N958" t="s">
        <v>21</v>
      </c>
    </row>
    <row r="959" spans="1:14" x14ac:dyDescent="0.3">
      <c r="A959" t="s">
        <v>995</v>
      </c>
      <c r="B959" s="2">
        <v>45</v>
      </c>
      <c r="C959" t="s">
        <v>16</v>
      </c>
      <c r="D959" t="s">
        <v>61</v>
      </c>
      <c r="E959" t="s">
        <v>34</v>
      </c>
      <c r="F959" s="3">
        <v>45939</v>
      </c>
      <c r="G959" s="3">
        <v>46202</v>
      </c>
      <c r="H959" s="2">
        <v>19</v>
      </c>
      <c r="I959" s="1">
        <v>1667.06</v>
      </c>
      <c r="J959" s="1">
        <v>87.74</v>
      </c>
      <c r="K959" t="s">
        <v>25</v>
      </c>
      <c r="L959" t="s">
        <v>20</v>
      </c>
      <c r="M959" s="2">
        <v>7</v>
      </c>
      <c r="N959" t="s">
        <v>31</v>
      </c>
    </row>
    <row r="960" spans="1:14" x14ac:dyDescent="0.3">
      <c r="A960" t="s">
        <v>996</v>
      </c>
      <c r="B960" s="2">
        <v>64</v>
      </c>
      <c r="C960" t="s">
        <v>16</v>
      </c>
      <c r="D960" t="s">
        <v>44</v>
      </c>
      <c r="E960" t="s">
        <v>18</v>
      </c>
      <c r="F960" s="3">
        <v>45391</v>
      </c>
      <c r="G960" s="3">
        <v>45611</v>
      </c>
      <c r="H960" s="2">
        <v>12</v>
      </c>
      <c r="I960" s="1">
        <v>1663.2</v>
      </c>
      <c r="J960" s="1">
        <v>138.6</v>
      </c>
      <c r="K960" t="s">
        <v>39</v>
      </c>
      <c r="L960" t="s">
        <v>26</v>
      </c>
      <c r="M960" s="2">
        <v>6</v>
      </c>
      <c r="N960" t="s">
        <v>21</v>
      </c>
    </row>
    <row r="961" spans="1:14" x14ac:dyDescent="0.3">
      <c r="A961" t="s">
        <v>997</v>
      </c>
      <c r="B961" s="2">
        <v>43</v>
      </c>
      <c r="C961" t="s">
        <v>23</v>
      </c>
      <c r="D961" t="s">
        <v>28</v>
      </c>
      <c r="E961" t="s">
        <v>38</v>
      </c>
      <c r="F961" s="3">
        <v>45711</v>
      </c>
      <c r="G961" s="3">
        <v>45949</v>
      </c>
      <c r="H961" s="2">
        <v>15</v>
      </c>
      <c r="I961" s="1">
        <v>1662.3</v>
      </c>
      <c r="J961" s="1">
        <v>110.82</v>
      </c>
      <c r="K961" t="s">
        <v>35</v>
      </c>
      <c r="L961" t="s">
        <v>30</v>
      </c>
      <c r="M961" s="2">
        <v>3</v>
      </c>
      <c r="N961" t="s">
        <v>21</v>
      </c>
    </row>
    <row r="962" spans="1:14" x14ac:dyDescent="0.3">
      <c r="A962" t="s">
        <v>998</v>
      </c>
      <c r="B962" s="2">
        <v>29</v>
      </c>
      <c r="C962" t="s">
        <v>16</v>
      </c>
      <c r="D962" t="s">
        <v>50</v>
      </c>
      <c r="E962" t="s">
        <v>38</v>
      </c>
      <c r="F962" s="3">
        <v>45861</v>
      </c>
      <c r="G962" s="3">
        <v>46139</v>
      </c>
      <c r="H962" s="2">
        <v>15</v>
      </c>
      <c r="I962" s="1">
        <v>1657.8</v>
      </c>
      <c r="J962" s="1">
        <v>110.52</v>
      </c>
      <c r="K962" t="s">
        <v>45</v>
      </c>
      <c r="L962" t="s">
        <v>30</v>
      </c>
      <c r="M962" s="2">
        <v>7</v>
      </c>
      <c r="N962" t="s">
        <v>21</v>
      </c>
    </row>
    <row r="963" spans="1:14" x14ac:dyDescent="0.3">
      <c r="A963" t="s">
        <v>999</v>
      </c>
      <c r="B963" s="2">
        <v>28</v>
      </c>
      <c r="C963" t="s">
        <v>16</v>
      </c>
      <c r="D963" t="s">
        <v>17</v>
      </c>
      <c r="E963" t="s">
        <v>29</v>
      </c>
      <c r="F963" s="3">
        <v>45975</v>
      </c>
      <c r="G963" s="3">
        <v>46237</v>
      </c>
      <c r="H963" s="2">
        <v>6</v>
      </c>
      <c r="I963" s="1">
        <v>1657.5</v>
      </c>
      <c r="J963" s="1">
        <v>276.25</v>
      </c>
      <c r="K963" t="s">
        <v>39</v>
      </c>
      <c r="L963" t="s">
        <v>20</v>
      </c>
      <c r="M963" s="2">
        <v>4</v>
      </c>
      <c r="N963" t="s">
        <v>31</v>
      </c>
    </row>
    <row r="964" spans="1:14" x14ac:dyDescent="0.3">
      <c r="A964" t="s">
        <v>1000</v>
      </c>
      <c r="B964" s="2">
        <v>23</v>
      </c>
      <c r="C964" t="s">
        <v>23</v>
      </c>
      <c r="D964" t="s">
        <v>24</v>
      </c>
      <c r="E964" t="s">
        <v>18</v>
      </c>
      <c r="F964" s="3">
        <v>45651</v>
      </c>
      <c r="G964" s="3">
        <v>45711</v>
      </c>
      <c r="H964" s="2">
        <v>11</v>
      </c>
      <c r="I964" s="1">
        <v>1656.05</v>
      </c>
      <c r="J964" s="1">
        <v>150.55000000000001</v>
      </c>
      <c r="K964" t="s">
        <v>39</v>
      </c>
      <c r="L964" t="s">
        <v>30</v>
      </c>
      <c r="M964" s="2">
        <v>2</v>
      </c>
      <c r="N964" t="s">
        <v>21</v>
      </c>
    </row>
    <row r="965" spans="1:14" x14ac:dyDescent="0.3">
      <c r="A965" t="s">
        <v>1001</v>
      </c>
      <c r="B965" s="2">
        <v>51</v>
      </c>
      <c r="C965" t="s">
        <v>23</v>
      </c>
      <c r="D965" t="s">
        <v>44</v>
      </c>
      <c r="E965" t="s">
        <v>18</v>
      </c>
      <c r="F965" s="3">
        <v>45348</v>
      </c>
      <c r="G965" s="3">
        <v>45517</v>
      </c>
      <c r="H965" s="2">
        <v>8</v>
      </c>
      <c r="I965" s="1">
        <v>1653.44</v>
      </c>
      <c r="J965" s="1">
        <v>206.68</v>
      </c>
      <c r="K965" t="s">
        <v>25</v>
      </c>
      <c r="L965" t="s">
        <v>26</v>
      </c>
      <c r="M965" s="2">
        <v>6</v>
      </c>
      <c r="N965" t="s">
        <v>21</v>
      </c>
    </row>
    <row r="966" spans="1:14" x14ac:dyDescent="0.3">
      <c r="A966" t="s">
        <v>1002</v>
      </c>
      <c r="B966" s="2">
        <v>42</v>
      </c>
      <c r="C966" t="s">
        <v>23</v>
      </c>
      <c r="D966" t="s">
        <v>44</v>
      </c>
      <c r="E966" t="s">
        <v>34</v>
      </c>
      <c r="F966" s="3">
        <v>45920</v>
      </c>
      <c r="G966" s="3">
        <v>46102</v>
      </c>
      <c r="H966" s="2">
        <v>8</v>
      </c>
      <c r="I966" s="1">
        <v>1650.8</v>
      </c>
      <c r="J966" s="1">
        <v>206.35</v>
      </c>
      <c r="K966" t="s">
        <v>25</v>
      </c>
      <c r="L966" t="s">
        <v>30</v>
      </c>
      <c r="M966" s="2">
        <v>1</v>
      </c>
      <c r="N966" t="s">
        <v>21</v>
      </c>
    </row>
    <row r="967" spans="1:14" x14ac:dyDescent="0.3">
      <c r="A967" t="s">
        <v>1003</v>
      </c>
      <c r="B967" s="2">
        <v>30</v>
      </c>
      <c r="C967" t="s">
        <v>16</v>
      </c>
      <c r="D967" t="s">
        <v>61</v>
      </c>
      <c r="E967" t="s">
        <v>18</v>
      </c>
      <c r="F967" s="3">
        <v>45934</v>
      </c>
      <c r="G967" s="3">
        <v>46088</v>
      </c>
      <c r="H967" s="2">
        <v>12</v>
      </c>
      <c r="I967" s="1">
        <v>1647.12</v>
      </c>
      <c r="J967" s="1">
        <v>137.26</v>
      </c>
      <c r="K967" t="s">
        <v>19</v>
      </c>
      <c r="L967" t="s">
        <v>26</v>
      </c>
      <c r="M967" s="2">
        <v>9</v>
      </c>
      <c r="N967" t="s">
        <v>21</v>
      </c>
    </row>
    <row r="968" spans="1:14" x14ac:dyDescent="0.3">
      <c r="A968" t="s">
        <v>1004</v>
      </c>
      <c r="B968" s="2">
        <v>31</v>
      </c>
      <c r="C968" t="s">
        <v>16</v>
      </c>
      <c r="D968" t="s">
        <v>24</v>
      </c>
      <c r="E968" t="s">
        <v>38</v>
      </c>
      <c r="F968" s="3">
        <v>45653</v>
      </c>
      <c r="G968" s="3">
        <v>45938</v>
      </c>
      <c r="H968" s="2">
        <v>8</v>
      </c>
      <c r="I968" s="1">
        <v>1637.28</v>
      </c>
      <c r="J968" s="1">
        <v>204.66</v>
      </c>
      <c r="K968" t="s">
        <v>39</v>
      </c>
      <c r="L968" t="s">
        <v>30</v>
      </c>
      <c r="M968" s="2">
        <v>1</v>
      </c>
      <c r="N968" t="s">
        <v>21</v>
      </c>
    </row>
    <row r="969" spans="1:14" x14ac:dyDescent="0.3">
      <c r="A969" t="s">
        <v>1005</v>
      </c>
      <c r="B969" s="2">
        <v>63</v>
      </c>
      <c r="C969" t="s">
        <v>23</v>
      </c>
      <c r="D969" t="s">
        <v>42</v>
      </c>
      <c r="E969" t="s">
        <v>18</v>
      </c>
      <c r="F969" s="3">
        <v>45424</v>
      </c>
      <c r="G969" s="3">
        <v>45497</v>
      </c>
      <c r="H969" s="2">
        <v>8</v>
      </c>
      <c r="I969" s="1">
        <v>1636.64</v>
      </c>
      <c r="J969" s="1">
        <v>204.58</v>
      </c>
      <c r="K969" t="s">
        <v>25</v>
      </c>
      <c r="L969" t="s">
        <v>30</v>
      </c>
      <c r="M969" s="2">
        <v>5</v>
      </c>
      <c r="N969" t="s">
        <v>21</v>
      </c>
    </row>
    <row r="970" spans="1:14" x14ac:dyDescent="0.3">
      <c r="A970" t="s">
        <v>1006</v>
      </c>
      <c r="B970" s="2">
        <v>22</v>
      </c>
      <c r="C970" t="s">
        <v>16</v>
      </c>
      <c r="D970" t="s">
        <v>44</v>
      </c>
      <c r="E970" t="s">
        <v>38</v>
      </c>
      <c r="F970" s="3">
        <v>45457</v>
      </c>
      <c r="G970" s="3">
        <v>45491</v>
      </c>
      <c r="H970" s="2">
        <v>9</v>
      </c>
      <c r="I970" s="1">
        <v>1632.78</v>
      </c>
      <c r="J970" s="1">
        <v>181.42</v>
      </c>
      <c r="K970" t="s">
        <v>45</v>
      </c>
      <c r="L970" t="s">
        <v>26</v>
      </c>
      <c r="M970" s="2">
        <v>5</v>
      </c>
      <c r="N970" t="s">
        <v>21</v>
      </c>
    </row>
    <row r="971" spans="1:14" x14ac:dyDescent="0.3">
      <c r="A971" t="s">
        <v>1007</v>
      </c>
      <c r="B971" s="2">
        <v>22</v>
      </c>
      <c r="C971" t="s">
        <v>23</v>
      </c>
      <c r="D971" t="s">
        <v>42</v>
      </c>
      <c r="E971" t="s">
        <v>38</v>
      </c>
      <c r="F971" s="3">
        <v>45520</v>
      </c>
      <c r="G971" s="3">
        <v>45532</v>
      </c>
      <c r="H971" s="2">
        <v>22</v>
      </c>
      <c r="I971" s="1">
        <v>1629.76</v>
      </c>
      <c r="J971" s="1">
        <v>74.08</v>
      </c>
      <c r="K971" t="s">
        <v>19</v>
      </c>
      <c r="L971" t="s">
        <v>26</v>
      </c>
      <c r="M971" s="2">
        <v>1</v>
      </c>
      <c r="N971" t="s">
        <v>21</v>
      </c>
    </row>
    <row r="972" spans="1:14" x14ac:dyDescent="0.3">
      <c r="A972" t="s">
        <v>1008</v>
      </c>
      <c r="B972" s="2">
        <v>57</v>
      </c>
      <c r="C972" t="s">
        <v>23</v>
      </c>
      <c r="D972" t="s">
        <v>44</v>
      </c>
      <c r="E972" t="s">
        <v>34</v>
      </c>
      <c r="F972" s="3">
        <v>45705</v>
      </c>
      <c r="G972" s="3">
        <v>45933</v>
      </c>
      <c r="H972" s="2">
        <v>21</v>
      </c>
      <c r="I972" s="1">
        <v>1626.24</v>
      </c>
      <c r="J972" s="1">
        <v>77.44</v>
      </c>
      <c r="K972" t="s">
        <v>35</v>
      </c>
      <c r="L972" t="s">
        <v>30</v>
      </c>
      <c r="M972" s="2">
        <v>5</v>
      </c>
      <c r="N972" t="s">
        <v>21</v>
      </c>
    </row>
    <row r="973" spans="1:14" x14ac:dyDescent="0.3">
      <c r="A973" t="s">
        <v>1009</v>
      </c>
      <c r="B973" s="2">
        <v>19</v>
      </c>
      <c r="C973" t="s">
        <v>16</v>
      </c>
      <c r="D973" t="s">
        <v>17</v>
      </c>
      <c r="E973" t="s">
        <v>18</v>
      </c>
      <c r="F973" s="3">
        <v>45301</v>
      </c>
      <c r="G973" s="3">
        <v>45557</v>
      </c>
      <c r="H973" s="2">
        <v>17</v>
      </c>
      <c r="I973" s="1">
        <v>1621.63</v>
      </c>
      <c r="J973" s="1">
        <v>95.39</v>
      </c>
      <c r="K973" t="s">
        <v>19</v>
      </c>
      <c r="L973" t="s">
        <v>30</v>
      </c>
      <c r="M973" s="2">
        <v>10</v>
      </c>
      <c r="N973" t="s">
        <v>21</v>
      </c>
    </row>
    <row r="974" spans="1:14" x14ac:dyDescent="0.3">
      <c r="A974" t="s">
        <v>1010</v>
      </c>
      <c r="B974" s="2">
        <v>65</v>
      </c>
      <c r="C974" t="s">
        <v>23</v>
      </c>
      <c r="D974" t="s">
        <v>24</v>
      </c>
      <c r="E974" t="s">
        <v>38</v>
      </c>
      <c r="F974" s="3">
        <v>45955</v>
      </c>
      <c r="G974" s="3">
        <v>46249</v>
      </c>
      <c r="H974" s="2">
        <v>11</v>
      </c>
      <c r="I974" s="1">
        <v>1618.43</v>
      </c>
      <c r="J974" s="1">
        <v>147.13</v>
      </c>
      <c r="K974" t="s">
        <v>19</v>
      </c>
      <c r="L974" t="s">
        <v>26</v>
      </c>
      <c r="M974" s="2">
        <v>1</v>
      </c>
      <c r="N974" t="s">
        <v>21</v>
      </c>
    </row>
    <row r="975" spans="1:14" x14ac:dyDescent="0.3">
      <c r="A975" t="s">
        <v>1011</v>
      </c>
      <c r="B975" s="2">
        <v>62</v>
      </c>
      <c r="C975" t="s">
        <v>16</v>
      </c>
      <c r="D975" t="s">
        <v>17</v>
      </c>
      <c r="E975" t="s">
        <v>38</v>
      </c>
      <c r="F975" s="3">
        <v>45487</v>
      </c>
      <c r="G975" s="3">
        <v>45496</v>
      </c>
      <c r="H975" s="2">
        <v>15</v>
      </c>
      <c r="I975" s="1">
        <v>1617.45</v>
      </c>
      <c r="J975" s="1">
        <v>107.83</v>
      </c>
      <c r="K975" t="s">
        <v>39</v>
      </c>
      <c r="L975" t="s">
        <v>20</v>
      </c>
      <c r="M975" s="2">
        <v>3</v>
      </c>
      <c r="N975" t="s">
        <v>31</v>
      </c>
    </row>
    <row r="976" spans="1:14" x14ac:dyDescent="0.3">
      <c r="A976" t="s">
        <v>1012</v>
      </c>
      <c r="B976" s="2">
        <v>42</v>
      </c>
      <c r="C976" t="s">
        <v>16</v>
      </c>
      <c r="D976" t="s">
        <v>24</v>
      </c>
      <c r="E976" t="s">
        <v>29</v>
      </c>
      <c r="F976" s="3">
        <v>45833</v>
      </c>
      <c r="G976" s="3">
        <v>46023</v>
      </c>
      <c r="H976" s="2">
        <v>8</v>
      </c>
      <c r="I976" s="1">
        <v>1616.56</v>
      </c>
      <c r="J976" s="1">
        <v>202.07</v>
      </c>
      <c r="K976" t="s">
        <v>19</v>
      </c>
      <c r="L976" t="s">
        <v>30</v>
      </c>
      <c r="M976" s="2">
        <v>1</v>
      </c>
      <c r="N976" t="s">
        <v>21</v>
      </c>
    </row>
    <row r="977" spans="1:14" x14ac:dyDescent="0.3">
      <c r="A977" t="s">
        <v>1013</v>
      </c>
      <c r="B977" s="2">
        <v>39</v>
      </c>
      <c r="C977" t="s">
        <v>16</v>
      </c>
      <c r="D977" t="s">
        <v>50</v>
      </c>
      <c r="E977" t="s">
        <v>38</v>
      </c>
      <c r="F977" s="3">
        <v>45885</v>
      </c>
      <c r="G977" s="3">
        <v>45942</v>
      </c>
      <c r="H977" s="2">
        <v>24</v>
      </c>
      <c r="I977" s="1">
        <v>1615.44</v>
      </c>
      <c r="J977" s="1">
        <v>67.31</v>
      </c>
      <c r="K977" t="s">
        <v>25</v>
      </c>
      <c r="L977" t="s">
        <v>26</v>
      </c>
      <c r="M977" s="2">
        <v>2</v>
      </c>
      <c r="N977" t="s">
        <v>21</v>
      </c>
    </row>
    <row r="978" spans="1:14" x14ac:dyDescent="0.3">
      <c r="A978" t="s">
        <v>1014</v>
      </c>
      <c r="B978" s="2">
        <v>41</v>
      </c>
      <c r="C978" t="s">
        <v>16</v>
      </c>
      <c r="D978" t="s">
        <v>17</v>
      </c>
      <c r="E978" t="s">
        <v>38</v>
      </c>
      <c r="F978" s="3">
        <v>45940</v>
      </c>
      <c r="G978" s="3">
        <v>46112</v>
      </c>
      <c r="H978" s="2">
        <v>6</v>
      </c>
      <c r="I978" s="1">
        <v>1610.64</v>
      </c>
      <c r="J978" s="1">
        <v>268.44</v>
      </c>
      <c r="K978" t="s">
        <v>45</v>
      </c>
      <c r="L978" t="s">
        <v>20</v>
      </c>
      <c r="M978" s="2">
        <v>8</v>
      </c>
      <c r="N978" t="s">
        <v>21</v>
      </c>
    </row>
    <row r="979" spans="1:14" x14ac:dyDescent="0.3">
      <c r="A979" t="s">
        <v>1015</v>
      </c>
      <c r="B979" s="2">
        <v>61</v>
      </c>
      <c r="C979" t="s">
        <v>16</v>
      </c>
      <c r="D979" t="s">
        <v>24</v>
      </c>
      <c r="E979" t="s">
        <v>29</v>
      </c>
      <c r="F979" s="3">
        <v>45313</v>
      </c>
      <c r="G979" s="3">
        <v>45471</v>
      </c>
      <c r="H979" s="2">
        <v>6</v>
      </c>
      <c r="I979" s="1">
        <v>1607.22</v>
      </c>
      <c r="J979" s="1">
        <v>267.87</v>
      </c>
      <c r="K979" t="s">
        <v>39</v>
      </c>
      <c r="L979" t="s">
        <v>26</v>
      </c>
      <c r="M979" s="2">
        <v>4</v>
      </c>
      <c r="N979" t="s">
        <v>21</v>
      </c>
    </row>
    <row r="980" spans="1:14" x14ac:dyDescent="0.3">
      <c r="A980" t="s">
        <v>1016</v>
      </c>
      <c r="B980" s="2">
        <v>21</v>
      </c>
      <c r="C980" t="s">
        <v>16</v>
      </c>
      <c r="D980" t="s">
        <v>17</v>
      </c>
      <c r="E980" t="s">
        <v>38</v>
      </c>
      <c r="F980" s="3">
        <v>45913</v>
      </c>
      <c r="G980" s="3">
        <v>46173</v>
      </c>
      <c r="H980" s="2">
        <v>7</v>
      </c>
      <c r="I980" s="1">
        <v>1605.8</v>
      </c>
      <c r="J980" s="1">
        <v>229.4</v>
      </c>
      <c r="K980" t="s">
        <v>39</v>
      </c>
      <c r="L980" t="s">
        <v>30</v>
      </c>
      <c r="M980" s="2">
        <v>8</v>
      </c>
      <c r="N980" t="s">
        <v>21</v>
      </c>
    </row>
    <row r="981" spans="1:14" x14ac:dyDescent="0.3">
      <c r="A981" t="s">
        <v>1017</v>
      </c>
      <c r="B981" s="2">
        <v>31</v>
      </c>
      <c r="C981" t="s">
        <v>16</v>
      </c>
      <c r="D981" t="s">
        <v>61</v>
      </c>
      <c r="E981" t="s">
        <v>29</v>
      </c>
      <c r="F981" s="3">
        <v>45464</v>
      </c>
      <c r="G981" s="3">
        <v>45724</v>
      </c>
      <c r="H981" s="2">
        <v>9</v>
      </c>
      <c r="I981" s="1">
        <v>1599.39</v>
      </c>
      <c r="J981" s="1">
        <v>177.71</v>
      </c>
      <c r="K981" t="s">
        <v>35</v>
      </c>
      <c r="L981" t="s">
        <v>30</v>
      </c>
      <c r="M981" s="2">
        <v>4</v>
      </c>
      <c r="N981" t="s">
        <v>21</v>
      </c>
    </row>
    <row r="982" spans="1:14" x14ac:dyDescent="0.3">
      <c r="A982" t="s">
        <v>1018</v>
      </c>
      <c r="B982" s="2">
        <v>43</v>
      </c>
      <c r="C982" t="s">
        <v>16</v>
      </c>
      <c r="D982" t="s">
        <v>44</v>
      </c>
      <c r="E982" t="s">
        <v>29</v>
      </c>
      <c r="F982" s="3">
        <v>45790</v>
      </c>
      <c r="G982" s="3">
        <v>45943</v>
      </c>
      <c r="H982" s="2">
        <v>9</v>
      </c>
      <c r="I982" s="1">
        <v>1596.6</v>
      </c>
      <c r="J982" s="1">
        <v>177.4</v>
      </c>
      <c r="K982" t="s">
        <v>39</v>
      </c>
      <c r="L982" t="s">
        <v>30</v>
      </c>
      <c r="M982" s="2">
        <v>5</v>
      </c>
      <c r="N982" t="s">
        <v>21</v>
      </c>
    </row>
    <row r="983" spans="1:14" x14ac:dyDescent="0.3">
      <c r="A983" t="s">
        <v>1019</v>
      </c>
      <c r="B983" s="2">
        <v>62</v>
      </c>
      <c r="C983" t="s">
        <v>16</v>
      </c>
      <c r="D983" t="s">
        <v>44</v>
      </c>
      <c r="E983" t="s">
        <v>18</v>
      </c>
      <c r="F983" s="3">
        <v>45709</v>
      </c>
      <c r="G983" s="3">
        <v>45763</v>
      </c>
      <c r="H983" s="2">
        <v>8</v>
      </c>
      <c r="I983" s="1">
        <v>1594.64</v>
      </c>
      <c r="J983" s="1">
        <v>199.33</v>
      </c>
      <c r="K983" t="s">
        <v>19</v>
      </c>
      <c r="L983" t="s">
        <v>30</v>
      </c>
      <c r="M983" s="2">
        <v>8</v>
      </c>
      <c r="N983" t="s">
        <v>21</v>
      </c>
    </row>
    <row r="984" spans="1:14" x14ac:dyDescent="0.3">
      <c r="A984" t="s">
        <v>1020</v>
      </c>
      <c r="B984" s="2">
        <v>49</v>
      </c>
      <c r="C984" t="s">
        <v>23</v>
      </c>
      <c r="D984" t="s">
        <v>17</v>
      </c>
      <c r="E984" t="s">
        <v>34</v>
      </c>
      <c r="F984" s="3">
        <v>45343</v>
      </c>
      <c r="G984" s="3">
        <v>45531</v>
      </c>
      <c r="H984" s="2">
        <v>8</v>
      </c>
      <c r="I984" s="1">
        <v>1588</v>
      </c>
      <c r="J984" s="1">
        <v>198.5</v>
      </c>
      <c r="K984" t="s">
        <v>35</v>
      </c>
      <c r="L984" t="s">
        <v>30</v>
      </c>
      <c r="M984" s="2">
        <v>1</v>
      </c>
      <c r="N984" t="s">
        <v>21</v>
      </c>
    </row>
    <row r="985" spans="1:14" x14ac:dyDescent="0.3">
      <c r="A985" t="s">
        <v>1021</v>
      </c>
      <c r="B985" s="2">
        <v>57</v>
      </c>
      <c r="C985" t="s">
        <v>16</v>
      </c>
      <c r="D985" t="s">
        <v>50</v>
      </c>
      <c r="E985" t="s">
        <v>18</v>
      </c>
      <c r="F985" s="3">
        <v>45798</v>
      </c>
      <c r="G985" s="3">
        <v>45863</v>
      </c>
      <c r="H985" s="2">
        <v>8</v>
      </c>
      <c r="I985" s="1">
        <v>1572</v>
      </c>
      <c r="J985" s="1">
        <v>196.5</v>
      </c>
      <c r="K985" t="s">
        <v>39</v>
      </c>
      <c r="L985" t="s">
        <v>30</v>
      </c>
      <c r="M985" s="2">
        <v>9</v>
      </c>
      <c r="N985" t="s">
        <v>31</v>
      </c>
    </row>
    <row r="986" spans="1:14" x14ac:dyDescent="0.3">
      <c r="A986" t="s">
        <v>1022</v>
      </c>
      <c r="B986" s="2">
        <v>30</v>
      </c>
      <c r="C986" t="s">
        <v>16</v>
      </c>
      <c r="D986" t="s">
        <v>61</v>
      </c>
      <c r="E986" t="s">
        <v>18</v>
      </c>
      <c r="F986" s="3">
        <v>45522</v>
      </c>
      <c r="G986" s="3">
        <v>45625</v>
      </c>
      <c r="H986" s="2">
        <v>24</v>
      </c>
      <c r="I986" s="1">
        <v>1569.36</v>
      </c>
      <c r="J986" s="1">
        <v>65.39</v>
      </c>
      <c r="K986" t="s">
        <v>39</v>
      </c>
      <c r="L986" t="s">
        <v>30</v>
      </c>
      <c r="M986" s="2">
        <v>1</v>
      </c>
      <c r="N986" t="s">
        <v>21</v>
      </c>
    </row>
    <row r="987" spans="1:14" x14ac:dyDescent="0.3">
      <c r="A987" t="s">
        <v>1023</v>
      </c>
      <c r="B987" s="2">
        <v>44</v>
      </c>
      <c r="C987" t="s">
        <v>23</v>
      </c>
      <c r="D987" t="s">
        <v>61</v>
      </c>
      <c r="E987" t="s">
        <v>38</v>
      </c>
      <c r="F987" s="3">
        <v>45794</v>
      </c>
      <c r="G987" s="3">
        <v>46079</v>
      </c>
      <c r="H987" s="2">
        <v>20</v>
      </c>
      <c r="I987" s="1">
        <v>1567.8</v>
      </c>
      <c r="J987" s="1">
        <v>78.39</v>
      </c>
      <c r="K987" t="s">
        <v>19</v>
      </c>
      <c r="L987" t="s">
        <v>30</v>
      </c>
      <c r="M987" s="2">
        <v>6</v>
      </c>
      <c r="N987" t="s">
        <v>31</v>
      </c>
    </row>
    <row r="988" spans="1:14" x14ac:dyDescent="0.3">
      <c r="A988" t="s">
        <v>1024</v>
      </c>
      <c r="B988" s="2">
        <v>23</v>
      </c>
      <c r="C988" t="s">
        <v>23</v>
      </c>
      <c r="D988" t="s">
        <v>17</v>
      </c>
      <c r="E988" t="s">
        <v>34</v>
      </c>
      <c r="F988" s="3">
        <v>45452</v>
      </c>
      <c r="G988" s="3">
        <v>45643</v>
      </c>
      <c r="H988" s="2">
        <v>9</v>
      </c>
      <c r="I988" s="1">
        <v>1567.35</v>
      </c>
      <c r="J988" s="1">
        <v>174.15</v>
      </c>
      <c r="K988" t="s">
        <v>25</v>
      </c>
      <c r="L988" t="s">
        <v>20</v>
      </c>
      <c r="M988" s="2">
        <v>1</v>
      </c>
      <c r="N988" t="s">
        <v>31</v>
      </c>
    </row>
    <row r="989" spans="1:14" x14ac:dyDescent="0.3">
      <c r="A989" t="s">
        <v>1025</v>
      </c>
      <c r="B989" s="2">
        <v>59</v>
      </c>
      <c r="C989" t="s">
        <v>16</v>
      </c>
      <c r="D989" t="s">
        <v>28</v>
      </c>
      <c r="E989" t="s">
        <v>29</v>
      </c>
      <c r="F989" s="3">
        <v>45528</v>
      </c>
      <c r="G989" s="3">
        <v>45689</v>
      </c>
      <c r="H989" s="2">
        <v>19</v>
      </c>
      <c r="I989" s="1">
        <v>1565.79</v>
      </c>
      <c r="J989" s="1">
        <v>82.41</v>
      </c>
      <c r="K989" t="s">
        <v>19</v>
      </c>
      <c r="L989" t="s">
        <v>26</v>
      </c>
      <c r="M989" s="2">
        <v>7</v>
      </c>
      <c r="N989" t="s">
        <v>21</v>
      </c>
    </row>
    <row r="990" spans="1:14" x14ac:dyDescent="0.3">
      <c r="A990" t="s">
        <v>1026</v>
      </c>
      <c r="B990" s="2">
        <v>57</v>
      </c>
      <c r="C990" t="s">
        <v>16</v>
      </c>
      <c r="D990" t="s">
        <v>17</v>
      </c>
      <c r="E990" t="s">
        <v>18</v>
      </c>
      <c r="F990" s="3">
        <v>45528</v>
      </c>
      <c r="G990" s="3">
        <v>45813</v>
      </c>
      <c r="H990" s="2">
        <v>16</v>
      </c>
      <c r="I990" s="1">
        <v>1565.12</v>
      </c>
      <c r="J990" s="1">
        <v>97.82</v>
      </c>
      <c r="K990" t="s">
        <v>35</v>
      </c>
      <c r="L990" t="s">
        <v>26</v>
      </c>
      <c r="M990" s="2">
        <v>10</v>
      </c>
      <c r="N990" t="s">
        <v>31</v>
      </c>
    </row>
    <row r="991" spans="1:14" x14ac:dyDescent="0.3">
      <c r="A991" t="s">
        <v>1027</v>
      </c>
      <c r="B991" s="2">
        <v>36</v>
      </c>
      <c r="C991" t="s">
        <v>16</v>
      </c>
      <c r="D991" t="s">
        <v>17</v>
      </c>
      <c r="E991" t="s">
        <v>18</v>
      </c>
      <c r="F991" s="3">
        <v>45863</v>
      </c>
      <c r="G991" s="3">
        <v>45946</v>
      </c>
      <c r="H991" s="2">
        <v>10</v>
      </c>
      <c r="I991" s="1">
        <v>1563.1</v>
      </c>
      <c r="J991" s="1">
        <v>156.31</v>
      </c>
      <c r="K991" t="s">
        <v>25</v>
      </c>
      <c r="L991" t="s">
        <v>26</v>
      </c>
      <c r="M991" s="2">
        <v>10</v>
      </c>
      <c r="N991" t="s">
        <v>31</v>
      </c>
    </row>
    <row r="992" spans="1:14" x14ac:dyDescent="0.3">
      <c r="A992" t="s">
        <v>1028</v>
      </c>
      <c r="B992" s="2">
        <v>39</v>
      </c>
      <c r="C992" t="s">
        <v>23</v>
      </c>
      <c r="D992" t="s">
        <v>50</v>
      </c>
      <c r="E992" t="s">
        <v>29</v>
      </c>
      <c r="F992" s="3">
        <v>45548</v>
      </c>
      <c r="G992" s="3">
        <v>45598</v>
      </c>
      <c r="H992" s="2">
        <v>7</v>
      </c>
      <c r="I992" s="1">
        <v>1562.12</v>
      </c>
      <c r="J992" s="1">
        <v>223.16</v>
      </c>
      <c r="K992" t="s">
        <v>39</v>
      </c>
      <c r="L992" t="s">
        <v>26</v>
      </c>
      <c r="M992" s="2">
        <v>10</v>
      </c>
      <c r="N992" t="s">
        <v>21</v>
      </c>
    </row>
    <row r="993" spans="1:14" x14ac:dyDescent="0.3">
      <c r="A993" t="s">
        <v>1029</v>
      </c>
      <c r="B993" s="2">
        <v>38</v>
      </c>
      <c r="C993" t="s">
        <v>16</v>
      </c>
      <c r="D993" t="s">
        <v>17</v>
      </c>
      <c r="E993" t="s">
        <v>18</v>
      </c>
      <c r="F993" s="3">
        <v>45747</v>
      </c>
      <c r="G993" s="3">
        <v>45903</v>
      </c>
      <c r="H993" s="2">
        <v>14</v>
      </c>
      <c r="I993" s="1">
        <v>1560.72</v>
      </c>
      <c r="J993" s="1">
        <v>111.48</v>
      </c>
      <c r="K993" t="s">
        <v>39</v>
      </c>
      <c r="L993" t="s">
        <v>20</v>
      </c>
      <c r="M993" s="2">
        <v>10</v>
      </c>
      <c r="N993" t="s">
        <v>21</v>
      </c>
    </row>
    <row r="994" spans="1:14" x14ac:dyDescent="0.3">
      <c r="A994" t="s">
        <v>1030</v>
      </c>
      <c r="B994" s="2">
        <v>57</v>
      </c>
      <c r="C994" t="s">
        <v>23</v>
      </c>
      <c r="D994" t="s">
        <v>50</v>
      </c>
      <c r="E994" t="s">
        <v>34</v>
      </c>
      <c r="F994" s="3">
        <v>45484</v>
      </c>
      <c r="G994" s="3">
        <v>45736</v>
      </c>
      <c r="H994" s="2">
        <v>18</v>
      </c>
      <c r="I994" s="1">
        <v>1558.98</v>
      </c>
      <c r="J994" s="1">
        <v>86.61</v>
      </c>
      <c r="K994" t="s">
        <v>45</v>
      </c>
      <c r="L994" t="s">
        <v>30</v>
      </c>
      <c r="M994" s="2">
        <v>7</v>
      </c>
      <c r="N994" t="s">
        <v>21</v>
      </c>
    </row>
    <row r="995" spans="1:14" x14ac:dyDescent="0.3">
      <c r="A995" t="s">
        <v>1031</v>
      </c>
      <c r="B995" s="2">
        <v>22</v>
      </c>
      <c r="C995" t="s">
        <v>23</v>
      </c>
      <c r="D995" t="s">
        <v>42</v>
      </c>
      <c r="E995" t="s">
        <v>29</v>
      </c>
      <c r="F995" s="3">
        <v>45931</v>
      </c>
      <c r="G995" s="3">
        <v>45944</v>
      </c>
      <c r="H995" s="2">
        <v>10</v>
      </c>
      <c r="I995" s="1">
        <v>1557.3</v>
      </c>
      <c r="J995" s="1">
        <v>155.72999999999999</v>
      </c>
      <c r="K995" t="s">
        <v>19</v>
      </c>
      <c r="L995" t="s">
        <v>26</v>
      </c>
      <c r="M995" s="2">
        <v>5</v>
      </c>
      <c r="N995" t="s">
        <v>31</v>
      </c>
    </row>
    <row r="996" spans="1:14" x14ac:dyDescent="0.3">
      <c r="A996" t="s">
        <v>1032</v>
      </c>
      <c r="B996" s="2">
        <v>52</v>
      </c>
      <c r="C996" t="s">
        <v>16</v>
      </c>
      <c r="D996" t="s">
        <v>44</v>
      </c>
      <c r="E996" t="s">
        <v>38</v>
      </c>
      <c r="F996" s="3">
        <v>45933</v>
      </c>
      <c r="G996" s="3">
        <v>46125</v>
      </c>
      <c r="H996" s="2">
        <v>9</v>
      </c>
      <c r="I996" s="1">
        <v>1555.74</v>
      </c>
      <c r="J996" s="1">
        <v>172.86</v>
      </c>
      <c r="K996" t="s">
        <v>19</v>
      </c>
      <c r="L996" t="s">
        <v>20</v>
      </c>
      <c r="M996" s="2">
        <v>8</v>
      </c>
      <c r="N996" t="s">
        <v>21</v>
      </c>
    </row>
    <row r="997" spans="1:14" x14ac:dyDescent="0.3">
      <c r="A997" t="s">
        <v>1033</v>
      </c>
      <c r="B997" s="2">
        <v>48</v>
      </c>
      <c r="C997" t="s">
        <v>23</v>
      </c>
      <c r="D997" t="s">
        <v>28</v>
      </c>
      <c r="E997" t="s">
        <v>18</v>
      </c>
      <c r="F997" s="3">
        <v>45604</v>
      </c>
      <c r="G997" s="3">
        <v>45880</v>
      </c>
      <c r="H997" s="2">
        <v>18</v>
      </c>
      <c r="I997" s="1">
        <v>1554.3</v>
      </c>
      <c r="J997" s="1">
        <v>86.35</v>
      </c>
      <c r="K997" t="s">
        <v>19</v>
      </c>
      <c r="L997" t="s">
        <v>26</v>
      </c>
      <c r="M997" s="2">
        <v>7</v>
      </c>
      <c r="N997" t="s">
        <v>21</v>
      </c>
    </row>
    <row r="998" spans="1:14" x14ac:dyDescent="0.3">
      <c r="A998" t="s">
        <v>1034</v>
      </c>
      <c r="B998" s="2">
        <v>18</v>
      </c>
      <c r="C998" t="s">
        <v>23</v>
      </c>
      <c r="D998" t="s">
        <v>44</v>
      </c>
      <c r="E998" t="s">
        <v>34</v>
      </c>
      <c r="F998" s="3">
        <v>45799</v>
      </c>
      <c r="G998" s="3">
        <v>45941</v>
      </c>
      <c r="H998" s="2">
        <v>7</v>
      </c>
      <c r="I998" s="1">
        <v>1552.74</v>
      </c>
      <c r="J998" s="1">
        <v>221.82</v>
      </c>
      <c r="K998" t="s">
        <v>19</v>
      </c>
      <c r="L998" t="s">
        <v>26</v>
      </c>
      <c r="M998" s="2">
        <v>6</v>
      </c>
      <c r="N998" t="s">
        <v>21</v>
      </c>
    </row>
    <row r="999" spans="1:14" x14ac:dyDescent="0.3">
      <c r="A999" t="s">
        <v>1035</v>
      </c>
      <c r="B999" s="2">
        <v>23</v>
      </c>
      <c r="C999" t="s">
        <v>16</v>
      </c>
      <c r="D999" t="s">
        <v>17</v>
      </c>
      <c r="E999" t="s">
        <v>29</v>
      </c>
      <c r="F999" s="3">
        <v>45824</v>
      </c>
      <c r="G999" s="3">
        <v>45928</v>
      </c>
      <c r="H999" s="2">
        <v>12</v>
      </c>
      <c r="I999" s="1">
        <v>1552.44</v>
      </c>
      <c r="J999" s="1">
        <v>129.37</v>
      </c>
      <c r="K999" t="s">
        <v>35</v>
      </c>
      <c r="L999" t="s">
        <v>30</v>
      </c>
      <c r="M999" s="2">
        <v>6</v>
      </c>
      <c r="N999" t="s">
        <v>21</v>
      </c>
    </row>
    <row r="1000" spans="1:14" x14ac:dyDescent="0.3">
      <c r="A1000" t="s">
        <v>1036</v>
      </c>
      <c r="B1000" s="2">
        <v>35</v>
      </c>
      <c r="C1000" t="s">
        <v>16</v>
      </c>
      <c r="D1000" t="s">
        <v>44</v>
      </c>
      <c r="E1000" t="s">
        <v>38</v>
      </c>
      <c r="F1000" s="3">
        <v>45729</v>
      </c>
      <c r="G1000" s="3">
        <v>45755</v>
      </c>
      <c r="H1000" s="2">
        <v>11</v>
      </c>
      <c r="I1000" s="1">
        <v>1552.21</v>
      </c>
      <c r="J1000" s="1">
        <v>141.11000000000001</v>
      </c>
      <c r="K1000" t="s">
        <v>35</v>
      </c>
      <c r="L1000" t="s">
        <v>26</v>
      </c>
      <c r="M1000" s="2">
        <v>9</v>
      </c>
      <c r="N1000" t="s">
        <v>21</v>
      </c>
    </row>
    <row r="1001" spans="1:14" x14ac:dyDescent="0.3">
      <c r="A1001" t="s">
        <v>1037</v>
      </c>
      <c r="B1001" s="2">
        <v>48</v>
      </c>
      <c r="C1001" t="s">
        <v>23</v>
      </c>
      <c r="D1001" t="s">
        <v>24</v>
      </c>
      <c r="E1001" t="s">
        <v>34</v>
      </c>
      <c r="F1001" s="3">
        <v>45702</v>
      </c>
      <c r="G1001" s="3">
        <v>45913</v>
      </c>
      <c r="H1001" s="2">
        <v>8</v>
      </c>
      <c r="I1001" s="1">
        <v>1550.72</v>
      </c>
      <c r="J1001" s="1">
        <v>193.84</v>
      </c>
      <c r="K1001" t="s">
        <v>25</v>
      </c>
      <c r="L1001" t="s">
        <v>20</v>
      </c>
      <c r="M1001" s="2">
        <v>10</v>
      </c>
      <c r="N1001" t="s">
        <v>21</v>
      </c>
    </row>
    <row r="1002" spans="1:14" x14ac:dyDescent="0.3">
      <c r="A1002" t="s">
        <v>1038</v>
      </c>
      <c r="B1002" s="2">
        <v>59</v>
      </c>
      <c r="C1002" t="s">
        <v>16</v>
      </c>
      <c r="D1002" t="s">
        <v>42</v>
      </c>
      <c r="E1002" t="s">
        <v>34</v>
      </c>
      <c r="F1002" s="3">
        <v>45629</v>
      </c>
      <c r="G1002" s="3">
        <v>45854</v>
      </c>
      <c r="H1002" s="2">
        <v>11</v>
      </c>
      <c r="I1002" s="1">
        <v>1546.27</v>
      </c>
      <c r="J1002" s="1">
        <v>140.57</v>
      </c>
      <c r="K1002" t="s">
        <v>19</v>
      </c>
      <c r="L1002" t="s">
        <v>20</v>
      </c>
      <c r="M1002" s="2">
        <v>4</v>
      </c>
      <c r="N1002" t="s">
        <v>21</v>
      </c>
    </row>
    <row r="1003" spans="1:14" x14ac:dyDescent="0.3">
      <c r="A1003" t="s">
        <v>1039</v>
      </c>
      <c r="B1003" s="2">
        <v>25</v>
      </c>
      <c r="C1003" t="s">
        <v>16</v>
      </c>
      <c r="D1003" t="s">
        <v>17</v>
      </c>
      <c r="E1003" t="s">
        <v>34</v>
      </c>
      <c r="F1003" s="3">
        <v>45324</v>
      </c>
      <c r="G1003" s="3">
        <v>45356</v>
      </c>
      <c r="H1003" s="2">
        <v>11</v>
      </c>
      <c r="I1003" s="1">
        <v>1546.27</v>
      </c>
      <c r="J1003" s="1">
        <v>140.57</v>
      </c>
      <c r="K1003" t="s">
        <v>45</v>
      </c>
      <c r="L1003" t="s">
        <v>26</v>
      </c>
      <c r="M1003" s="2">
        <v>1</v>
      </c>
      <c r="N1003" t="s">
        <v>21</v>
      </c>
    </row>
    <row r="1004" spans="1:14" x14ac:dyDescent="0.3">
      <c r="A1004" t="s">
        <v>1040</v>
      </c>
      <c r="B1004" s="2">
        <v>64</v>
      </c>
      <c r="C1004" t="s">
        <v>23</v>
      </c>
      <c r="D1004" t="s">
        <v>44</v>
      </c>
      <c r="E1004" t="s">
        <v>18</v>
      </c>
      <c r="F1004" s="3">
        <v>45387</v>
      </c>
      <c r="G1004" s="3">
        <v>45398</v>
      </c>
      <c r="H1004" s="2">
        <v>25</v>
      </c>
      <c r="I1004" s="1">
        <v>1544.5</v>
      </c>
      <c r="J1004" s="1">
        <v>61.78</v>
      </c>
      <c r="K1004" t="s">
        <v>39</v>
      </c>
      <c r="L1004" t="s">
        <v>26</v>
      </c>
      <c r="M1004" s="2">
        <v>4</v>
      </c>
      <c r="N1004" t="s">
        <v>21</v>
      </c>
    </row>
    <row r="1005" spans="1:14" x14ac:dyDescent="0.3">
      <c r="A1005" t="s">
        <v>1041</v>
      </c>
      <c r="B1005" s="2">
        <v>61</v>
      </c>
      <c r="C1005" t="s">
        <v>23</v>
      </c>
      <c r="D1005" t="s">
        <v>42</v>
      </c>
      <c r="E1005" t="s">
        <v>29</v>
      </c>
      <c r="F1005" s="3">
        <v>45292</v>
      </c>
      <c r="G1005" s="3">
        <v>45322</v>
      </c>
      <c r="H1005" s="2">
        <v>16</v>
      </c>
      <c r="I1005" s="1">
        <v>1544.48</v>
      </c>
      <c r="J1005" s="1">
        <v>96.53</v>
      </c>
      <c r="K1005" t="s">
        <v>19</v>
      </c>
      <c r="L1005" t="s">
        <v>20</v>
      </c>
      <c r="M1005" s="2">
        <v>5</v>
      </c>
      <c r="N1005" t="s">
        <v>21</v>
      </c>
    </row>
    <row r="1006" spans="1:14" x14ac:dyDescent="0.3">
      <c r="A1006" t="s">
        <v>1042</v>
      </c>
      <c r="B1006" s="2">
        <v>41</v>
      </c>
      <c r="C1006" t="s">
        <v>23</v>
      </c>
      <c r="D1006" t="s">
        <v>24</v>
      </c>
      <c r="E1006" t="s">
        <v>18</v>
      </c>
      <c r="F1006" s="3">
        <v>45589</v>
      </c>
      <c r="G1006" s="3">
        <v>45723</v>
      </c>
      <c r="H1006" s="2">
        <v>8</v>
      </c>
      <c r="I1006" s="1">
        <v>1543.6</v>
      </c>
      <c r="J1006" s="1">
        <v>192.95</v>
      </c>
      <c r="K1006" t="s">
        <v>35</v>
      </c>
      <c r="L1006" t="s">
        <v>30</v>
      </c>
      <c r="M1006" s="2">
        <v>6</v>
      </c>
      <c r="N1006" t="s">
        <v>21</v>
      </c>
    </row>
    <row r="1007" spans="1:14" x14ac:dyDescent="0.3">
      <c r="A1007" t="s">
        <v>1043</v>
      </c>
      <c r="B1007" s="2">
        <v>18</v>
      </c>
      <c r="C1007" t="s">
        <v>16</v>
      </c>
      <c r="D1007" t="s">
        <v>44</v>
      </c>
      <c r="E1007" t="s">
        <v>34</v>
      </c>
      <c r="F1007" s="3">
        <v>45682</v>
      </c>
      <c r="G1007" s="3">
        <v>45921</v>
      </c>
      <c r="H1007" s="2">
        <v>17</v>
      </c>
      <c r="I1007" s="1">
        <v>1536.8</v>
      </c>
      <c r="J1007" s="1">
        <v>90.4</v>
      </c>
      <c r="K1007" t="s">
        <v>45</v>
      </c>
      <c r="L1007" t="s">
        <v>30</v>
      </c>
      <c r="M1007" s="2">
        <v>5</v>
      </c>
      <c r="N1007" t="s">
        <v>21</v>
      </c>
    </row>
    <row r="1008" spans="1:14" x14ac:dyDescent="0.3">
      <c r="A1008" t="s">
        <v>1044</v>
      </c>
      <c r="B1008" s="2">
        <v>26</v>
      </c>
      <c r="C1008" t="s">
        <v>23</v>
      </c>
      <c r="D1008" t="s">
        <v>17</v>
      </c>
      <c r="E1008" t="s">
        <v>38</v>
      </c>
      <c r="F1008" s="3">
        <v>45837</v>
      </c>
      <c r="G1008" s="3">
        <v>46093</v>
      </c>
      <c r="H1008" s="2">
        <v>8</v>
      </c>
      <c r="I1008" s="1">
        <v>1535.52</v>
      </c>
      <c r="J1008" s="1">
        <v>191.94</v>
      </c>
      <c r="K1008" t="s">
        <v>25</v>
      </c>
      <c r="L1008" t="s">
        <v>20</v>
      </c>
      <c r="M1008" s="2">
        <v>8</v>
      </c>
      <c r="N1008" t="s">
        <v>21</v>
      </c>
    </row>
    <row r="1009" spans="1:14" x14ac:dyDescent="0.3">
      <c r="A1009" t="s">
        <v>1045</v>
      </c>
      <c r="B1009" s="2">
        <v>40</v>
      </c>
      <c r="C1009" t="s">
        <v>23</v>
      </c>
      <c r="D1009" t="s">
        <v>44</v>
      </c>
      <c r="E1009" t="s">
        <v>34</v>
      </c>
      <c r="F1009" s="3">
        <v>45793</v>
      </c>
      <c r="G1009" s="3">
        <v>45994</v>
      </c>
      <c r="H1009" s="2">
        <v>24</v>
      </c>
      <c r="I1009" s="1">
        <v>1535.04</v>
      </c>
      <c r="J1009" s="1">
        <v>63.96</v>
      </c>
      <c r="K1009" t="s">
        <v>25</v>
      </c>
      <c r="L1009" t="s">
        <v>20</v>
      </c>
      <c r="M1009" s="2">
        <v>5</v>
      </c>
      <c r="N1009" t="s">
        <v>21</v>
      </c>
    </row>
    <row r="1010" spans="1:14" x14ac:dyDescent="0.3">
      <c r="A1010" t="s">
        <v>1046</v>
      </c>
      <c r="B1010" s="2">
        <v>20</v>
      </c>
      <c r="C1010" t="s">
        <v>23</v>
      </c>
      <c r="D1010" t="s">
        <v>50</v>
      </c>
      <c r="E1010" t="s">
        <v>34</v>
      </c>
      <c r="F1010" s="3">
        <v>45339</v>
      </c>
      <c r="G1010" s="3">
        <v>45580</v>
      </c>
      <c r="H1010" s="2">
        <v>12</v>
      </c>
      <c r="I1010" s="1">
        <v>1526.76</v>
      </c>
      <c r="J1010" s="1">
        <v>127.23</v>
      </c>
      <c r="K1010" t="s">
        <v>25</v>
      </c>
      <c r="L1010" t="s">
        <v>26</v>
      </c>
      <c r="M1010" s="2">
        <v>6</v>
      </c>
      <c r="N1010" t="s">
        <v>31</v>
      </c>
    </row>
    <row r="1011" spans="1:14" x14ac:dyDescent="0.3">
      <c r="A1011" t="s">
        <v>1047</v>
      </c>
      <c r="B1011" s="2">
        <v>65</v>
      </c>
      <c r="C1011" t="s">
        <v>16</v>
      </c>
      <c r="D1011" t="s">
        <v>28</v>
      </c>
      <c r="E1011" t="s">
        <v>29</v>
      </c>
      <c r="F1011" s="3">
        <v>45964</v>
      </c>
      <c r="G1011" s="3">
        <v>46087</v>
      </c>
      <c r="H1011" s="2">
        <v>9</v>
      </c>
      <c r="I1011" s="1">
        <v>1524.87</v>
      </c>
      <c r="J1011" s="1">
        <v>169.43</v>
      </c>
      <c r="K1011" t="s">
        <v>19</v>
      </c>
      <c r="L1011" t="s">
        <v>26</v>
      </c>
      <c r="M1011" s="2">
        <v>6</v>
      </c>
      <c r="N1011" t="s">
        <v>21</v>
      </c>
    </row>
    <row r="1012" spans="1:14" x14ac:dyDescent="0.3">
      <c r="A1012" t="s">
        <v>1048</v>
      </c>
      <c r="B1012" s="2">
        <v>22</v>
      </c>
      <c r="C1012" t="s">
        <v>23</v>
      </c>
      <c r="D1012" t="s">
        <v>42</v>
      </c>
      <c r="E1012" t="s">
        <v>38</v>
      </c>
      <c r="F1012" s="3">
        <v>45892</v>
      </c>
      <c r="G1012" s="3">
        <v>45989</v>
      </c>
      <c r="H1012" s="2">
        <v>7</v>
      </c>
      <c r="I1012" s="1">
        <v>1521.1</v>
      </c>
      <c r="J1012" s="1">
        <v>217.3</v>
      </c>
      <c r="K1012" t="s">
        <v>25</v>
      </c>
      <c r="L1012" t="s">
        <v>20</v>
      </c>
      <c r="M1012" s="2">
        <v>3</v>
      </c>
      <c r="N1012" t="s">
        <v>21</v>
      </c>
    </row>
    <row r="1013" spans="1:14" x14ac:dyDescent="0.3">
      <c r="A1013" t="s">
        <v>1049</v>
      </c>
      <c r="B1013" s="2">
        <v>25</v>
      </c>
      <c r="C1013" t="s">
        <v>16</v>
      </c>
      <c r="D1013" t="s">
        <v>44</v>
      </c>
      <c r="E1013" t="s">
        <v>18</v>
      </c>
      <c r="F1013" s="3">
        <v>45753</v>
      </c>
      <c r="G1013" s="3">
        <v>45960</v>
      </c>
      <c r="H1013" s="2">
        <v>14</v>
      </c>
      <c r="I1013" s="1">
        <v>1520.26</v>
      </c>
      <c r="J1013" s="1">
        <v>108.59</v>
      </c>
      <c r="K1013" t="s">
        <v>19</v>
      </c>
      <c r="L1013" t="s">
        <v>30</v>
      </c>
      <c r="M1013" s="2">
        <v>2</v>
      </c>
      <c r="N1013" t="s">
        <v>21</v>
      </c>
    </row>
    <row r="1014" spans="1:14" x14ac:dyDescent="0.3">
      <c r="A1014" t="s">
        <v>1050</v>
      </c>
      <c r="B1014" s="2">
        <v>43</v>
      </c>
      <c r="C1014" t="s">
        <v>16</v>
      </c>
      <c r="D1014" t="s">
        <v>42</v>
      </c>
      <c r="E1014" t="s">
        <v>29</v>
      </c>
      <c r="F1014" s="3">
        <v>45647</v>
      </c>
      <c r="G1014" s="3">
        <v>45788</v>
      </c>
      <c r="H1014" s="2">
        <v>8</v>
      </c>
      <c r="I1014" s="1">
        <v>1518.24</v>
      </c>
      <c r="J1014" s="1">
        <v>189.78</v>
      </c>
      <c r="K1014" t="s">
        <v>35</v>
      </c>
      <c r="L1014" t="s">
        <v>20</v>
      </c>
      <c r="M1014" s="2">
        <v>2</v>
      </c>
      <c r="N1014" t="s">
        <v>21</v>
      </c>
    </row>
    <row r="1015" spans="1:14" x14ac:dyDescent="0.3">
      <c r="A1015" t="s">
        <v>1051</v>
      </c>
      <c r="B1015" s="2">
        <v>37</v>
      </c>
      <c r="C1015" t="s">
        <v>23</v>
      </c>
      <c r="D1015" t="s">
        <v>17</v>
      </c>
      <c r="E1015" t="s">
        <v>18</v>
      </c>
      <c r="F1015" s="3">
        <v>45967</v>
      </c>
      <c r="G1015" s="3">
        <v>46122</v>
      </c>
      <c r="H1015" s="2">
        <v>23</v>
      </c>
      <c r="I1015" s="1">
        <v>1517.08</v>
      </c>
      <c r="J1015" s="1">
        <v>65.959999999999994</v>
      </c>
      <c r="K1015" t="s">
        <v>19</v>
      </c>
      <c r="L1015" t="s">
        <v>20</v>
      </c>
      <c r="M1015" s="2">
        <v>8</v>
      </c>
      <c r="N1015" t="s">
        <v>21</v>
      </c>
    </row>
    <row r="1016" spans="1:14" x14ac:dyDescent="0.3">
      <c r="A1016" t="s">
        <v>1052</v>
      </c>
      <c r="B1016" s="2">
        <v>35</v>
      </c>
      <c r="C1016" t="s">
        <v>23</v>
      </c>
      <c r="D1016" t="s">
        <v>24</v>
      </c>
      <c r="E1016" t="s">
        <v>29</v>
      </c>
      <c r="F1016" s="3">
        <v>45642</v>
      </c>
      <c r="G1016" s="3">
        <v>45890</v>
      </c>
      <c r="H1016" s="2">
        <v>7</v>
      </c>
      <c r="I1016" s="1">
        <v>1516.48</v>
      </c>
      <c r="J1016" s="1">
        <v>216.64</v>
      </c>
      <c r="K1016" t="s">
        <v>35</v>
      </c>
      <c r="L1016" t="s">
        <v>30</v>
      </c>
      <c r="M1016" s="2">
        <v>4</v>
      </c>
      <c r="N1016" t="s">
        <v>21</v>
      </c>
    </row>
    <row r="1017" spans="1:14" x14ac:dyDescent="0.3">
      <c r="A1017" t="s">
        <v>1053</v>
      </c>
      <c r="B1017" s="2">
        <v>28</v>
      </c>
      <c r="C1017" t="s">
        <v>23</v>
      </c>
      <c r="D1017" t="s">
        <v>24</v>
      </c>
      <c r="E1017" t="s">
        <v>18</v>
      </c>
      <c r="F1017" s="3">
        <v>45430</v>
      </c>
      <c r="G1017" s="3">
        <v>45650</v>
      </c>
      <c r="H1017" s="2">
        <v>25</v>
      </c>
      <c r="I1017" s="1">
        <v>1516</v>
      </c>
      <c r="J1017" s="1">
        <v>60.64</v>
      </c>
      <c r="K1017" t="s">
        <v>25</v>
      </c>
      <c r="L1017" t="s">
        <v>26</v>
      </c>
      <c r="M1017" s="2">
        <v>3</v>
      </c>
      <c r="N1017" t="s">
        <v>21</v>
      </c>
    </row>
    <row r="1018" spans="1:14" x14ac:dyDescent="0.3">
      <c r="A1018" t="s">
        <v>1054</v>
      </c>
      <c r="B1018" s="2">
        <v>28</v>
      </c>
      <c r="C1018" t="s">
        <v>16</v>
      </c>
      <c r="D1018" t="s">
        <v>61</v>
      </c>
      <c r="E1018" t="s">
        <v>34</v>
      </c>
      <c r="F1018" s="3">
        <v>45946</v>
      </c>
      <c r="G1018" s="3">
        <v>46205</v>
      </c>
      <c r="H1018" s="2">
        <v>20</v>
      </c>
      <c r="I1018" s="1">
        <v>1514</v>
      </c>
      <c r="J1018" s="1">
        <v>75.7</v>
      </c>
      <c r="K1018" t="s">
        <v>35</v>
      </c>
      <c r="L1018" t="s">
        <v>30</v>
      </c>
      <c r="M1018" s="2">
        <v>2</v>
      </c>
      <c r="N1018" t="s">
        <v>21</v>
      </c>
    </row>
    <row r="1019" spans="1:14" x14ac:dyDescent="0.3">
      <c r="A1019" t="s">
        <v>1055</v>
      </c>
      <c r="B1019" s="2">
        <v>40</v>
      </c>
      <c r="C1019" t="s">
        <v>16</v>
      </c>
      <c r="D1019" t="s">
        <v>24</v>
      </c>
      <c r="E1019" t="s">
        <v>18</v>
      </c>
      <c r="F1019" s="3">
        <v>45549</v>
      </c>
      <c r="G1019" s="3">
        <v>45809</v>
      </c>
      <c r="H1019" s="2">
        <v>11</v>
      </c>
      <c r="I1019" s="1">
        <v>1512.5</v>
      </c>
      <c r="J1019" s="1">
        <v>137.5</v>
      </c>
      <c r="K1019" t="s">
        <v>35</v>
      </c>
      <c r="L1019" t="s">
        <v>30</v>
      </c>
      <c r="M1019" s="2">
        <v>10</v>
      </c>
      <c r="N1019" t="s">
        <v>21</v>
      </c>
    </row>
    <row r="1020" spans="1:14" x14ac:dyDescent="0.3">
      <c r="A1020" t="s">
        <v>1056</v>
      </c>
      <c r="B1020" s="2">
        <v>43</v>
      </c>
      <c r="C1020" t="s">
        <v>16</v>
      </c>
      <c r="D1020" t="s">
        <v>24</v>
      </c>
      <c r="E1020" t="s">
        <v>18</v>
      </c>
      <c r="F1020" s="3">
        <v>45863</v>
      </c>
      <c r="G1020" s="3">
        <v>46050</v>
      </c>
      <c r="H1020" s="2">
        <v>25</v>
      </c>
      <c r="I1020" s="1">
        <v>1509.75</v>
      </c>
      <c r="J1020" s="1">
        <v>60.39</v>
      </c>
      <c r="K1020" t="s">
        <v>25</v>
      </c>
      <c r="L1020" t="s">
        <v>20</v>
      </c>
      <c r="M1020" s="2">
        <v>6</v>
      </c>
      <c r="N1020" t="s">
        <v>21</v>
      </c>
    </row>
    <row r="1021" spans="1:14" x14ac:dyDescent="0.3">
      <c r="A1021" t="s">
        <v>1057</v>
      </c>
      <c r="B1021" s="2">
        <v>62</v>
      </c>
      <c r="C1021" t="s">
        <v>23</v>
      </c>
      <c r="D1021" t="s">
        <v>28</v>
      </c>
      <c r="E1021" t="s">
        <v>38</v>
      </c>
      <c r="F1021" s="3">
        <v>45296</v>
      </c>
      <c r="G1021" s="3">
        <v>45300</v>
      </c>
      <c r="H1021" s="2">
        <v>22</v>
      </c>
      <c r="I1021" s="1">
        <v>1508.98</v>
      </c>
      <c r="J1021" s="1">
        <v>68.59</v>
      </c>
      <c r="K1021" t="s">
        <v>19</v>
      </c>
      <c r="L1021" t="s">
        <v>30</v>
      </c>
      <c r="M1021" s="2">
        <v>2</v>
      </c>
      <c r="N1021" t="s">
        <v>21</v>
      </c>
    </row>
    <row r="1022" spans="1:14" x14ac:dyDescent="0.3">
      <c r="A1022" t="s">
        <v>1058</v>
      </c>
      <c r="B1022" s="2">
        <v>46</v>
      </c>
      <c r="C1022" t="s">
        <v>16</v>
      </c>
      <c r="D1022" t="s">
        <v>44</v>
      </c>
      <c r="E1022" t="s">
        <v>34</v>
      </c>
      <c r="F1022" s="3">
        <v>45851</v>
      </c>
      <c r="G1022" s="3">
        <v>46144</v>
      </c>
      <c r="H1022" s="2">
        <v>12</v>
      </c>
      <c r="I1022" s="1">
        <v>1503.24</v>
      </c>
      <c r="J1022" s="1">
        <v>125.27</v>
      </c>
      <c r="K1022" t="s">
        <v>45</v>
      </c>
      <c r="L1022" t="s">
        <v>26</v>
      </c>
      <c r="M1022" s="2">
        <v>10</v>
      </c>
      <c r="N1022" t="s">
        <v>21</v>
      </c>
    </row>
    <row r="1023" spans="1:14" x14ac:dyDescent="0.3">
      <c r="A1023" t="s">
        <v>1059</v>
      </c>
      <c r="B1023" s="2">
        <v>56</v>
      </c>
      <c r="C1023" t="s">
        <v>16</v>
      </c>
      <c r="D1023" t="s">
        <v>28</v>
      </c>
      <c r="E1023" t="s">
        <v>38</v>
      </c>
      <c r="F1023" s="3">
        <v>45516</v>
      </c>
      <c r="G1023" s="3">
        <v>45716</v>
      </c>
      <c r="H1023" s="2">
        <v>6</v>
      </c>
      <c r="I1023" s="1">
        <v>1501.8</v>
      </c>
      <c r="J1023" s="1">
        <v>250.3</v>
      </c>
      <c r="K1023" t="s">
        <v>35</v>
      </c>
      <c r="L1023" t="s">
        <v>26</v>
      </c>
      <c r="M1023" s="2">
        <v>7</v>
      </c>
      <c r="N1023" t="s">
        <v>21</v>
      </c>
    </row>
    <row r="1024" spans="1:14" x14ac:dyDescent="0.3">
      <c r="A1024" t="s">
        <v>1060</v>
      </c>
      <c r="B1024" s="2">
        <v>32</v>
      </c>
      <c r="C1024" t="s">
        <v>23</v>
      </c>
      <c r="D1024" t="s">
        <v>17</v>
      </c>
      <c r="E1024" t="s">
        <v>18</v>
      </c>
      <c r="F1024" s="3">
        <v>45659</v>
      </c>
      <c r="G1024" s="3">
        <v>45757</v>
      </c>
      <c r="H1024" s="2">
        <v>14</v>
      </c>
      <c r="I1024" s="1">
        <v>1501.36</v>
      </c>
      <c r="J1024" s="1">
        <v>107.24</v>
      </c>
      <c r="K1024" t="s">
        <v>39</v>
      </c>
      <c r="L1024" t="s">
        <v>26</v>
      </c>
      <c r="M1024" s="2">
        <v>2</v>
      </c>
      <c r="N1024" t="s">
        <v>21</v>
      </c>
    </row>
    <row r="1025" spans="1:14" x14ac:dyDescent="0.3">
      <c r="A1025" t="s">
        <v>1061</v>
      </c>
      <c r="B1025" s="2">
        <v>40</v>
      </c>
      <c r="C1025" t="s">
        <v>23</v>
      </c>
      <c r="D1025" t="s">
        <v>50</v>
      </c>
      <c r="E1025" t="s">
        <v>34</v>
      </c>
      <c r="F1025" s="3">
        <v>45451</v>
      </c>
      <c r="G1025" s="3">
        <v>45726</v>
      </c>
      <c r="H1025" s="2">
        <v>19</v>
      </c>
      <c r="I1025" s="1">
        <v>1500.81</v>
      </c>
      <c r="J1025" s="1">
        <v>78.989999999999995</v>
      </c>
      <c r="K1025" t="s">
        <v>19</v>
      </c>
      <c r="L1025" t="s">
        <v>20</v>
      </c>
      <c r="M1025" s="2">
        <v>5</v>
      </c>
      <c r="N1025" t="s">
        <v>21</v>
      </c>
    </row>
    <row r="1026" spans="1:14" x14ac:dyDescent="0.3">
      <c r="A1026" t="s">
        <v>1062</v>
      </c>
      <c r="B1026" s="2">
        <v>21</v>
      </c>
      <c r="C1026" t="s">
        <v>16</v>
      </c>
      <c r="D1026" t="s">
        <v>17</v>
      </c>
      <c r="E1026" t="s">
        <v>29</v>
      </c>
      <c r="F1026" s="3">
        <v>45558</v>
      </c>
      <c r="G1026" s="3">
        <v>45857</v>
      </c>
      <c r="H1026" s="2">
        <v>10</v>
      </c>
      <c r="I1026" s="1">
        <v>1498.5</v>
      </c>
      <c r="J1026" s="1">
        <v>149.85</v>
      </c>
      <c r="K1026" t="s">
        <v>19</v>
      </c>
      <c r="L1026" t="s">
        <v>30</v>
      </c>
      <c r="M1026" s="2">
        <v>7</v>
      </c>
      <c r="N1026" t="s">
        <v>31</v>
      </c>
    </row>
    <row r="1027" spans="1:14" x14ac:dyDescent="0.3">
      <c r="A1027" t="s">
        <v>1063</v>
      </c>
      <c r="B1027" s="2">
        <v>57</v>
      </c>
      <c r="C1027" t="s">
        <v>23</v>
      </c>
      <c r="D1027" t="s">
        <v>44</v>
      </c>
      <c r="E1027" t="s">
        <v>18</v>
      </c>
      <c r="F1027" s="3">
        <v>45670</v>
      </c>
      <c r="G1027" s="3">
        <v>45860</v>
      </c>
      <c r="H1027" s="2">
        <v>22</v>
      </c>
      <c r="I1027" s="1">
        <v>1495.56</v>
      </c>
      <c r="J1027" s="1">
        <v>67.98</v>
      </c>
      <c r="K1027" t="s">
        <v>39</v>
      </c>
      <c r="L1027" t="s">
        <v>30</v>
      </c>
      <c r="M1027" s="2">
        <v>3</v>
      </c>
      <c r="N1027" t="s">
        <v>21</v>
      </c>
    </row>
    <row r="1028" spans="1:14" x14ac:dyDescent="0.3">
      <c r="A1028" t="s">
        <v>1064</v>
      </c>
      <c r="B1028" s="2">
        <v>30</v>
      </c>
      <c r="C1028" t="s">
        <v>23</v>
      </c>
      <c r="D1028" t="s">
        <v>50</v>
      </c>
      <c r="E1028" t="s">
        <v>29</v>
      </c>
      <c r="F1028" s="3">
        <v>45913</v>
      </c>
      <c r="G1028" s="3">
        <v>46014</v>
      </c>
      <c r="H1028" s="2">
        <v>8</v>
      </c>
      <c r="I1028" s="1">
        <v>1489.04</v>
      </c>
      <c r="J1028" s="1">
        <v>186.13</v>
      </c>
      <c r="K1028" t="s">
        <v>35</v>
      </c>
      <c r="L1028" t="s">
        <v>20</v>
      </c>
      <c r="M1028" s="2">
        <v>6</v>
      </c>
      <c r="N1028" t="s">
        <v>21</v>
      </c>
    </row>
    <row r="1029" spans="1:14" x14ac:dyDescent="0.3">
      <c r="A1029" t="s">
        <v>1065</v>
      </c>
      <c r="B1029" s="2">
        <v>62</v>
      </c>
      <c r="C1029" t="s">
        <v>23</v>
      </c>
      <c r="D1029" t="s">
        <v>61</v>
      </c>
      <c r="E1029" t="s">
        <v>18</v>
      </c>
      <c r="F1029" s="3">
        <v>45469</v>
      </c>
      <c r="G1029" s="3">
        <v>45559</v>
      </c>
      <c r="H1029" s="2">
        <v>8</v>
      </c>
      <c r="I1029" s="1">
        <v>1487.28</v>
      </c>
      <c r="J1029" s="1">
        <v>185.91</v>
      </c>
      <c r="K1029" t="s">
        <v>45</v>
      </c>
      <c r="L1029" t="s">
        <v>20</v>
      </c>
      <c r="M1029" s="2">
        <v>10</v>
      </c>
      <c r="N1029" t="s">
        <v>21</v>
      </c>
    </row>
    <row r="1030" spans="1:14" x14ac:dyDescent="0.3">
      <c r="A1030" t="s">
        <v>1066</v>
      </c>
      <c r="B1030" s="2">
        <v>49</v>
      </c>
      <c r="C1030" t="s">
        <v>16</v>
      </c>
      <c r="D1030" t="s">
        <v>28</v>
      </c>
      <c r="E1030" t="s">
        <v>38</v>
      </c>
      <c r="F1030" s="3">
        <v>45639</v>
      </c>
      <c r="G1030" s="3">
        <v>45655</v>
      </c>
      <c r="H1030" s="2">
        <v>15</v>
      </c>
      <c r="I1030" s="1">
        <v>1486.65</v>
      </c>
      <c r="J1030" s="1">
        <v>99.11</v>
      </c>
      <c r="K1030" t="s">
        <v>25</v>
      </c>
      <c r="L1030" t="s">
        <v>30</v>
      </c>
      <c r="M1030" s="2">
        <v>8</v>
      </c>
      <c r="N1030" t="s">
        <v>21</v>
      </c>
    </row>
    <row r="1031" spans="1:14" x14ac:dyDescent="0.3">
      <c r="A1031" t="s">
        <v>1067</v>
      </c>
      <c r="B1031" s="2">
        <v>19</v>
      </c>
      <c r="C1031" t="s">
        <v>23</v>
      </c>
      <c r="D1031" t="s">
        <v>61</v>
      </c>
      <c r="E1031" t="s">
        <v>18</v>
      </c>
      <c r="F1031" s="3">
        <v>45833</v>
      </c>
      <c r="G1031" s="3">
        <v>46129</v>
      </c>
      <c r="H1031" s="2">
        <v>8</v>
      </c>
      <c r="I1031" s="1">
        <v>1486</v>
      </c>
      <c r="J1031" s="1">
        <v>185.75</v>
      </c>
      <c r="K1031" t="s">
        <v>35</v>
      </c>
      <c r="L1031" t="s">
        <v>26</v>
      </c>
      <c r="M1031" s="2">
        <v>7</v>
      </c>
      <c r="N1031" t="s">
        <v>21</v>
      </c>
    </row>
    <row r="1032" spans="1:14" x14ac:dyDescent="0.3">
      <c r="A1032" t="s">
        <v>1068</v>
      </c>
      <c r="B1032" s="2">
        <v>45</v>
      </c>
      <c r="C1032" t="s">
        <v>16</v>
      </c>
      <c r="D1032" t="s">
        <v>17</v>
      </c>
      <c r="E1032" t="s">
        <v>18</v>
      </c>
      <c r="F1032" s="3">
        <v>45479</v>
      </c>
      <c r="G1032" s="3">
        <v>45497</v>
      </c>
      <c r="H1032" s="2">
        <v>16</v>
      </c>
      <c r="I1032" s="1">
        <v>1485.76</v>
      </c>
      <c r="J1032" s="1">
        <v>92.86</v>
      </c>
      <c r="K1032" t="s">
        <v>35</v>
      </c>
      <c r="L1032" t="s">
        <v>26</v>
      </c>
      <c r="M1032" s="2">
        <v>9</v>
      </c>
      <c r="N1032" t="s">
        <v>21</v>
      </c>
    </row>
    <row r="1033" spans="1:14" x14ac:dyDescent="0.3">
      <c r="A1033" t="s">
        <v>1069</v>
      </c>
      <c r="B1033" s="2">
        <v>29</v>
      </c>
      <c r="C1033" t="s">
        <v>23</v>
      </c>
      <c r="D1033" t="s">
        <v>17</v>
      </c>
      <c r="E1033" t="s">
        <v>29</v>
      </c>
      <c r="F1033" s="3">
        <v>45492</v>
      </c>
      <c r="G1033" s="3">
        <v>45566</v>
      </c>
      <c r="H1033" s="2">
        <v>24</v>
      </c>
      <c r="I1033" s="1">
        <v>1484.88</v>
      </c>
      <c r="J1033" s="1">
        <v>61.87</v>
      </c>
      <c r="K1033" t="s">
        <v>19</v>
      </c>
      <c r="L1033" t="s">
        <v>20</v>
      </c>
      <c r="M1033" s="2">
        <v>6</v>
      </c>
      <c r="N1033" t="s">
        <v>21</v>
      </c>
    </row>
    <row r="1034" spans="1:14" x14ac:dyDescent="0.3">
      <c r="A1034" t="s">
        <v>1070</v>
      </c>
      <c r="B1034" s="2">
        <v>30</v>
      </c>
      <c r="C1034" t="s">
        <v>16</v>
      </c>
      <c r="D1034" t="s">
        <v>42</v>
      </c>
      <c r="E1034" t="s">
        <v>38</v>
      </c>
      <c r="F1034" s="3">
        <v>45752</v>
      </c>
      <c r="G1034" s="3">
        <v>45945</v>
      </c>
      <c r="H1034" s="2">
        <v>5</v>
      </c>
      <c r="I1034" s="1">
        <v>1484.4</v>
      </c>
      <c r="J1034" s="1">
        <v>296.88</v>
      </c>
      <c r="K1034" t="s">
        <v>35</v>
      </c>
      <c r="L1034" t="s">
        <v>20</v>
      </c>
      <c r="M1034" s="2">
        <v>5</v>
      </c>
      <c r="N1034" t="s">
        <v>21</v>
      </c>
    </row>
    <row r="1035" spans="1:14" x14ac:dyDescent="0.3">
      <c r="A1035" t="s">
        <v>1071</v>
      </c>
      <c r="B1035" s="2">
        <v>48</v>
      </c>
      <c r="C1035" t="s">
        <v>23</v>
      </c>
      <c r="D1035" t="s">
        <v>44</v>
      </c>
      <c r="E1035" t="s">
        <v>34</v>
      </c>
      <c r="F1035" s="3">
        <v>45590</v>
      </c>
      <c r="G1035" s="3">
        <v>45747</v>
      </c>
      <c r="H1035" s="2">
        <v>23</v>
      </c>
      <c r="I1035" s="1">
        <v>1479.36</v>
      </c>
      <c r="J1035" s="1">
        <v>64.319999999999993</v>
      </c>
      <c r="K1035" t="s">
        <v>25</v>
      </c>
      <c r="L1035" t="s">
        <v>20</v>
      </c>
      <c r="M1035" s="2">
        <v>3</v>
      </c>
      <c r="N1035" t="s">
        <v>21</v>
      </c>
    </row>
    <row r="1036" spans="1:14" x14ac:dyDescent="0.3">
      <c r="A1036" t="s">
        <v>1072</v>
      </c>
      <c r="B1036" s="2">
        <v>63</v>
      </c>
      <c r="C1036" t="s">
        <v>16</v>
      </c>
      <c r="D1036" t="s">
        <v>61</v>
      </c>
      <c r="E1036" t="s">
        <v>29</v>
      </c>
      <c r="F1036" s="3">
        <v>45925</v>
      </c>
      <c r="G1036" s="3">
        <v>45945</v>
      </c>
      <c r="H1036" s="2">
        <v>12</v>
      </c>
      <c r="I1036" s="1">
        <v>1471.2</v>
      </c>
      <c r="J1036" s="1">
        <v>122.6</v>
      </c>
      <c r="K1036" t="s">
        <v>25</v>
      </c>
      <c r="L1036" t="s">
        <v>26</v>
      </c>
      <c r="M1036" s="2">
        <v>4</v>
      </c>
      <c r="N1036" t="s">
        <v>21</v>
      </c>
    </row>
    <row r="1037" spans="1:14" x14ac:dyDescent="0.3">
      <c r="A1037" t="s">
        <v>1073</v>
      </c>
      <c r="B1037" s="2">
        <v>52</v>
      </c>
      <c r="C1037" t="s">
        <v>23</v>
      </c>
      <c r="D1037" t="s">
        <v>44</v>
      </c>
      <c r="E1037" t="s">
        <v>29</v>
      </c>
      <c r="F1037" s="3">
        <v>45777</v>
      </c>
      <c r="G1037" s="3">
        <v>45857</v>
      </c>
      <c r="H1037" s="2">
        <v>18</v>
      </c>
      <c r="I1037" s="1">
        <v>1468.08</v>
      </c>
      <c r="J1037" s="1">
        <v>81.56</v>
      </c>
      <c r="K1037" t="s">
        <v>45</v>
      </c>
      <c r="L1037" t="s">
        <v>20</v>
      </c>
      <c r="M1037" s="2">
        <v>6</v>
      </c>
      <c r="N1037" t="s">
        <v>21</v>
      </c>
    </row>
    <row r="1038" spans="1:14" x14ac:dyDescent="0.3">
      <c r="A1038" t="s">
        <v>1074</v>
      </c>
      <c r="B1038" s="2">
        <v>61</v>
      </c>
      <c r="C1038" t="s">
        <v>16</v>
      </c>
      <c r="D1038" t="s">
        <v>50</v>
      </c>
      <c r="E1038" t="s">
        <v>38</v>
      </c>
      <c r="F1038" s="3">
        <v>45986</v>
      </c>
      <c r="G1038" s="3">
        <v>46258</v>
      </c>
      <c r="H1038" s="2">
        <v>10</v>
      </c>
      <c r="I1038" s="1">
        <v>1465.5</v>
      </c>
      <c r="J1038" s="1">
        <v>146.55000000000001</v>
      </c>
      <c r="K1038" t="s">
        <v>39</v>
      </c>
      <c r="L1038" t="s">
        <v>30</v>
      </c>
      <c r="M1038" s="2">
        <v>7</v>
      </c>
      <c r="N1038" t="s">
        <v>21</v>
      </c>
    </row>
    <row r="1039" spans="1:14" x14ac:dyDescent="0.3">
      <c r="A1039" t="s">
        <v>1075</v>
      </c>
      <c r="B1039" s="2">
        <v>62</v>
      </c>
      <c r="C1039" t="s">
        <v>16</v>
      </c>
      <c r="D1039" t="s">
        <v>61</v>
      </c>
      <c r="E1039" t="s">
        <v>34</v>
      </c>
      <c r="F1039" s="3">
        <v>45328</v>
      </c>
      <c r="G1039" s="3">
        <v>45434</v>
      </c>
      <c r="H1039" s="2">
        <v>8</v>
      </c>
      <c r="I1039" s="1">
        <v>1465.36</v>
      </c>
      <c r="J1039" s="1">
        <v>183.17</v>
      </c>
      <c r="K1039" t="s">
        <v>19</v>
      </c>
      <c r="L1039" t="s">
        <v>30</v>
      </c>
      <c r="M1039" s="2">
        <v>7</v>
      </c>
      <c r="N1039" t="s">
        <v>31</v>
      </c>
    </row>
    <row r="1040" spans="1:14" x14ac:dyDescent="0.3">
      <c r="A1040" t="s">
        <v>1076</v>
      </c>
      <c r="B1040" s="2">
        <v>39</v>
      </c>
      <c r="C1040" t="s">
        <v>16</v>
      </c>
      <c r="D1040" t="s">
        <v>50</v>
      </c>
      <c r="E1040" t="s">
        <v>29</v>
      </c>
      <c r="F1040" s="3">
        <v>45533</v>
      </c>
      <c r="G1040" s="3">
        <v>45781</v>
      </c>
      <c r="H1040" s="2">
        <v>6</v>
      </c>
      <c r="I1040" s="1">
        <v>1462.92</v>
      </c>
      <c r="J1040" s="1">
        <v>243.82</v>
      </c>
      <c r="K1040" t="s">
        <v>35</v>
      </c>
      <c r="L1040" t="s">
        <v>26</v>
      </c>
      <c r="M1040" s="2">
        <v>7</v>
      </c>
      <c r="N1040" t="s">
        <v>21</v>
      </c>
    </row>
    <row r="1041" spans="1:14" x14ac:dyDescent="0.3">
      <c r="A1041" t="s">
        <v>1077</v>
      </c>
      <c r="B1041" s="2">
        <v>61</v>
      </c>
      <c r="C1041" t="s">
        <v>16</v>
      </c>
      <c r="D1041" t="s">
        <v>61</v>
      </c>
      <c r="E1041" t="s">
        <v>34</v>
      </c>
      <c r="F1041" s="3">
        <v>45802</v>
      </c>
      <c r="G1041" s="3">
        <v>45895</v>
      </c>
      <c r="H1041" s="2">
        <v>18</v>
      </c>
      <c r="I1041" s="1">
        <v>1460.52</v>
      </c>
      <c r="J1041" s="1">
        <v>81.14</v>
      </c>
      <c r="K1041" t="s">
        <v>19</v>
      </c>
      <c r="L1041" t="s">
        <v>30</v>
      </c>
      <c r="M1041" s="2">
        <v>8</v>
      </c>
      <c r="N1041" t="s">
        <v>21</v>
      </c>
    </row>
    <row r="1042" spans="1:14" x14ac:dyDescent="0.3">
      <c r="A1042" t="s">
        <v>1078</v>
      </c>
      <c r="B1042" s="2">
        <v>26</v>
      </c>
      <c r="C1042" t="s">
        <v>16</v>
      </c>
      <c r="D1042" t="s">
        <v>17</v>
      </c>
      <c r="E1042" t="s">
        <v>38</v>
      </c>
      <c r="F1042" s="3">
        <v>45974</v>
      </c>
      <c r="G1042" s="3">
        <v>46183</v>
      </c>
      <c r="H1042" s="2">
        <v>11</v>
      </c>
      <c r="I1042" s="1">
        <v>1459.37</v>
      </c>
      <c r="J1042" s="1">
        <v>132.66999999999999</v>
      </c>
      <c r="K1042" t="s">
        <v>25</v>
      </c>
      <c r="L1042" t="s">
        <v>20</v>
      </c>
      <c r="M1042" s="2">
        <v>10</v>
      </c>
      <c r="N1042" t="s">
        <v>21</v>
      </c>
    </row>
    <row r="1043" spans="1:14" x14ac:dyDescent="0.3">
      <c r="A1043" t="s">
        <v>1079</v>
      </c>
      <c r="B1043" s="2">
        <v>32</v>
      </c>
      <c r="C1043" t="s">
        <v>23</v>
      </c>
      <c r="D1043" t="s">
        <v>42</v>
      </c>
      <c r="E1043" t="s">
        <v>38</v>
      </c>
      <c r="F1043" s="3">
        <v>45402</v>
      </c>
      <c r="G1043" s="3">
        <v>45633</v>
      </c>
      <c r="H1043" s="2">
        <v>8</v>
      </c>
      <c r="I1043" s="1">
        <v>1454.48</v>
      </c>
      <c r="J1043" s="1">
        <v>181.81</v>
      </c>
      <c r="K1043" t="s">
        <v>19</v>
      </c>
      <c r="L1043" t="s">
        <v>30</v>
      </c>
      <c r="M1043" s="2">
        <v>5</v>
      </c>
      <c r="N1043" t="s">
        <v>31</v>
      </c>
    </row>
    <row r="1044" spans="1:14" x14ac:dyDescent="0.3">
      <c r="A1044" t="s">
        <v>1080</v>
      </c>
      <c r="B1044" s="2">
        <v>59</v>
      </c>
      <c r="C1044" t="s">
        <v>16</v>
      </c>
      <c r="D1044" t="s">
        <v>17</v>
      </c>
      <c r="E1044" t="s">
        <v>34</v>
      </c>
      <c r="F1044" s="3">
        <v>45626</v>
      </c>
      <c r="G1044" s="3">
        <v>45822</v>
      </c>
      <c r="H1044" s="2">
        <v>8</v>
      </c>
      <c r="I1044" s="1">
        <v>1451.2</v>
      </c>
      <c r="J1044" s="1">
        <v>181.4</v>
      </c>
      <c r="K1044" t="s">
        <v>25</v>
      </c>
      <c r="L1044" t="s">
        <v>26</v>
      </c>
      <c r="M1044" s="2">
        <v>1</v>
      </c>
      <c r="N1044" t="s">
        <v>21</v>
      </c>
    </row>
    <row r="1045" spans="1:14" x14ac:dyDescent="0.3">
      <c r="A1045" t="s">
        <v>1081</v>
      </c>
      <c r="B1045" s="2">
        <v>47</v>
      </c>
      <c r="C1045" t="s">
        <v>23</v>
      </c>
      <c r="D1045" t="s">
        <v>28</v>
      </c>
      <c r="E1045" t="s">
        <v>34</v>
      </c>
      <c r="F1045" s="3">
        <v>45362</v>
      </c>
      <c r="G1045" s="3">
        <v>45536</v>
      </c>
      <c r="H1045" s="2">
        <v>7</v>
      </c>
      <c r="I1045" s="1">
        <v>1449</v>
      </c>
      <c r="J1045" s="1">
        <v>207</v>
      </c>
      <c r="K1045" t="s">
        <v>19</v>
      </c>
      <c r="L1045" t="s">
        <v>26</v>
      </c>
      <c r="M1045" s="2">
        <v>7</v>
      </c>
      <c r="N1045" t="s">
        <v>21</v>
      </c>
    </row>
    <row r="1046" spans="1:14" x14ac:dyDescent="0.3">
      <c r="A1046" t="s">
        <v>1082</v>
      </c>
      <c r="B1046" s="2">
        <v>45</v>
      </c>
      <c r="C1046" t="s">
        <v>23</v>
      </c>
      <c r="D1046" t="s">
        <v>17</v>
      </c>
      <c r="E1046" t="s">
        <v>18</v>
      </c>
      <c r="F1046" s="3">
        <v>45690</v>
      </c>
      <c r="G1046" s="3">
        <v>45982</v>
      </c>
      <c r="H1046" s="2">
        <v>12</v>
      </c>
      <c r="I1046" s="1">
        <v>1448.04</v>
      </c>
      <c r="J1046" s="1">
        <v>120.67</v>
      </c>
      <c r="K1046" t="s">
        <v>35</v>
      </c>
      <c r="L1046" t="s">
        <v>26</v>
      </c>
      <c r="M1046" s="2">
        <v>6</v>
      </c>
      <c r="N1046" t="s">
        <v>31</v>
      </c>
    </row>
    <row r="1047" spans="1:14" x14ac:dyDescent="0.3">
      <c r="A1047" t="s">
        <v>1083</v>
      </c>
      <c r="B1047" s="2">
        <v>41</v>
      </c>
      <c r="C1047" t="s">
        <v>23</v>
      </c>
      <c r="D1047" t="s">
        <v>28</v>
      </c>
      <c r="E1047" t="s">
        <v>18</v>
      </c>
      <c r="F1047" s="3">
        <v>45427</v>
      </c>
      <c r="G1047" s="3">
        <v>45583</v>
      </c>
      <c r="H1047" s="2">
        <v>6</v>
      </c>
      <c r="I1047" s="1">
        <v>1446</v>
      </c>
      <c r="J1047" s="1">
        <v>241</v>
      </c>
      <c r="K1047" t="s">
        <v>25</v>
      </c>
      <c r="L1047" t="s">
        <v>26</v>
      </c>
      <c r="M1047" s="2">
        <v>5</v>
      </c>
      <c r="N1047" t="s">
        <v>21</v>
      </c>
    </row>
    <row r="1048" spans="1:14" x14ac:dyDescent="0.3">
      <c r="A1048" t="s">
        <v>1084</v>
      </c>
      <c r="B1048" s="2">
        <v>43</v>
      </c>
      <c r="C1048" t="s">
        <v>23</v>
      </c>
      <c r="D1048" t="s">
        <v>61</v>
      </c>
      <c r="E1048" t="s">
        <v>18</v>
      </c>
      <c r="F1048" s="3">
        <v>45459</v>
      </c>
      <c r="G1048" s="3">
        <v>45663</v>
      </c>
      <c r="H1048" s="2">
        <v>5</v>
      </c>
      <c r="I1048" s="1">
        <v>1445.65</v>
      </c>
      <c r="J1048" s="1">
        <v>289.13</v>
      </c>
      <c r="K1048" t="s">
        <v>39</v>
      </c>
      <c r="L1048" t="s">
        <v>20</v>
      </c>
      <c r="M1048" s="2">
        <v>3</v>
      </c>
      <c r="N1048" t="s">
        <v>31</v>
      </c>
    </row>
    <row r="1049" spans="1:14" x14ac:dyDescent="0.3">
      <c r="A1049" t="s">
        <v>1085</v>
      </c>
      <c r="B1049" s="2">
        <v>24</v>
      </c>
      <c r="C1049" t="s">
        <v>16</v>
      </c>
      <c r="D1049" t="s">
        <v>24</v>
      </c>
      <c r="E1049" t="s">
        <v>29</v>
      </c>
      <c r="F1049" s="3">
        <v>45385</v>
      </c>
      <c r="G1049" s="3">
        <v>45387</v>
      </c>
      <c r="H1049" s="2">
        <v>10</v>
      </c>
      <c r="I1049" s="1">
        <v>1445.3</v>
      </c>
      <c r="J1049" s="1">
        <v>144.53</v>
      </c>
      <c r="K1049" t="s">
        <v>35</v>
      </c>
      <c r="L1049" t="s">
        <v>26</v>
      </c>
      <c r="M1049" s="2">
        <v>9</v>
      </c>
      <c r="N1049" t="s">
        <v>21</v>
      </c>
    </row>
    <row r="1050" spans="1:14" x14ac:dyDescent="0.3">
      <c r="A1050" t="s">
        <v>1086</v>
      </c>
      <c r="B1050" s="2">
        <v>48</v>
      </c>
      <c r="C1050" t="s">
        <v>23</v>
      </c>
      <c r="D1050" t="s">
        <v>42</v>
      </c>
      <c r="E1050" t="s">
        <v>34</v>
      </c>
      <c r="F1050" s="3">
        <v>45973</v>
      </c>
      <c r="G1050" s="3">
        <v>46206</v>
      </c>
      <c r="H1050" s="2">
        <v>6</v>
      </c>
      <c r="I1050" s="1">
        <v>1442.04</v>
      </c>
      <c r="J1050" s="1">
        <v>240.34</v>
      </c>
      <c r="K1050" t="s">
        <v>45</v>
      </c>
      <c r="L1050" t="s">
        <v>20</v>
      </c>
      <c r="M1050" s="2">
        <v>5</v>
      </c>
      <c r="N1050" t="s">
        <v>21</v>
      </c>
    </row>
    <row r="1051" spans="1:14" x14ac:dyDescent="0.3">
      <c r="A1051" t="s">
        <v>1087</v>
      </c>
      <c r="B1051" s="2">
        <v>36</v>
      </c>
      <c r="C1051" t="s">
        <v>23</v>
      </c>
      <c r="D1051" t="s">
        <v>44</v>
      </c>
      <c r="E1051" t="s">
        <v>18</v>
      </c>
      <c r="F1051" s="3">
        <v>45799</v>
      </c>
      <c r="G1051" s="3">
        <v>45904</v>
      </c>
      <c r="H1051" s="2">
        <v>6</v>
      </c>
      <c r="I1051" s="1">
        <v>1440</v>
      </c>
      <c r="J1051" s="1">
        <v>240</v>
      </c>
      <c r="K1051" t="s">
        <v>39</v>
      </c>
      <c r="L1051" t="s">
        <v>30</v>
      </c>
      <c r="M1051" s="2">
        <v>9</v>
      </c>
      <c r="N1051" t="s">
        <v>21</v>
      </c>
    </row>
    <row r="1052" spans="1:14" x14ac:dyDescent="0.3">
      <c r="A1052" t="s">
        <v>1088</v>
      </c>
      <c r="B1052" s="2">
        <v>26</v>
      </c>
      <c r="C1052" t="s">
        <v>16</v>
      </c>
      <c r="D1052" t="s">
        <v>17</v>
      </c>
      <c r="E1052" t="s">
        <v>38</v>
      </c>
      <c r="F1052" s="3">
        <v>45777</v>
      </c>
      <c r="G1052" s="3">
        <v>46033</v>
      </c>
      <c r="H1052" s="2">
        <v>12</v>
      </c>
      <c r="I1052" s="1">
        <v>1437.84</v>
      </c>
      <c r="J1052" s="1">
        <v>119.82</v>
      </c>
      <c r="K1052" t="s">
        <v>35</v>
      </c>
      <c r="L1052" t="s">
        <v>30</v>
      </c>
      <c r="M1052" s="2">
        <v>10</v>
      </c>
      <c r="N1052" t="s">
        <v>21</v>
      </c>
    </row>
    <row r="1053" spans="1:14" x14ac:dyDescent="0.3">
      <c r="A1053" t="s">
        <v>1089</v>
      </c>
      <c r="B1053" s="2">
        <v>27</v>
      </c>
      <c r="C1053" t="s">
        <v>16</v>
      </c>
      <c r="D1053" t="s">
        <v>17</v>
      </c>
      <c r="E1053" t="s">
        <v>18</v>
      </c>
      <c r="F1053" s="3">
        <v>45806</v>
      </c>
      <c r="G1053" s="3">
        <v>46093</v>
      </c>
      <c r="H1053" s="2">
        <v>5</v>
      </c>
      <c r="I1053" s="1">
        <v>1435.15</v>
      </c>
      <c r="J1053" s="1">
        <v>287.02999999999997</v>
      </c>
      <c r="K1053" t="s">
        <v>45</v>
      </c>
      <c r="L1053" t="s">
        <v>30</v>
      </c>
      <c r="M1053" s="2">
        <v>1</v>
      </c>
      <c r="N1053" t="s">
        <v>21</v>
      </c>
    </row>
    <row r="1054" spans="1:14" x14ac:dyDescent="0.3">
      <c r="A1054" t="s">
        <v>1090</v>
      </c>
      <c r="B1054" s="2">
        <v>50</v>
      </c>
      <c r="C1054" t="s">
        <v>16</v>
      </c>
      <c r="D1054" t="s">
        <v>44</v>
      </c>
      <c r="E1054" t="s">
        <v>18</v>
      </c>
      <c r="F1054" s="3">
        <v>45513</v>
      </c>
      <c r="G1054" s="3">
        <v>45591</v>
      </c>
      <c r="H1054" s="2">
        <v>5</v>
      </c>
      <c r="I1054" s="1">
        <v>1433.2</v>
      </c>
      <c r="J1054" s="1">
        <v>286.64</v>
      </c>
      <c r="K1054" t="s">
        <v>19</v>
      </c>
      <c r="L1054" t="s">
        <v>26</v>
      </c>
      <c r="M1054" s="2">
        <v>5</v>
      </c>
      <c r="N1054" t="s">
        <v>21</v>
      </c>
    </row>
    <row r="1055" spans="1:14" x14ac:dyDescent="0.3">
      <c r="A1055" t="s">
        <v>1091</v>
      </c>
      <c r="B1055" s="2">
        <v>46</v>
      </c>
      <c r="C1055" t="s">
        <v>16</v>
      </c>
      <c r="D1055" t="s">
        <v>17</v>
      </c>
      <c r="E1055" t="s">
        <v>18</v>
      </c>
      <c r="F1055" s="3">
        <v>45563</v>
      </c>
      <c r="G1055" s="3">
        <v>45565</v>
      </c>
      <c r="H1055" s="2">
        <v>17</v>
      </c>
      <c r="I1055" s="1">
        <v>1431.06</v>
      </c>
      <c r="J1055" s="1">
        <v>84.18</v>
      </c>
      <c r="K1055" t="s">
        <v>35</v>
      </c>
      <c r="L1055" t="s">
        <v>30</v>
      </c>
      <c r="M1055" s="2">
        <v>2</v>
      </c>
      <c r="N1055" t="s">
        <v>21</v>
      </c>
    </row>
    <row r="1056" spans="1:14" x14ac:dyDescent="0.3">
      <c r="A1056" t="s">
        <v>1092</v>
      </c>
      <c r="B1056" s="2">
        <v>61</v>
      </c>
      <c r="C1056" t="s">
        <v>23</v>
      </c>
      <c r="D1056" t="s">
        <v>17</v>
      </c>
      <c r="E1056" t="s">
        <v>29</v>
      </c>
      <c r="F1056" s="3">
        <v>45458</v>
      </c>
      <c r="G1056" s="3">
        <v>45746</v>
      </c>
      <c r="H1056" s="2">
        <v>8</v>
      </c>
      <c r="I1056" s="1">
        <v>1429.44</v>
      </c>
      <c r="J1056" s="1">
        <v>178.68</v>
      </c>
      <c r="K1056" t="s">
        <v>39</v>
      </c>
      <c r="L1056" t="s">
        <v>20</v>
      </c>
      <c r="M1056" s="2">
        <v>6</v>
      </c>
      <c r="N1056" t="s">
        <v>21</v>
      </c>
    </row>
    <row r="1057" spans="1:14" x14ac:dyDescent="0.3">
      <c r="A1057" t="s">
        <v>1093</v>
      </c>
      <c r="B1057" s="2">
        <v>65</v>
      </c>
      <c r="C1057" t="s">
        <v>23</v>
      </c>
      <c r="D1057" t="s">
        <v>24</v>
      </c>
      <c r="E1057" t="s">
        <v>38</v>
      </c>
      <c r="F1057" s="3">
        <v>45657</v>
      </c>
      <c r="G1057" s="3">
        <v>45729</v>
      </c>
      <c r="H1057" s="2">
        <v>10</v>
      </c>
      <c r="I1057" s="1">
        <v>1427.4</v>
      </c>
      <c r="J1057" s="1">
        <v>142.74</v>
      </c>
      <c r="K1057" t="s">
        <v>39</v>
      </c>
      <c r="L1057" t="s">
        <v>26</v>
      </c>
      <c r="M1057" s="2">
        <v>10</v>
      </c>
      <c r="N1057" t="s">
        <v>21</v>
      </c>
    </row>
    <row r="1058" spans="1:14" x14ac:dyDescent="0.3">
      <c r="A1058" t="s">
        <v>1094</v>
      </c>
      <c r="B1058" s="2">
        <v>64</v>
      </c>
      <c r="C1058" t="s">
        <v>23</v>
      </c>
      <c r="D1058" t="s">
        <v>28</v>
      </c>
      <c r="E1058" t="s">
        <v>18</v>
      </c>
      <c r="F1058" s="3">
        <v>45982</v>
      </c>
      <c r="G1058" s="3">
        <v>46214</v>
      </c>
      <c r="H1058" s="2">
        <v>13</v>
      </c>
      <c r="I1058" s="1">
        <v>1426.36</v>
      </c>
      <c r="J1058" s="1">
        <v>109.72</v>
      </c>
      <c r="K1058" t="s">
        <v>25</v>
      </c>
      <c r="L1058" t="s">
        <v>26</v>
      </c>
      <c r="M1058" s="2">
        <v>8</v>
      </c>
      <c r="N1058" t="s">
        <v>31</v>
      </c>
    </row>
    <row r="1059" spans="1:14" x14ac:dyDescent="0.3">
      <c r="A1059" t="s">
        <v>1095</v>
      </c>
      <c r="B1059" s="2">
        <v>42</v>
      </c>
      <c r="C1059" t="s">
        <v>16</v>
      </c>
      <c r="D1059" t="s">
        <v>61</v>
      </c>
      <c r="E1059" t="s">
        <v>29</v>
      </c>
      <c r="F1059" s="3">
        <v>45717</v>
      </c>
      <c r="G1059" s="3">
        <v>45964</v>
      </c>
      <c r="H1059" s="2">
        <v>16</v>
      </c>
      <c r="I1059" s="1">
        <v>1411.84</v>
      </c>
      <c r="J1059" s="1">
        <v>88.24</v>
      </c>
      <c r="K1059" t="s">
        <v>39</v>
      </c>
      <c r="L1059" t="s">
        <v>26</v>
      </c>
      <c r="M1059" s="2">
        <v>7</v>
      </c>
      <c r="N1059" t="s">
        <v>21</v>
      </c>
    </row>
    <row r="1060" spans="1:14" x14ac:dyDescent="0.3">
      <c r="A1060" t="s">
        <v>1096</v>
      </c>
      <c r="B1060" s="2">
        <v>40</v>
      </c>
      <c r="C1060" t="s">
        <v>23</v>
      </c>
      <c r="D1060" t="s">
        <v>28</v>
      </c>
      <c r="E1060" t="s">
        <v>18</v>
      </c>
      <c r="F1060" s="3">
        <v>45423</v>
      </c>
      <c r="G1060" s="3">
        <v>45431</v>
      </c>
      <c r="H1060" s="2">
        <v>19</v>
      </c>
      <c r="I1060" s="1">
        <v>1410.18</v>
      </c>
      <c r="J1060" s="1">
        <v>74.22</v>
      </c>
      <c r="K1060" t="s">
        <v>39</v>
      </c>
      <c r="L1060" t="s">
        <v>30</v>
      </c>
      <c r="M1060" s="2">
        <v>10</v>
      </c>
      <c r="N1060" t="s">
        <v>21</v>
      </c>
    </row>
    <row r="1061" spans="1:14" x14ac:dyDescent="0.3">
      <c r="A1061" t="s">
        <v>1097</v>
      </c>
      <c r="B1061" s="2">
        <v>39</v>
      </c>
      <c r="C1061" t="s">
        <v>23</v>
      </c>
      <c r="D1061" t="s">
        <v>24</v>
      </c>
      <c r="E1061" t="s">
        <v>38</v>
      </c>
      <c r="F1061" s="3">
        <v>45509</v>
      </c>
      <c r="G1061" s="3">
        <v>45560</v>
      </c>
      <c r="H1061" s="2">
        <v>6</v>
      </c>
      <c r="I1061" s="1">
        <v>1409.58</v>
      </c>
      <c r="J1061" s="1">
        <v>234.93</v>
      </c>
      <c r="K1061" t="s">
        <v>19</v>
      </c>
      <c r="L1061" t="s">
        <v>20</v>
      </c>
      <c r="M1061" s="2">
        <v>3</v>
      </c>
      <c r="N1061" t="s">
        <v>21</v>
      </c>
    </row>
    <row r="1062" spans="1:14" x14ac:dyDescent="0.3">
      <c r="A1062" t="s">
        <v>1098</v>
      </c>
      <c r="B1062" s="2">
        <v>49</v>
      </c>
      <c r="C1062" t="s">
        <v>23</v>
      </c>
      <c r="D1062" t="s">
        <v>17</v>
      </c>
      <c r="E1062" t="s">
        <v>38</v>
      </c>
      <c r="F1062" s="3">
        <v>45622</v>
      </c>
      <c r="G1062" s="3">
        <v>45687</v>
      </c>
      <c r="H1062" s="2">
        <v>6</v>
      </c>
      <c r="I1062" s="1">
        <v>1409.46</v>
      </c>
      <c r="J1062" s="1">
        <v>234.91</v>
      </c>
      <c r="K1062" t="s">
        <v>19</v>
      </c>
      <c r="L1062" t="s">
        <v>20</v>
      </c>
      <c r="M1062" s="2">
        <v>6</v>
      </c>
      <c r="N1062" t="s">
        <v>21</v>
      </c>
    </row>
    <row r="1063" spans="1:14" x14ac:dyDescent="0.3">
      <c r="A1063" t="s">
        <v>1099</v>
      </c>
      <c r="B1063" s="2">
        <v>24</v>
      </c>
      <c r="C1063" t="s">
        <v>23</v>
      </c>
      <c r="D1063" t="s">
        <v>44</v>
      </c>
      <c r="E1063" t="s">
        <v>34</v>
      </c>
      <c r="F1063" s="3">
        <v>45505</v>
      </c>
      <c r="G1063" s="3">
        <v>45721</v>
      </c>
      <c r="H1063" s="2">
        <v>5</v>
      </c>
      <c r="I1063" s="1">
        <v>1407.1</v>
      </c>
      <c r="J1063" s="1">
        <v>281.42</v>
      </c>
      <c r="K1063" t="s">
        <v>45</v>
      </c>
      <c r="L1063" t="s">
        <v>26</v>
      </c>
      <c r="M1063" s="2">
        <v>2</v>
      </c>
      <c r="N1063" t="s">
        <v>21</v>
      </c>
    </row>
    <row r="1064" spans="1:14" x14ac:dyDescent="0.3">
      <c r="A1064" t="s">
        <v>1100</v>
      </c>
      <c r="B1064" s="2">
        <v>33</v>
      </c>
      <c r="C1064" t="s">
        <v>23</v>
      </c>
      <c r="D1064" t="s">
        <v>42</v>
      </c>
      <c r="E1064" t="s">
        <v>29</v>
      </c>
      <c r="F1064" s="3">
        <v>45810</v>
      </c>
      <c r="G1064" s="3">
        <v>45945</v>
      </c>
      <c r="H1064" s="2">
        <v>5</v>
      </c>
      <c r="I1064" s="1">
        <v>1406.55</v>
      </c>
      <c r="J1064" s="1">
        <v>281.31</v>
      </c>
      <c r="K1064" t="s">
        <v>35</v>
      </c>
      <c r="L1064" t="s">
        <v>20</v>
      </c>
      <c r="M1064" s="2">
        <v>5</v>
      </c>
      <c r="N1064" t="s">
        <v>21</v>
      </c>
    </row>
    <row r="1065" spans="1:14" x14ac:dyDescent="0.3">
      <c r="A1065" t="s">
        <v>1101</v>
      </c>
      <c r="B1065" s="2">
        <v>33</v>
      </c>
      <c r="C1065" t="s">
        <v>23</v>
      </c>
      <c r="D1065" t="s">
        <v>28</v>
      </c>
      <c r="E1065" t="s">
        <v>29</v>
      </c>
      <c r="F1065" s="3">
        <v>45439</v>
      </c>
      <c r="G1065" s="3">
        <v>45685</v>
      </c>
      <c r="H1065" s="2">
        <v>6</v>
      </c>
      <c r="I1065" s="1">
        <v>1404.54</v>
      </c>
      <c r="J1065" s="1">
        <v>234.09</v>
      </c>
      <c r="K1065" t="s">
        <v>35</v>
      </c>
      <c r="L1065" t="s">
        <v>26</v>
      </c>
      <c r="M1065" s="2">
        <v>10</v>
      </c>
      <c r="N1065" t="s">
        <v>21</v>
      </c>
    </row>
    <row r="1066" spans="1:14" x14ac:dyDescent="0.3">
      <c r="A1066" t="s">
        <v>1102</v>
      </c>
      <c r="B1066" s="2">
        <v>23</v>
      </c>
      <c r="C1066" t="s">
        <v>23</v>
      </c>
      <c r="D1066" t="s">
        <v>28</v>
      </c>
      <c r="E1066" t="s">
        <v>18</v>
      </c>
      <c r="F1066" s="3">
        <v>45596</v>
      </c>
      <c r="G1066" s="3">
        <v>45612</v>
      </c>
      <c r="H1066" s="2">
        <v>15</v>
      </c>
      <c r="I1066" s="1">
        <v>1403.85</v>
      </c>
      <c r="J1066" s="1">
        <v>93.59</v>
      </c>
      <c r="K1066" t="s">
        <v>25</v>
      </c>
      <c r="L1066" t="s">
        <v>30</v>
      </c>
      <c r="M1066" s="2">
        <v>10</v>
      </c>
      <c r="N1066" t="s">
        <v>21</v>
      </c>
    </row>
    <row r="1067" spans="1:14" x14ac:dyDescent="0.3">
      <c r="A1067" t="s">
        <v>1103</v>
      </c>
      <c r="B1067" s="2">
        <v>31</v>
      </c>
      <c r="C1067" t="s">
        <v>16</v>
      </c>
      <c r="D1067" t="s">
        <v>44</v>
      </c>
      <c r="E1067" t="s">
        <v>29</v>
      </c>
      <c r="F1067" s="3">
        <v>45329</v>
      </c>
      <c r="G1067" s="3">
        <v>45479</v>
      </c>
      <c r="H1067" s="2">
        <v>19</v>
      </c>
      <c r="I1067" s="1">
        <v>1403.72</v>
      </c>
      <c r="J1067" s="1">
        <v>73.88</v>
      </c>
      <c r="K1067" t="s">
        <v>35</v>
      </c>
      <c r="L1067" t="s">
        <v>20</v>
      </c>
      <c r="M1067" s="2">
        <v>5</v>
      </c>
      <c r="N1067" t="s">
        <v>21</v>
      </c>
    </row>
    <row r="1068" spans="1:14" x14ac:dyDescent="0.3">
      <c r="A1068" t="s">
        <v>1104</v>
      </c>
      <c r="B1068" s="2">
        <v>60</v>
      </c>
      <c r="C1068" t="s">
        <v>16</v>
      </c>
      <c r="D1068" t="s">
        <v>28</v>
      </c>
      <c r="E1068" t="s">
        <v>34</v>
      </c>
      <c r="F1068" s="3">
        <v>45592</v>
      </c>
      <c r="G1068" s="3">
        <v>45777</v>
      </c>
      <c r="H1068" s="2">
        <v>19</v>
      </c>
      <c r="I1068" s="1">
        <v>1402.96</v>
      </c>
      <c r="J1068" s="1">
        <v>73.84</v>
      </c>
      <c r="K1068" t="s">
        <v>39</v>
      </c>
      <c r="L1068" t="s">
        <v>30</v>
      </c>
      <c r="M1068" s="2">
        <v>2</v>
      </c>
      <c r="N1068" t="s">
        <v>31</v>
      </c>
    </row>
    <row r="1069" spans="1:14" x14ac:dyDescent="0.3">
      <c r="A1069" t="s">
        <v>1105</v>
      </c>
      <c r="B1069" s="2">
        <v>58</v>
      </c>
      <c r="C1069" t="s">
        <v>23</v>
      </c>
      <c r="D1069" t="s">
        <v>17</v>
      </c>
      <c r="E1069" t="s">
        <v>34</v>
      </c>
      <c r="F1069" s="3">
        <v>45450</v>
      </c>
      <c r="G1069" s="3">
        <v>45470</v>
      </c>
      <c r="H1069" s="2">
        <v>5</v>
      </c>
      <c r="I1069" s="1">
        <v>1400.1</v>
      </c>
      <c r="J1069" s="1">
        <v>280.02</v>
      </c>
      <c r="K1069" t="s">
        <v>39</v>
      </c>
      <c r="L1069" t="s">
        <v>20</v>
      </c>
      <c r="M1069" s="2">
        <v>6</v>
      </c>
      <c r="N1069" t="s">
        <v>21</v>
      </c>
    </row>
    <row r="1070" spans="1:14" x14ac:dyDescent="0.3">
      <c r="A1070" t="s">
        <v>1106</v>
      </c>
      <c r="B1070" s="2">
        <v>56</v>
      </c>
      <c r="C1070" t="s">
        <v>23</v>
      </c>
      <c r="D1070" t="s">
        <v>28</v>
      </c>
      <c r="E1070" t="s">
        <v>18</v>
      </c>
      <c r="F1070" s="3">
        <v>45575</v>
      </c>
      <c r="G1070" s="3">
        <v>45618</v>
      </c>
      <c r="H1070" s="2">
        <v>8</v>
      </c>
      <c r="I1070" s="1">
        <v>1399.6</v>
      </c>
      <c r="J1070" s="1">
        <v>174.95</v>
      </c>
      <c r="K1070" t="s">
        <v>45</v>
      </c>
      <c r="L1070" t="s">
        <v>30</v>
      </c>
      <c r="M1070" s="2">
        <v>9</v>
      </c>
      <c r="N1070" t="s">
        <v>21</v>
      </c>
    </row>
    <row r="1071" spans="1:14" x14ac:dyDescent="0.3">
      <c r="A1071" t="s">
        <v>1107</v>
      </c>
      <c r="B1071" s="2">
        <v>28</v>
      </c>
      <c r="C1071" t="s">
        <v>23</v>
      </c>
      <c r="D1071" t="s">
        <v>44</v>
      </c>
      <c r="E1071" t="s">
        <v>34</v>
      </c>
      <c r="F1071" s="3">
        <v>45369</v>
      </c>
      <c r="G1071" s="3">
        <v>45524</v>
      </c>
      <c r="H1071" s="2">
        <v>8</v>
      </c>
      <c r="I1071" s="1">
        <v>1399.04</v>
      </c>
      <c r="J1071" s="1">
        <v>174.88</v>
      </c>
      <c r="K1071" t="s">
        <v>25</v>
      </c>
      <c r="L1071" t="s">
        <v>20</v>
      </c>
      <c r="M1071" s="2">
        <v>9</v>
      </c>
      <c r="N1071" t="s">
        <v>31</v>
      </c>
    </row>
    <row r="1072" spans="1:14" x14ac:dyDescent="0.3">
      <c r="A1072" t="s">
        <v>1108</v>
      </c>
      <c r="B1072" s="2">
        <v>38</v>
      </c>
      <c r="C1072" t="s">
        <v>23</v>
      </c>
      <c r="D1072" t="s">
        <v>61</v>
      </c>
      <c r="E1072" t="s">
        <v>38</v>
      </c>
      <c r="F1072" s="3">
        <v>45381</v>
      </c>
      <c r="G1072" s="3">
        <v>45555</v>
      </c>
      <c r="H1072" s="2">
        <v>6</v>
      </c>
      <c r="I1072" s="1">
        <v>1397.52</v>
      </c>
      <c r="J1072" s="1">
        <v>232.92</v>
      </c>
      <c r="K1072" t="s">
        <v>35</v>
      </c>
      <c r="L1072" t="s">
        <v>26</v>
      </c>
      <c r="M1072" s="2">
        <v>8</v>
      </c>
      <c r="N1072" t="s">
        <v>21</v>
      </c>
    </row>
    <row r="1073" spans="1:14" x14ac:dyDescent="0.3">
      <c r="A1073" t="s">
        <v>1109</v>
      </c>
      <c r="B1073" s="2">
        <v>41</v>
      </c>
      <c r="C1073" t="s">
        <v>16</v>
      </c>
      <c r="D1073" t="s">
        <v>24</v>
      </c>
      <c r="E1073" t="s">
        <v>18</v>
      </c>
      <c r="F1073" s="3">
        <v>45534</v>
      </c>
      <c r="G1073" s="3">
        <v>45541</v>
      </c>
      <c r="H1073" s="2">
        <v>5</v>
      </c>
      <c r="I1073" s="1">
        <v>1395.65</v>
      </c>
      <c r="J1073" s="1">
        <v>279.13</v>
      </c>
      <c r="K1073" t="s">
        <v>25</v>
      </c>
      <c r="L1073" t="s">
        <v>30</v>
      </c>
      <c r="M1073" s="2">
        <v>6</v>
      </c>
      <c r="N1073" t="s">
        <v>21</v>
      </c>
    </row>
    <row r="1074" spans="1:14" x14ac:dyDescent="0.3">
      <c r="A1074" t="s">
        <v>1110</v>
      </c>
      <c r="B1074" s="2">
        <v>40</v>
      </c>
      <c r="C1074" t="s">
        <v>16</v>
      </c>
      <c r="D1074" t="s">
        <v>17</v>
      </c>
      <c r="E1074" t="s">
        <v>29</v>
      </c>
      <c r="F1074" s="3">
        <v>45542</v>
      </c>
      <c r="G1074" s="3">
        <v>45813</v>
      </c>
      <c r="H1074" s="2">
        <v>8</v>
      </c>
      <c r="I1074" s="1">
        <v>1391.6</v>
      </c>
      <c r="J1074" s="1">
        <v>173.95</v>
      </c>
      <c r="K1074" t="s">
        <v>19</v>
      </c>
      <c r="L1074" t="s">
        <v>20</v>
      </c>
      <c r="M1074" s="2">
        <v>1</v>
      </c>
      <c r="N1074" t="s">
        <v>31</v>
      </c>
    </row>
    <row r="1075" spans="1:14" x14ac:dyDescent="0.3">
      <c r="A1075" t="s">
        <v>1111</v>
      </c>
      <c r="B1075" s="2">
        <v>54</v>
      </c>
      <c r="C1075" t="s">
        <v>23</v>
      </c>
      <c r="D1075" t="s">
        <v>50</v>
      </c>
      <c r="E1075" t="s">
        <v>29</v>
      </c>
      <c r="F1075" s="3">
        <v>45932</v>
      </c>
      <c r="G1075" s="3">
        <v>46200</v>
      </c>
      <c r="H1075" s="2">
        <v>5</v>
      </c>
      <c r="I1075" s="1">
        <v>1390.7</v>
      </c>
      <c r="J1075" s="1">
        <v>278.14</v>
      </c>
      <c r="K1075" t="s">
        <v>19</v>
      </c>
      <c r="L1075" t="s">
        <v>26</v>
      </c>
      <c r="M1075" s="2">
        <v>7</v>
      </c>
      <c r="N1075" t="s">
        <v>21</v>
      </c>
    </row>
    <row r="1076" spans="1:14" x14ac:dyDescent="0.3">
      <c r="A1076" t="s">
        <v>1112</v>
      </c>
      <c r="B1076" s="2">
        <v>25</v>
      </c>
      <c r="C1076" t="s">
        <v>23</v>
      </c>
      <c r="D1076" t="s">
        <v>61</v>
      </c>
      <c r="E1076" t="s">
        <v>34</v>
      </c>
      <c r="F1076" s="3">
        <v>45724</v>
      </c>
      <c r="G1076" s="3">
        <v>45751</v>
      </c>
      <c r="H1076" s="2">
        <v>10</v>
      </c>
      <c r="I1076" s="1">
        <v>1390</v>
      </c>
      <c r="J1076" s="1">
        <v>139</v>
      </c>
      <c r="K1076" t="s">
        <v>35</v>
      </c>
      <c r="L1076" t="s">
        <v>20</v>
      </c>
      <c r="M1076" s="2">
        <v>6</v>
      </c>
      <c r="N1076" t="s">
        <v>21</v>
      </c>
    </row>
    <row r="1077" spans="1:14" x14ac:dyDescent="0.3">
      <c r="A1077" t="s">
        <v>1113</v>
      </c>
      <c r="B1077" s="2">
        <v>21</v>
      </c>
      <c r="C1077" t="s">
        <v>23</v>
      </c>
      <c r="D1077" t="s">
        <v>17</v>
      </c>
      <c r="E1077" t="s">
        <v>29</v>
      </c>
      <c r="F1077" s="3">
        <v>45522</v>
      </c>
      <c r="G1077" s="3">
        <v>45675</v>
      </c>
      <c r="H1077" s="2">
        <v>23</v>
      </c>
      <c r="I1077" s="1">
        <v>1389.66</v>
      </c>
      <c r="J1077" s="1">
        <v>60.42</v>
      </c>
      <c r="K1077" t="s">
        <v>35</v>
      </c>
      <c r="L1077" t="s">
        <v>30</v>
      </c>
      <c r="M1077" s="2">
        <v>5</v>
      </c>
      <c r="N1077" t="s">
        <v>21</v>
      </c>
    </row>
    <row r="1078" spans="1:14" x14ac:dyDescent="0.3">
      <c r="A1078" t="s">
        <v>1114</v>
      </c>
      <c r="B1078" s="2">
        <v>50</v>
      </c>
      <c r="C1078" t="s">
        <v>23</v>
      </c>
      <c r="D1078" t="s">
        <v>61</v>
      </c>
      <c r="E1078" t="s">
        <v>34</v>
      </c>
      <c r="F1078" s="3">
        <v>45385</v>
      </c>
      <c r="G1078" s="3">
        <v>45644</v>
      </c>
      <c r="H1078" s="2">
        <v>5</v>
      </c>
      <c r="I1078" s="1">
        <v>1388.9</v>
      </c>
      <c r="J1078" s="1">
        <v>277.77999999999997</v>
      </c>
      <c r="K1078" t="s">
        <v>39</v>
      </c>
      <c r="L1078" t="s">
        <v>30</v>
      </c>
      <c r="M1078" s="2">
        <v>7</v>
      </c>
      <c r="N1078" t="s">
        <v>21</v>
      </c>
    </row>
    <row r="1079" spans="1:14" x14ac:dyDescent="0.3">
      <c r="A1079" t="s">
        <v>1115</v>
      </c>
      <c r="B1079" s="2">
        <v>45</v>
      </c>
      <c r="C1079" t="s">
        <v>23</v>
      </c>
      <c r="D1079" t="s">
        <v>24</v>
      </c>
      <c r="E1079" t="s">
        <v>18</v>
      </c>
      <c r="F1079" s="3">
        <v>45805</v>
      </c>
      <c r="G1079" s="3">
        <v>45826</v>
      </c>
      <c r="H1079" s="2">
        <v>11</v>
      </c>
      <c r="I1079" s="1">
        <v>1388.64</v>
      </c>
      <c r="J1079" s="1">
        <v>126.24</v>
      </c>
      <c r="K1079" t="s">
        <v>19</v>
      </c>
      <c r="L1079" t="s">
        <v>30</v>
      </c>
      <c r="M1079" s="2">
        <v>1</v>
      </c>
      <c r="N1079" t="s">
        <v>31</v>
      </c>
    </row>
    <row r="1080" spans="1:14" x14ac:dyDescent="0.3">
      <c r="A1080" t="s">
        <v>1116</v>
      </c>
      <c r="B1080" s="2">
        <v>26</v>
      </c>
      <c r="C1080" t="s">
        <v>16</v>
      </c>
      <c r="D1080" t="s">
        <v>61</v>
      </c>
      <c r="E1080" t="s">
        <v>38</v>
      </c>
      <c r="F1080" s="3">
        <v>45720</v>
      </c>
      <c r="G1080" s="3">
        <v>45930</v>
      </c>
      <c r="H1080" s="2">
        <v>7</v>
      </c>
      <c r="I1080" s="1">
        <v>1387.4</v>
      </c>
      <c r="J1080" s="1">
        <v>198.2</v>
      </c>
      <c r="K1080" t="s">
        <v>39</v>
      </c>
      <c r="L1080" t="s">
        <v>26</v>
      </c>
      <c r="M1080" s="2">
        <v>10</v>
      </c>
      <c r="N1080" t="s">
        <v>21</v>
      </c>
    </row>
    <row r="1081" spans="1:14" x14ac:dyDescent="0.3">
      <c r="A1081" t="s">
        <v>1117</v>
      </c>
      <c r="B1081" s="2">
        <v>54</v>
      </c>
      <c r="C1081" t="s">
        <v>16</v>
      </c>
      <c r="D1081" t="s">
        <v>28</v>
      </c>
      <c r="E1081" t="s">
        <v>38</v>
      </c>
      <c r="F1081" s="3">
        <v>45894</v>
      </c>
      <c r="G1081" s="3">
        <v>45905</v>
      </c>
      <c r="H1081" s="2">
        <v>11</v>
      </c>
      <c r="I1081" s="1">
        <v>1383.47</v>
      </c>
      <c r="J1081" s="1">
        <v>125.77</v>
      </c>
      <c r="K1081" t="s">
        <v>39</v>
      </c>
      <c r="L1081" t="s">
        <v>20</v>
      </c>
      <c r="M1081" s="2">
        <v>4</v>
      </c>
      <c r="N1081" t="s">
        <v>21</v>
      </c>
    </row>
    <row r="1082" spans="1:14" x14ac:dyDescent="0.3">
      <c r="A1082" t="s">
        <v>1118</v>
      </c>
      <c r="B1082" s="2">
        <v>51</v>
      </c>
      <c r="C1082" t="s">
        <v>23</v>
      </c>
      <c r="D1082" t="s">
        <v>61</v>
      </c>
      <c r="E1082" t="s">
        <v>29</v>
      </c>
      <c r="F1082" s="3">
        <v>45502</v>
      </c>
      <c r="G1082" s="3">
        <v>45506</v>
      </c>
      <c r="H1082" s="2">
        <v>10</v>
      </c>
      <c r="I1082" s="1">
        <v>1378.4</v>
      </c>
      <c r="J1082" s="1">
        <v>137.84</v>
      </c>
      <c r="K1082" t="s">
        <v>35</v>
      </c>
      <c r="L1082" t="s">
        <v>30</v>
      </c>
      <c r="M1082" s="2">
        <v>9</v>
      </c>
      <c r="N1082" t="s">
        <v>31</v>
      </c>
    </row>
    <row r="1083" spans="1:14" x14ac:dyDescent="0.3">
      <c r="A1083" t="s">
        <v>1119</v>
      </c>
      <c r="B1083" s="2">
        <v>26</v>
      </c>
      <c r="C1083" t="s">
        <v>16</v>
      </c>
      <c r="D1083" t="s">
        <v>50</v>
      </c>
      <c r="E1083" t="s">
        <v>18</v>
      </c>
      <c r="F1083" s="3">
        <v>45519</v>
      </c>
      <c r="G1083" s="3">
        <v>45584</v>
      </c>
      <c r="H1083" s="2">
        <v>23</v>
      </c>
      <c r="I1083" s="1">
        <v>1376.78</v>
      </c>
      <c r="J1083" s="1">
        <v>59.86</v>
      </c>
      <c r="K1083" t="s">
        <v>35</v>
      </c>
      <c r="L1083" t="s">
        <v>20</v>
      </c>
      <c r="M1083" s="2">
        <v>2</v>
      </c>
      <c r="N1083" t="s">
        <v>21</v>
      </c>
    </row>
    <row r="1084" spans="1:14" x14ac:dyDescent="0.3">
      <c r="A1084" t="s">
        <v>1120</v>
      </c>
      <c r="B1084" s="2">
        <v>33</v>
      </c>
      <c r="C1084" t="s">
        <v>23</v>
      </c>
      <c r="D1084" t="s">
        <v>28</v>
      </c>
      <c r="E1084" t="s">
        <v>29</v>
      </c>
      <c r="F1084" s="3">
        <v>45510</v>
      </c>
      <c r="G1084" s="3">
        <v>45694</v>
      </c>
      <c r="H1084" s="2">
        <v>15</v>
      </c>
      <c r="I1084" s="1">
        <v>1375.35</v>
      </c>
      <c r="J1084" s="1">
        <v>91.69</v>
      </c>
      <c r="K1084" t="s">
        <v>35</v>
      </c>
      <c r="L1084" t="s">
        <v>20</v>
      </c>
      <c r="M1084" s="2">
        <v>1</v>
      </c>
      <c r="N1084" t="s">
        <v>21</v>
      </c>
    </row>
    <row r="1085" spans="1:14" x14ac:dyDescent="0.3">
      <c r="A1085" t="s">
        <v>1121</v>
      </c>
      <c r="B1085" s="2">
        <v>60</v>
      </c>
      <c r="C1085" t="s">
        <v>23</v>
      </c>
      <c r="D1085" t="s">
        <v>61</v>
      </c>
      <c r="E1085" t="s">
        <v>34</v>
      </c>
      <c r="F1085" s="3">
        <v>45457</v>
      </c>
      <c r="G1085" s="3">
        <v>45501</v>
      </c>
      <c r="H1085" s="2">
        <v>19</v>
      </c>
      <c r="I1085" s="1">
        <v>1373.7</v>
      </c>
      <c r="J1085" s="1">
        <v>72.3</v>
      </c>
      <c r="K1085" t="s">
        <v>35</v>
      </c>
      <c r="L1085" t="s">
        <v>30</v>
      </c>
      <c r="M1085" s="2">
        <v>3</v>
      </c>
      <c r="N1085" t="s">
        <v>21</v>
      </c>
    </row>
    <row r="1086" spans="1:14" x14ac:dyDescent="0.3">
      <c r="A1086" t="s">
        <v>1122</v>
      </c>
      <c r="B1086" s="2">
        <v>59</v>
      </c>
      <c r="C1086" t="s">
        <v>23</v>
      </c>
      <c r="D1086" t="s">
        <v>28</v>
      </c>
      <c r="E1086" t="s">
        <v>38</v>
      </c>
      <c r="F1086" s="3">
        <v>45401</v>
      </c>
      <c r="G1086" s="3">
        <v>45465</v>
      </c>
      <c r="H1086" s="2">
        <v>16</v>
      </c>
      <c r="I1086" s="1">
        <v>1362.4</v>
      </c>
      <c r="J1086" s="1">
        <v>85.15</v>
      </c>
      <c r="K1086" t="s">
        <v>25</v>
      </c>
      <c r="L1086" t="s">
        <v>30</v>
      </c>
      <c r="M1086" s="2">
        <v>7</v>
      </c>
      <c r="N1086" t="s">
        <v>21</v>
      </c>
    </row>
    <row r="1087" spans="1:14" x14ac:dyDescent="0.3">
      <c r="A1087" t="s">
        <v>1123</v>
      </c>
      <c r="B1087" s="2">
        <v>57</v>
      </c>
      <c r="C1087" t="s">
        <v>23</v>
      </c>
      <c r="D1087" t="s">
        <v>42</v>
      </c>
      <c r="E1087" t="s">
        <v>38</v>
      </c>
      <c r="F1087" s="3">
        <v>45992</v>
      </c>
      <c r="G1087" s="3">
        <v>46230</v>
      </c>
      <c r="H1087" s="2">
        <v>16</v>
      </c>
      <c r="I1087" s="1">
        <v>1357.92</v>
      </c>
      <c r="J1087" s="1">
        <v>84.87</v>
      </c>
      <c r="K1087" t="s">
        <v>25</v>
      </c>
      <c r="L1087" t="s">
        <v>20</v>
      </c>
      <c r="M1087" s="2">
        <v>6</v>
      </c>
      <c r="N1087" t="s">
        <v>21</v>
      </c>
    </row>
    <row r="1088" spans="1:14" x14ac:dyDescent="0.3">
      <c r="A1088" t="s">
        <v>1124</v>
      </c>
      <c r="B1088" s="2">
        <v>38</v>
      </c>
      <c r="C1088" t="s">
        <v>16</v>
      </c>
      <c r="D1088" t="s">
        <v>44</v>
      </c>
      <c r="E1088" t="s">
        <v>18</v>
      </c>
      <c r="F1088" s="3">
        <v>45771</v>
      </c>
      <c r="G1088" s="3">
        <v>45896</v>
      </c>
      <c r="H1088" s="2">
        <v>24</v>
      </c>
      <c r="I1088" s="1">
        <v>1357.44</v>
      </c>
      <c r="J1088" s="1">
        <v>56.56</v>
      </c>
      <c r="K1088" t="s">
        <v>39</v>
      </c>
      <c r="L1088" t="s">
        <v>30</v>
      </c>
      <c r="M1088" s="2">
        <v>1</v>
      </c>
      <c r="N1088" t="s">
        <v>21</v>
      </c>
    </row>
    <row r="1089" spans="1:14" x14ac:dyDescent="0.3">
      <c r="A1089" t="s">
        <v>1125</v>
      </c>
      <c r="B1089" s="2">
        <v>49</v>
      </c>
      <c r="C1089" t="s">
        <v>16</v>
      </c>
      <c r="D1089" t="s">
        <v>50</v>
      </c>
      <c r="E1089" t="s">
        <v>34</v>
      </c>
      <c r="F1089" s="3">
        <v>45466</v>
      </c>
      <c r="G1089" s="3">
        <v>45515</v>
      </c>
      <c r="H1089" s="2">
        <v>8</v>
      </c>
      <c r="I1089" s="1">
        <v>1357.04</v>
      </c>
      <c r="J1089" s="1">
        <v>169.63</v>
      </c>
      <c r="K1089" t="s">
        <v>45</v>
      </c>
      <c r="L1089" t="s">
        <v>20</v>
      </c>
      <c r="M1089" s="2">
        <v>6</v>
      </c>
      <c r="N1089" t="s">
        <v>21</v>
      </c>
    </row>
    <row r="1090" spans="1:14" x14ac:dyDescent="0.3">
      <c r="A1090" t="s">
        <v>1126</v>
      </c>
      <c r="B1090" s="2">
        <v>24</v>
      </c>
      <c r="C1090" t="s">
        <v>16</v>
      </c>
      <c r="D1090" t="s">
        <v>28</v>
      </c>
      <c r="E1090" t="s">
        <v>18</v>
      </c>
      <c r="F1090" s="3">
        <v>45347</v>
      </c>
      <c r="G1090" s="3">
        <v>45361</v>
      </c>
      <c r="H1090" s="2">
        <v>5</v>
      </c>
      <c r="I1090" s="1">
        <v>1356.15</v>
      </c>
      <c r="J1090" s="1">
        <v>271.23</v>
      </c>
      <c r="K1090" t="s">
        <v>25</v>
      </c>
      <c r="L1090" t="s">
        <v>20</v>
      </c>
      <c r="M1090" s="2">
        <v>8</v>
      </c>
      <c r="N1090" t="s">
        <v>21</v>
      </c>
    </row>
    <row r="1091" spans="1:14" x14ac:dyDescent="0.3">
      <c r="A1091" t="s">
        <v>1127</v>
      </c>
      <c r="B1091" s="2">
        <v>35</v>
      </c>
      <c r="C1091" t="s">
        <v>23</v>
      </c>
      <c r="D1091" t="s">
        <v>17</v>
      </c>
      <c r="E1091" t="s">
        <v>38</v>
      </c>
      <c r="F1091" s="3">
        <v>45448</v>
      </c>
      <c r="G1091" s="3">
        <v>45670</v>
      </c>
      <c r="H1091" s="2">
        <v>6</v>
      </c>
      <c r="I1091" s="1">
        <v>1352.76</v>
      </c>
      <c r="J1091" s="1">
        <v>225.46</v>
      </c>
      <c r="K1091" t="s">
        <v>19</v>
      </c>
      <c r="L1091" t="s">
        <v>26</v>
      </c>
      <c r="M1091" s="2">
        <v>6</v>
      </c>
      <c r="N1091" t="s">
        <v>21</v>
      </c>
    </row>
    <row r="1092" spans="1:14" x14ac:dyDescent="0.3">
      <c r="A1092" t="s">
        <v>1128</v>
      </c>
      <c r="B1092" s="2">
        <v>30</v>
      </c>
      <c r="C1092" t="s">
        <v>16</v>
      </c>
      <c r="D1092" t="s">
        <v>61</v>
      </c>
      <c r="E1092" t="s">
        <v>29</v>
      </c>
      <c r="F1092" s="3">
        <v>45447</v>
      </c>
      <c r="G1092" s="3">
        <v>45695</v>
      </c>
      <c r="H1092" s="2">
        <v>6</v>
      </c>
      <c r="I1092" s="1">
        <v>1352.4</v>
      </c>
      <c r="J1092" s="1">
        <v>225.4</v>
      </c>
      <c r="K1092" t="s">
        <v>39</v>
      </c>
      <c r="L1092" t="s">
        <v>26</v>
      </c>
      <c r="M1092" s="2">
        <v>2</v>
      </c>
      <c r="N1092" t="s">
        <v>21</v>
      </c>
    </row>
    <row r="1093" spans="1:14" x14ac:dyDescent="0.3">
      <c r="A1093" t="s">
        <v>1129</v>
      </c>
      <c r="B1093" s="2">
        <v>36</v>
      </c>
      <c r="C1093" t="s">
        <v>16</v>
      </c>
      <c r="D1093" t="s">
        <v>28</v>
      </c>
      <c r="E1093" t="s">
        <v>29</v>
      </c>
      <c r="F1093" s="3">
        <v>45773</v>
      </c>
      <c r="G1093" s="3">
        <v>45966</v>
      </c>
      <c r="H1093" s="2">
        <v>10</v>
      </c>
      <c r="I1093" s="1">
        <v>1351.3</v>
      </c>
      <c r="J1093" s="1">
        <v>135.13</v>
      </c>
      <c r="K1093" t="s">
        <v>39</v>
      </c>
      <c r="L1093" t="s">
        <v>26</v>
      </c>
      <c r="M1093" s="2">
        <v>4</v>
      </c>
      <c r="N1093" t="s">
        <v>21</v>
      </c>
    </row>
    <row r="1094" spans="1:14" x14ac:dyDescent="0.3">
      <c r="A1094" t="s">
        <v>1130</v>
      </c>
      <c r="B1094" s="2">
        <v>18</v>
      </c>
      <c r="C1094" t="s">
        <v>23</v>
      </c>
      <c r="D1094" t="s">
        <v>61</v>
      </c>
      <c r="E1094" t="s">
        <v>38</v>
      </c>
      <c r="F1094" s="3">
        <v>45630</v>
      </c>
      <c r="G1094" s="3">
        <v>45636</v>
      </c>
      <c r="H1094" s="2">
        <v>9</v>
      </c>
      <c r="I1094" s="1">
        <v>1350.81</v>
      </c>
      <c r="J1094" s="1">
        <v>150.09</v>
      </c>
      <c r="K1094" t="s">
        <v>19</v>
      </c>
      <c r="L1094" t="s">
        <v>20</v>
      </c>
      <c r="M1094" s="2">
        <v>6</v>
      </c>
      <c r="N1094" t="s">
        <v>21</v>
      </c>
    </row>
    <row r="1095" spans="1:14" x14ac:dyDescent="0.3">
      <c r="A1095" t="s">
        <v>1131</v>
      </c>
      <c r="B1095" s="2">
        <v>29</v>
      </c>
      <c r="C1095" t="s">
        <v>16</v>
      </c>
      <c r="D1095" t="s">
        <v>28</v>
      </c>
      <c r="E1095" t="s">
        <v>34</v>
      </c>
      <c r="F1095" s="3">
        <v>45759</v>
      </c>
      <c r="G1095" s="3">
        <v>45910</v>
      </c>
      <c r="H1095" s="2">
        <v>9</v>
      </c>
      <c r="I1095" s="1">
        <v>1350</v>
      </c>
      <c r="J1095" s="1">
        <v>150</v>
      </c>
      <c r="K1095" t="s">
        <v>45</v>
      </c>
      <c r="L1095" t="s">
        <v>20</v>
      </c>
      <c r="M1095" s="2">
        <v>6</v>
      </c>
      <c r="N1095" t="s">
        <v>31</v>
      </c>
    </row>
    <row r="1096" spans="1:14" x14ac:dyDescent="0.3">
      <c r="A1096" t="s">
        <v>1132</v>
      </c>
      <c r="B1096" s="2">
        <v>46</v>
      </c>
      <c r="C1096" t="s">
        <v>23</v>
      </c>
      <c r="D1096" t="s">
        <v>61</v>
      </c>
      <c r="E1096" t="s">
        <v>29</v>
      </c>
      <c r="F1096" s="3">
        <v>45588</v>
      </c>
      <c r="G1096" s="3">
        <v>45734</v>
      </c>
      <c r="H1096" s="2">
        <v>19</v>
      </c>
      <c r="I1096" s="1">
        <v>1347.1</v>
      </c>
      <c r="J1096" s="1">
        <v>70.900000000000006</v>
      </c>
      <c r="K1096" t="s">
        <v>35</v>
      </c>
      <c r="L1096" t="s">
        <v>20</v>
      </c>
      <c r="M1096" s="2">
        <v>10</v>
      </c>
      <c r="N1096" t="s">
        <v>31</v>
      </c>
    </row>
    <row r="1097" spans="1:14" x14ac:dyDescent="0.3">
      <c r="A1097" t="s">
        <v>1133</v>
      </c>
      <c r="B1097" s="2">
        <v>38</v>
      </c>
      <c r="C1097" t="s">
        <v>16</v>
      </c>
      <c r="D1097" t="s">
        <v>24</v>
      </c>
      <c r="E1097" t="s">
        <v>18</v>
      </c>
      <c r="F1097" s="3">
        <v>45491</v>
      </c>
      <c r="G1097" s="3">
        <v>45652</v>
      </c>
      <c r="H1097" s="2">
        <v>10</v>
      </c>
      <c r="I1097" s="1">
        <v>1344.3</v>
      </c>
      <c r="J1097" s="1">
        <v>134.43</v>
      </c>
      <c r="K1097" t="s">
        <v>25</v>
      </c>
      <c r="L1097" t="s">
        <v>20</v>
      </c>
      <c r="M1097" s="2">
        <v>1</v>
      </c>
      <c r="N1097" t="s">
        <v>21</v>
      </c>
    </row>
    <row r="1098" spans="1:14" x14ac:dyDescent="0.3">
      <c r="A1098" t="s">
        <v>1134</v>
      </c>
      <c r="B1098" s="2">
        <v>28</v>
      </c>
      <c r="C1098" t="s">
        <v>23</v>
      </c>
      <c r="D1098" t="s">
        <v>28</v>
      </c>
      <c r="E1098" t="s">
        <v>29</v>
      </c>
      <c r="F1098" s="3">
        <v>45962</v>
      </c>
      <c r="G1098" s="3">
        <v>45987</v>
      </c>
      <c r="H1098" s="2">
        <v>17</v>
      </c>
      <c r="I1098" s="1">
        <v>1341.81</v>
      </c>
      <c r="J1098" s="1">
        <v>78.930000000000007</v>
      </c>
      <c r="K1098" t="s">
        <v>45</v>
      </c>
      <c r="L1098" t="s">
        <v>30</v>
      </c>
      <c r="M1098" s="2">
        <v>6</v>
      </c>
      <c r="N1098" t="s">
        <v>21</v>
      </c>
    </row>
    <row r="1099" spans="1:14" x14ac:dyDescent="0.3">
      <c r="A1099" t="s">
        <v>1135</v>
      </c>
      <c r="B1099" s="2">
        <v>35</v>
      </c>
      <c r="C1099" t="s">
        <v>23</v>
      </c>
      <c r="D1099" t="s">
        <v>61</v>
      </c>
      <c r="E1099" t="s">
        <v>29</v>
      </c>
      <c r="F1099" s="3">
        <v>45877</v>
      </c>
      <c r="G1099" s="3">
        <v>46049</v>
      </c>
      <c r="H1099" s="2">
        <v>25</v>
      </c>
      <c r="I1099" s="1">
        <v>1341.25</v>
      </c>
      <c r="J1099" s="1">
        <v>53.65</v>
      </c>
      <c r="K1099" t="s">
        <v>25</v>
      </c>
      <c r="L1099" t="s">
        <v>20</v>
      </c>
      <c r="M1099" s="2">
        <v>5</v>
      </c>
      <c r="N1099" t="s">
        <v>21</v>
      </c>
    </row>
    <row r="1100" spans="1:14" x14ac:dyDescent="0.3">
      <c r="A1100" t="s">
        <v>1136</v>
      </c>
      <c r="B1100" s="2">
        <v>59</v>
      </c>
      <c r="C1100" t="s">
        <v>23</v>
      </c>
      <c r="D1100" t="s">
        <v>17</v>
      </c>
      <c r="E1100" t="s">
        <v>34</v>
      </c>
      <c r="F1100" s="3">
        <v>45888</v>
      </c>
      <c r="G1100" s="3">
        <v>45913</v>
      </c>
      <c r="H1100" s="2">
        <v>5</v>
      </c>
      <c r="I1100" s="1">
        <v>1340.55</v>
      </c>
      <c r="J1100" s="1">
        <v>268.11</v>
      </c>
      <c r="K1100" t="s">
        <v>39</v>
      </c>
      <c r="L1100" t="s">
        <v>26</v>
      </c>
      <c r="M1100" s="2">
        <v>5</v>
      </c>
      <c r="N1100" t="s">
        <v>21</v>
      </c>
    </row>
    <row r="1101" spans="1:14" x14ac:dyDescent="0.3">
      <c r="A1101" t="s">
        <v>1137</v>
      </c>
      <c r="B1101" s="2">
        <v>20</v>
      </c>
      <c r="C1101" t="s">
        <v>16</v>
      </c>
      <c r="D1101" t="s">
        <v>24</v>
      </c>
      <c r="E1101" t="s">
        <v>29</v>
      </c>
      <c r="F1101" s="3">
        <v>45567</v>
      </c>
      <c r="G1101" s="3">
        <v>45828</v>
      </c>
      <c r="H1101" s="2">
        <v>14</v>
      </c>
      <c r="I1101" s="1">
        <v>1340.08</v>
      </c>
      <c r="J1101" s="1">
        <v>95.72</v>
      </c>
      <c r="K1101" t="s">
        <v>19</v>
      </c>
      <c r="L1101" t="s">
        <v>20</v>
      </c>
      <c r="M1101" s="2">
        <v>7</v>
      </c>
      <c r="N1101" t="s">
        <v>21</v>
      </c>
    </row>
    <row r="1102" spans="1:14" x14ac:dyDescent="0.3">
      <c r="A1102" t="s">
        <v>1138</v>
      </c>
      <c r="B1102" s="2">
        <v>31</v>
      </c>
      <c r="C1102" t="s">
        <v>23</v>
      </c>
      <c r="D1102" t="s">
        <v>28</v>
      </c>
      <c r="E1102" t="s">
        <v>38</v>
      </c>
      <c r="F1102" s="3">
        <v>45399</v>
      </c>
      <c r="G1102" s="3">
        <v>45441</v>
      </c>
      <c r="H1102" s="2">
        <v>6</v>
      </c>
      <c r="I1102" s="1">
        <v>1339.86</v>
      </c>
      <c r="J1102" s="1">
        <v>223.31</v>
      </c>
      <c r="K1102" t="s">
        <v>19</v>
      </c>
      <c r="L1102" t="s">
        <v>30</v>
      </c>
      <c r="M1102" s="2">
        <v>2</v>
      </c>
      <c r="N1102" t="s">
        <v>21</v>
      </c>
    </row>
    <row r="1103" spans="1:14" x14ac:dyDescent="0.3">
      <c r="A1103" t="s">
        <v>1139</v>
      </c>
      <c r="B1103" s="2">
        <v>42</v>
      </c>
      <c r="C1103" t="s">
        <v>23</v>
      </c>
      <c r="D1103" t="s">
        <v>28</v>
      </c>
      <c r="E1103" t="s">
        <v>34</v>
      </c>
      <c r="F1103" s="3">
        <v>45639</v>
      </c>
      <c r="G1103" s="3">
        <v>45878</v>
      </c>
      <c r="H1103" s="2">
        <v>5</v>
      </c>
      <c r="I1103" s="1">
        <v>1336.45</v>
      </c>
      <c r="J1103" s="1">
        <v>267.29000000000002</v>
      </c>
      <c r="K1103" t="s">
        <v>35</v>
      </c>
      <c r="L1103" t="s">
        <v>30</v>
      </c>
      <c r="M1103" s="2">
        <v>10</v>
      </c>
      <c r="N1103" t="s">
        <v>21</v>
      </c>
    </row>
    <row r="1104" spans="1:14" x14ac:dyDescent="0.3">
      <c r="A1104" t="s">
        <v>1140</v>
      </c>
      <c r="B1104" s="2">
        <v>38</v>
      </c>
      <c r="C1104" t="s">
        <v>23</v>
      </c>
      <c r="D1104" t="s">
        <v>44</v>
      </c>
      <c r="E1104" t="s">
        <v>34</v>
      </c>
      <c r="F1104" s="3">
        <v>45578</v>
      </c>
      <c r="G1104" s="3">
        <v>45799</v>
      </c>
      <c r="H1104" s="2">
        <v>7</v>
      </c>
      <c r="I1104" s="1">
        <v>1336.44</v>
      </c>
      <c r="J1104" s="1">
        <v>190.92</v>
      </c>
      <c r="K1104" t="s">
        <v>35</v>
      </c>
      <c r="L1104" t="s">
        <v>26</v>
      </c>
      <c r="M1104" s="2">
        <v>4</v>
      </c>
      <c r="N1104" t="s">
        <v>21</v>
      </c>
    </row>
    <row r="1105" spans="1:14" x14ac:dyDescent="0.3">
      <c r="A1105" t="s">
        <v>1141</v>
      </c>
      <c r="B1105" s="2">
        <v>47</v>
      </c>
      <c r="C1105" t="s">
        <v>16</v>
      </c>
      <c r="D1105" t="s">
        <v>28</v>
      </c>
      <c r="E1105" t="s">
        <v>18</v>
      </c>
      <c r="F1105" s="3">
        <v>45312</v>
      </c>
      <c r="G1105" s="3">
        <v>45412</v>
      </c>
      <c r="H1105" s="2">
        <v>13</v>
      </c>
      <c r="I1105" s="1">
        <v>1335.75</v>
      </c>
      <c r="J1105" s="1">
        <v>102.75</v>
      </c>
      <c r="K1105" t="s">
        <v>25</v>
      </c>
      <c r="L1105" t="s">
        <v>30</v>
      </c>
      <c r="M1105" s="2">
        <v>4</v>
      </c>
      <c r="N1105" t="s">
        <v>21</v>
      </c>
    </row>
    <row r="1106" spans="1:14" x14ac:dyDescent="0.3">
      <c r="A1106" t="s">
        <v>1142</v>
      </c>
      <c r="B1106" s="2">
        <v>60</v>
      </c>
      <c r="C1106" t="s">
        <v>23</v>
      </c>
      <c r="D1106" t="s">
        <v>17</v>
      </c>
      <c r="E1106" t="s">
        <v>29</v>
      </c>
      <c r="F1106" s="3">
        <v>45955</v>
      </c>
      <c r="G1106" s="3">
        <v>46018</v>
      </c>
      <c r="H1106" s="2">
        <v>12</v>
      </c>
      <c r="I1106" s="1">
        <v>1332.36</v>
      </c>
      <c r="J1106" s="1">
        <v>111.03</v>
      </c>
      <c r="K1106" t="s">
        <v>25</v>
      </c>
      <c r="L1106" t="s">
        <v>30</v>
      </c>
      <c r="M1106" s="2">
        <v>7</v>
      </c>
      <c r="N1106" t="s">
        <v>21</v>
      </c>
    </row>
    <row r="1107" spans="1:14" x14ac:dyDescent="0.3">
      <c r="A1107" t="s">
        <v>1143</v>
      </c>
      <c r="B1107" s="2">
        <v>57</v>
      </c>
      <c r="C1107" t="s">
        <v>23</v>
      </c>
      <c r="D1107" t="s">
        <v>61</v>
      </c>
      <c r="E1107" t="s">
        <v>18</v>
      </c>
      <c r="F1107" s="3">
        <v>45510</v>
      </c>
      <c r="G1107" s="3">
        <v>45679</v>
      </c>
      <c r="H1107" s="2">
        <v>11</v>
      </c>
      <c r="I1107" s="1">
        <v>1331.22</v>
      </c>
      <c r="J1107" s="1">
        <v>121.02</v>
      </c>
      <c r="K1107" t="s">
        <v>39</v>
      </c>
      <c r="L1107" t="s">
        <v>20</v>
      </c>
      <c r="M1107" s="2">
        <v>6</v>
      </c>
      <c r="N1107" t="s">
        <v>21</v>
      </c>
    </row>
    <row r="1108" spans="1:14" x14ac:dyDescent="0.3">
      <c r="A1108" t="s">
        <v>1144</v>
      </c>
      <c r="B1108" s="2">
        <v>28</v>
      </c>
      <c r="C1108" t="s">
        <v>23</v>
      </c>
      <c r="D1108" t="s">
        <v>44</v>
      </c>
      <c r="E1108" t="s">
        <v>29</v>
      </c>
      <c r="F1108" s="3">
        <v>45941</v>
      </c>
      <c r="G1108" s="3">
        <v>46045</v>
      </c>
      <c r="H1108" s="2">
        <v>14</v>
      </c>
      <c r="I1108" s="1">
        <v>1326.36</v>
      </c>
      <c r="J1108" s="1">
        <v>94.74</v>
      </c>
      <c r="K1108" t="s">
        <v>35</v>
      </c>
      <c r="L1108" t="s">
        <v>30</v>
      </c>
      <c r="M1108" s="2">
        <v>2</v>
      </c>
      <c r="N1108" t="s">
        <v>21</v>
      </c>
    </row>
    <row r="1109" spans="1:14" x14ac:dyDescent="0.3">
      <c r="A1109" t="s">
        <v>1145</v>
      </c>
      <c r="B1109" s="2">
        <v>56</v>
      </c>
      <c r="C1109" t="s">
        <v>23</v>
      </c>
      <c r="D1109" t="s">
        <v>42</v>
      </c>
      <c r="E1109" t="s">
        <v>18</v>
      </c>
      <c r="F1109" s="3">
        <v>45704</v>
      </c>
      <c r="G1109" s="3">
        <v>45774</v>
      </c>
      <c r="H1109" s="2">
        <v>14</v>
      </c>
      <c r="I1109" s="1">
        <v>1323.84</v>
      </c>
      <c r="J1109" s="1">
        <v>94.56</v>
      </c>
      <c r="K1109" t="s">
        <v>35</v>
      </c>
      <c r="L1109" t="s">
        <v>30</v>
      </c>
      <c r="M1109" s="2">
        <v>5</v>
      </c>
      <c r="N1109" t="s">
        <v>31</v>
      </c>
    </row>
    <row r="1110" spans="1:14" x14ac:dyDescent="0.3">
      <c r="A1110" t="s">
        <v>1146</v>
      </c>
      <c r="B1110" s="2">
        <v>38</v>
      </c>
      <c r="C1110" t="s">
        <v>23</v>
      </c>
      <c r="D1110" t="s">
        <v>17</v>
      </c>
      <c r="E1110" t="s">
        <v>18</v>
      </c>
      <c r="F1110" s="3">
        <v>45869</v>
      </c>
      <c r="G1110" s="3">
        <v>46130</v>
      </c>
      <c r="H1110" s="2">
        <v>20</v>
      </c>
      <c r="I1110" s="1">
        <v>1318.6</v>
      </c>
      <c r="J1110" s="1">
        <v>65.930000000000007</v>
      </c>
      <c r="K1110" t="s">
        <v>19</v>
      </c>
      <c r="L1110" t="s">
        <v>30</v>
      </c>
      <c r="M1110" s="2">
        <v>2</v>
      </c>
      <c r="N1110" t="s">
        <v>21</v>
      </c>
    </row>
    <row r="1111" spans="1:14" x14ac:dyDescent="0.3">
      <c r="A1111" t="s">
        <v>1147</v>
      </c>
      <c r="B1111" s="2">
        <v>52</v>
      </c>
      <c r="C1111" t="s">
        <v>23</v>
      </c>
      <c r="D1111" t="s">
        <v>17</v>
      </c>
      <c r="E1111" t="s">
        <v>34</v>
      </c>
      <c r="F1111" s="3">
        <v>45673</v>
      </c>
      <c r="G1111" s="3">
        <v>45948</v>
      </c>
      <c r="H1111" s="2">
        <v>5</v>
      </c>
      <c r="I1111" s="1">
        <v>1317.6</v>
      </c>
      <c r="J1111" s="1">
        <v>263.52</v>
      </c>
      <c r="K1111" t="s">
        <v>39</v>
      </c>
      <c r="L1111" t="s">
        <v>30</v>
      </c>
      <c r="M1111" s="2">
        <v>10</v>
      </c>
      <c r="N1111" t="s">
        <v>21</v>
      </c>
    </row>
    <row r="1112" spans="1:14" x14ac:dyDescent="0.3">
      <c r="A1112" t="s">
        <v>1148</v>
      </c>
      <c r="B1112" s="2">
        <v>53</v>
      </c>
      <c r="C1112" t="s">
        <v>16</v>
      </c>
      <c r="D1112" t="s">
        <v>28</v>
      </c>
      <c r="E1112" t="s">
        <v>34</v>
      </c>
      <c r="F1112" s="3">
        <v>45940</v>
      </c>
      <c r="G1112" s="3">
        <v>45941</v>
      </c>
      <c r="H1112" s="2">
        <v>11</v>
      </c>
      <c r="I1112" s="1">
        <v>1317.03</v>
      </c>
      <c r="J1112" s="1">
        <v>119.73</v>
      </c>
      <c r="K1112" t="s">
        <v>45</v>
      </c>
      <c r="L1112" t="s">
        <v>26</v>
      </c>
      <c r="M1112" s="2">
        <v>6</v>
      </c>
      <c r="N1112" t="s">
        <v>21</v>
      </c>
    </row>
    <row r="1113" spans="1:14" x14ac:dyDescent="0.3">
      <c r="A1113" t="s">
        <v>1149</v>
      </c>
      <c r="B1113" s="2">
        <v>59</v>
      </c>
      <c r="C1113" t="s">
        <v>23</v>
      </c>
      <c r="D1113" t="s">
        <v>50</v>
      </c>
      <c r="E1113" t="s">
        <v>18</v>
      </c>
      <c r="F1113" s="3">
        <v>45375</v>
      </c>
      <c r="G1113" s="3">
        <v>45673</v>
      </c>
      <c r="H1113" s="2">
        <v>22</v>
      </c>
      <c r="I1113" s="1">
        <v>1311.2</v>
      </c>
      <c r="J1113" s="1">
        <v>59.6</v>
      </c>
      <c r="K1113" t="s">
        <v>45</v>
      </c>
      <c r="L1113" t="s">
        <v>20</v>
      </c>
      <c r="M1113" s="2">
        <v>7</v>
      </c>
      <c r="N1113" t="s">
        <v>21</v>
      </c>
    </row>
    <row r="1114" spans="1:14" x14ac:dyDescent="0.3">
      <c r="A1114" t="s">
        <v>1150</v>
      </c>
      <c r="B1114" s="2">
        <v>31</v>
      </c>
      <c r="C1114" t="s">
        <v>23</v>
      </c>
      <c r="D1114" t="s">
        <v>28</v>
      </c>
      <c r="E1114" t="s">
        <v>18</v>
      </c>
      <c r="F1114" s="3">
        <v>45341</v>
      </c>
      <c r="G1114" s="3">
        <v>45345</v>
      </c>
      <c r="H1114" s="2">
        <v>13</v>
      </c>
      <c r="I1114" s="1">
        <v>1307.8</v>
      </c>
      <c r="J1114" s="1">
        <v>100.6</v>
      </c>
      <c r="K1114" t="s">
        <v>25</v>
      </c>
      <c r="L1114" t="s">
        <v>20</v>
      </c>
      <c r="M1114" s="2">
        <v>10</v>
      </c>
      <c r="N1114" t="s">
        <v>21</v>
      </c>
    </row>
    <row r="1115" spans="1:14" x14ac:dyDescent="0.3">
      <c r="A1115" t="s">
        <v>1151</v>
      </c>
      <c r="B1115" s="2">
        <v>37</v>
      </c>
      <c r="C1115" t="s">
        <v>23</v>
      </c>
      <c r="D1115" t="s">
        <v>17</v>
      </c>
      <c r="E1115" t="s">
        <v>34</v>
      </c>
      <c r="F1115" s="3">
        <v>45343</v>
      </c>
      <c r="G1115" s="3">
        <v>45510</v>
      </c>
      <c r="H1115" s="2">
        <v>14</v>
      </c>
      <c r="I1115" s="1">
        <v>1307.5999999999999</v>
      </c>
      <c r="J1115" s="1">
        <v>93.4</v>
      </c>
      <c r="K1115" t="s">
        <v>35</v>
      </c>
      <c r="L1115" t="s">
        <v>26</v>
      </c>
      <c r="M1115" s="2">
        <v>6</v>
      </c>
      <c r="N1115" t="s">
        <v>31</v>
      </c>
    </row>
    <row r="1116" spans="1:14" x14ac:dyDescent="0.3">
      <c r="A1116" t="s">
        <v>1152</v>
      </c>
      <c r="B1116" s="2">
        <v>35</v>
      </c>
      <c r="C1116" t="s">
        <v>23</v>
      </c>
      <c r="D1116" t="s">
        <v>28</v>
      </c>
      <c r="E1116" t="s">
        <v>34</v>
      </c>
      <c r="F1116" s="3">
        <v>45558</v>
      </c>
      <c r="G1116" s="3">
        <v>45559</v>
      </c>
      <c r="H1116" s="2">
        <v>19</v>
      </c>
      <c r="I1116" s="1">
        <v>1304.1600000000001</v>
      </c>
      <c r="J1116" s="1">
        <v>68.64</v>
      </c>
      <c r="K1116" t="s">
        <v>45</v>
      </c>
      <c r="L1116" t="s">
        <v>26</v>
      </c>
      <c r="M1116" s="2">
        <v>2</v>
      </c>
      <c r="N1116" t="s">
        <v>21</v>
      </c>
    </row>
    <row r="1117" spans="1:14" x14ac:dyDescent="0.3">
      <c r="A1117" t="s">
        <v>1153</v>
      </c>
      <c r="B1117" s="2">
        <v>53</v>
      </c>
      <c r="C1117" t="s">
        <v>16</v>
      </c>
      <c r="D1117" t="s">
        <v>44</v>
      </c>
      <c r="E1117" t="s">
        <v>18</v>
      </c>
      <c r="F1117" s="3">
        <v>45766</v>
      </c>
      <c r="G1117" s="3">
        <v>46006</v>
      </c>
      <c r="H1117" s="2">
        <v>6</v>
      </c>
      <c r="I1117" s="1">
        <v>1302.6600000000001</v>
      </c>
      <c r="J1117" s="1">
        <v>217.11</v>
      </c>
      <c r="K1117" t="s">
        <v>45</v>
      </c>
      <c r="L1117" t="s">
        <v>30</v>
      </c>
      <c r="M1117" s="2">
        <v>8</v>
      </c>
      <c r="N1117" t="s">
        <v>31</v>
      </c>
    </row>
    <row r="1118" spans="1:14" x14ac:dyDescent="0.3">
      <c r="A1118" t="s">
        <v>1154</v>
      </c>
      <c r="B1118" s="2">
        <v>29</v>
      </c>
      <c r="C1118" t="s">
        <v>16</v>
      </c>
      <c r="D1118" t="s">
        <v>17</v>
      </c>
      <c r="E1118" t="s">
        <v>34</v>
      </c>
      <c r="F1118" s="3">
        <v>45444</v>
      </c>
      <c r="G1118" s="3">
        <v>45594</v>
      </c>
      <c r="H1118" s="2">
        <v>5</v>
      </c>
      <c r="I1118" s="1">
        <v>1301.9000000000001</v>
      </c>
      <c r="J1118" s="1">
        <v>260.38</v>
      </c>
      <c r="K1118" t="s">
        <v>25</v>
      </c>
      <c r="L1118" t="s">
        <v>20</v>
      </c>
      <c r="M1118" s="2">
        <v>2</v>
      </c>
      <c r="N1118" t="s">
        <v>21</v>
      </c>
    </row>
    <row r="1119" spans="1:14" x14ac:dyDescent="0.3">
      <c r="A1119" t="s">
        <v>1155</v>
      </c>
      <c r="B1119" s="2">
        <v>21</v>
      </c>
      <c r="C1119" t="s">
        <v>23</v>
      </c>
      <c r="D1119" t="s">
        <v>28</v>
      </c>
      <c r="E1119" t="s">
        <v>29</v>
      </c>
      <c r="F1119" s="3">
        <v>45461</v>
      </c>
      <c r="G1119" s="3">
        <v>45681</v>
      </c>
      <c r="H1119" s="2">
        <v>22</v>
      </c>
      <c r="I1119" s="1">
        <v>1299.76</v>
      </c>
      <c r="J1119" s="1">
        <v>59.08</v>
      </c>
      <c r="K1119" t="s">
        <v>39</v>
      </c>
      <c r="L1119" t="s">
        <v>30</v>
      </c>
      <c r="M1119" s="2">
        <v>7</v>
      </c>
      <c r="N1119" t="s">
        <v>21</v>
      </c>
    </row>
    <row r="1120" spans="1:14" x14ac:dyDescent="0.3">
      <c r="A1120" t="s">
        <v>1156</v>
      </c>
      <c r="B1120" s="2">
        <v>18</v>
      </c>
      <c r="C1120" t="s">
        <v>23</v>
      </c>
      <c r="D1120" t="s">
        <v>17</v>
      </c>
      <c r="E1120" t="s">
        <v>38</v>
      </c>
      <c r="F1120" s="3">
        <v>45841</v>
      </c>
      <c r="G1120" s="3">
        <v>46066</v>
      </c>
      <c r="H1120" s="2">
        <v>5</v>
      </c>
      <c r="I1120" s="1">
        <v>1299.7</v>
      </c>
      <c r="J1120" s="1">
        <v>259.94</v>
      </c>
      <c r="K1120" t="s">
        <v>45</v>
      </c>
      <c r="L1120" t="s">
        <v>30</v>
      </c>
      <c r="M1120" s="2">
        <v>6</v>
      </c>
      <c r="N1120" t="s">
        <v>21</v>
      </c>
    </row>
    <row r="1121" spans="1:14" x14ac:dyDescent="0.3">
      <c r="A1121" t="s">
        <v>1157</v>
      </c>
      <c r="B1121" s="2">
        <v>28</v>
      </c>
      <c r="C1121" t="s">
        <v>16</v>
      </c>
      <c r="D1121" t="s">
        <v>17</v>
      </c>
      <c r="E1121" t="s">
        <v>18</v>
      </c>
      <c r="F1121" s="3">
        <v>45398</v>
      </c>
      <c r="G1121" s="3">
        <v>45406</v>
      </c>
      <c r="H1121" s="2">
        <v>16</v>
      </c>
      <c r="I1121" s="1">
        <v>1298.56</v>
      </c>
      <c r="J1121" s="1">
        <v>81.16</v>
      </c>
      <c r="K1121" t="s">
        <v>19</v>
      </c>
      <c r="L1121" t="s">
        <v>26</v>
      </c>
      <c r="M1121" s="2">
        <v>10</v>
      </c>
      <c r="N1121" t="s">
        <v>21</v>
      </c>
    </row>
    <row r="1122" spans="1:14" x14ac:dyDescent="0.3">
      <c r="A1122" t="s">
        <v>1158</v>
      </c>
      <c r="B1122" s="2">
        <v>56</v>
      </c>
      <c r="C1122" t="s">
        <v>16</v>
      </c>
      <c r="D1122" t="s">
        <v>24</v>
      </c>
      <c r="E1122" t="s">
        <v>29</v>
      </c>
      <c r="F1122" s="3">
        <v>45515</v>
      </c>
      <c r="G1122" s="3">
        <v>45567</v>
      </c>
      <c r="H1122" s="2">
        <v>6</v>
      </c>
      <c r="I1122" s="1">
        <v>1298.52</v>
      </c>
      <c r="J1122" s="1">
        <v>216.42</v>
      </c>
      <c r="K1122" t="s">
        <v>35</v>
      </c>
      <c r="L1122" t="s">
        <v>30</v>
      </c>
      <c r="M1122" s="2">
        <v>3</v>
      </c>
      <c r="N1122" t="s">
        <v>21</v>
      </c>
    </row>
    <row r="1123" spans="1:14" x14ac:dyDescent="0.3">
      <c r="A1123" t="s">
        <v>1159</v>
      </c>
      <c r="B1123" s="2">
        <v>56</v>
      </c>
      <c r="C1123" t="s">
        <v>16</v>
      </c>
      <c r="D1123" t="s">
        <v>44</v>
      </c>
      <c r="E1123" t="s">
        <v>18</v>
      </c>
      <c r="F1123" s="3">
        <v>45862</v>
      </c>
      <c r="G1123" s="3">
        <v>45998</v>
      </c>
      <c r="H1123" s="2">
        <v>5</v>
      </c>
      <c r="I1123" s="1">
        <v>1294.75</v>
      </c>
      <c r="J1123" s="1">
        <v>258.95</v>
      </c>
      <c r="K1123" t="s">
        <v>35</v>
      </c>
      <c r="L1123" t="s">
        <v>26</v>
      </c>
      <c r="M1123" s="2">
        <v>2</v>
      </c>
      <c r="N1123" t="s">
        <v>21</v>
      </c>
    </row>
    <row r="1124" spans="1:14" x14ac:dyDescent="0.3">
      <c r="A1124" t="s">
        <v>1160</v>
      </c>
      <c r="B1124" s="2">
        <v>32</v>
      </c>
      <c r="C1124" t="s">
        <v>16</v>
      </c>
      <c r="D1124" t="s">
        <v>42</v>
      </c>
      <c r="E1124" t="s">
        <v>34</v>
      </c>
      <c r="F1124" s="3">
        <v>45690</v>
      </c>
      <c r="G1124" s="3">
        <v>45775</v>
      </c>
      <c r="H1124" s="2">
        <v>19</v>
      </c>
      <c r="I1124" s="1">
        <v>1294.28</v>
      </c>
      <c r="J1124" s="1">
        <v>68.12</v>
      </c>
      <c r="K1124" t="s">
        <v>39</v>
      </c>
      <c r="L1124" t="s">
        <v>30</v>
      </c>
      <c r="M1124" s="2">
        <v>9</v>
      </c>
      <c r="N1124" t="s">
        <v>21</v>
      </c>
    </row>
    <row r="1125" spans="1:14" x14ac:dyDescent="0.3">
      <c r="A1125" t="s">
        <v>1161</v>
      </c>
      <c r="B1125" s="2">
        <v>49</v>
      </c>
      <c r="C1125" t="s">
        <v>23</v>
      </c>
      <c r="D1125" t="s">
        <v>17</v>
      </c>
      <c r="E1125" t="s">
        <v>18</v>
      </c>
      <c r="F1125" s="3">
        <v>45446</v>
      </c>
      <c r="G1125" s="3">
        <v>45453</v>
      </c>
      <c r="H1125" s="2">
        <v>16</v>
      </c>
      <c r="I1125" s="1">
        <v>1292.96</v>
      </c>
      <c r="J1125" s="1">
        <v>80.81</v>
      </c>
      <c r="K1125" t="s">
        <v>45</v>
      </c>
      <c r="L1125" t="s">
        <v>30</v>
      </c>
      <c r="M1125" s="2">
        <v>3</v>
      </c>
      <c r="N1125" t="s">
        <v>21</v>
      </c>
    </row>
    <row r="1126" spans="1:14" x14ac:dyDescent="0.3">
      <c r="A1126" t="s">
        <v>1162</v>
      </c>
      <c r="B1126" s="2">
        <v>30</v>
      </c>
      <c r="C1126" t="s">
        <v>16</v>
      </c>
      <c r="D1126" t="s">
        <v>44</v>
      </c>
      <c r="E1126" t="s">
        <v>34</v>
      </c>
      <c r="F1126" s="3">
        <v>45755</v>
      </c>
      <c r="G1126" s="3">
        <v>46027</v>
      </c>
      <c r="H1126" s="2">
        <v>10</v>
      </c>
      <c r="I1126" s="1">
        <v>1291.9000000000001</v>
      </c>
      <c r="J1126" s="1">
        <v>129.19</v>
      </c>
      <c r="K1126" t="s">
        <v>45</v>
      </c>
      <c r="L1126" t="s">
        <v>20</v>
      </c>
      <c r="M1126" s="2">
        <v>5</v>
      </c>
      <c r="N1126" t="s">
        <v>21</v>
      </c>
    </row>
    <row r="1127" spans="1:14" x14ac:dyDescent="0.3">
      <c r="A1127" t="s">
        <v>1163</v>
      </c>
      <c r="B1127" s="2">
        <v>32</v>
      </c>
      <c r="C1127" t="s">
        <v>16</v>
      </c>
      <c r="D1127" t="s">
        <v>24</v>
      </c>
      <c r="E1127" t="s">
        <v>34</v>
      </c>
      <c r="F1127" s="3">
        <v>45619</v>
      </c>
      <c r="G1127" s="3">
        <v>45723</v>
      </c>
      <c r="H1127" s="2">
        <v>12</v>
      </c>
      <c r="I1127" s="1">
        <v>1291.44</v>
      </c>
      <c r="J1127" s="1">
        <v>107.62</v>
      </c>
      <c r="K1127" t="s">
        <v>19</v>
      </c>
      <c r="L1127" t="s">
        <v>20</v>
      </c>
      <c r="M1127" s="2">
        <v>10</v>
      </c>
      <c r="N1127" t="s">
        <v>31</v>
      </c>
    </row>
    <row r="1128" spans="1:14" x14ac:dyDescent="0.3">
      <c r="A1128" t="s">
        <v>1164</v>
      </c>
      <c r="B1128" s="2">
        <v>50</v>
      </c>
      <c r="C1128" t="s">
        <v>23</v>
      </c>
      <c r="D1128" t="s">
        <v>28</v>
      </c>
      <c r="E1128" t="s">
        <v>34</v>
      </c>
      <c r="F1128" s="3">
        <v>45318</v>
      </c>
      <c r="G1128" s="3">
        <v>45394</v>
      </c>
      <c r="H1128" s="2">
        <v>12</v>
      </c>
      <c r="I1128" s="1">
        <v>1291.2</v>
      </c>
      <c r="J1128" s="1">
        <v>107.6</v>
      </c>
      <c r="K1128" t="s">
        <v>45</v>
      </c>
      <c r="L1128" t="s">
        <v>30</v>
      </c>
      <c r="M1128" s="2">
        <v>2</v>
      </c>
      <c r="N1128" t="s">
        <v>21</v>
      </c>
    </row>
    <row r="1129" spans="1:14" x14ac:dyDescent="0.3">
      <c r="A1129" t="s">
        <v>1165</v>
      </c>
      <c r="B1129" s="2">
        <v>26</v>
      </c>
      <c r="C1129" t="s">
        <v>23</v>
      </c>
      <c r="D1129" t="s">
        <v>28</v>
      </c>
      <c r="E1129" t="s">
        <v>18</v>
      </c>
      <c r="F1129" s="3">
        <v>45590</v>
      </c>
      <c r="G1129" s="3">
        <v>45610</v>
      </c>
      <c r="H1129" s="2">
        <v>21</v>
      </c>
      <c r="I1129" s="1">
        <v>1291.08</v>
      </c>
      <c r="J1129" s="1">
        <v>61.48</v>
      </c>
      <c r="K1129" t="s">
        <v>25</v>
      </c>
      <c r="L1129" t="s">
        <v>30</v>
      </c>
      <c r="M1129" s="2">
        <v>9</v>
      </c>
      <c r="N1129" t="s">
        <v>21</v>
      </c>
    </row>
    <row r="1130" spans="1:14" x14ac:dyDescent="0.3">
      <c r="A1130" t="s">
        <v>1166</v>
      </c>
      <c r="B1130" s="2">
        <v>36</v>
      </c>
      <c r="C1130" t="s">
        <v>23</v>
      </c>
      <c r="D1130" t="s">
        <v>42</v>
      </c>
      <c r="E1130" t="s">
        <v>18</v>
      </c>
      <c r="F1130" s="3">
        <v>45982</v>
      </c>
      <c r="G1130" s="3">
        <v>46281</v>
      </c>
      <c r="H1130" s="2">
        <v>22</v>
      </c>
      <c r="I1130" s="1">
        <v>1290.96</v>
      </c>
      <c r="J1130" s="1">
        <v>58.68</v>
      </c>
      <c r="K1130" t="s">
        <v>39</v>
      </c>
      <c r="L1130" t="s">
        <v>26</v>
      </c>
      <c r="M1130" s="2">
        <v>7</v>
      </c>
      <c r="N1130" t="s">
        <v>21</v>
      </c>
    </row>
    <row r="1131" spans="1:14" x14ac:dyDescent="0.3">
      <c r="A1131" t="s">
        <v>1167</v>
      </c>
      <c r="B1131" s="2">
        <v>46</v>
      </c>
      <c r="C1131" t="s">
        <v>23</v>
      </c>
      <c r="D1131" t="s">
        <v>50</v>
      </c>
      <c r="E1131" t="s">
        <v>34</v>
      </c>
      <c r="F1131" s="3">
        <v>45309</v>
      </c>
      <c r="G1131" s="3">
        <v>45554</v>
      </c>
      <c r="H1131" s="2">
        <v>12</v>
      </c>
      <c r="I1131" s="1">
        <v>1286.8800000000001</v>
      </c>
      <c r="J1131" s="1">
        <v>107.24</v>
      </c>
      <c r="K1131" t="s">
        <v>39</v>
      </c>
      <c r="L1131" t="s">
        <v>20</v>
      </c>
      <c r="M1131" s="2">
        <v>2</v>
      </c>
      <c r="N1131" t="s">
        <v>21</v>
      </c>
    </row>
    <row r="1132" spans="1:14" x14ac:dyDescent="0.3">
      <c r="A1132" t="s">
        <v>1168</v>
      </c>
      <c r="B1132" s="2">
        <v>52</v>
      </c>
      <c r="C1132" t="s">
        <v>23</v>
      </c>
      <c r="D1132" t="s">
        <v>42</v>
      </c>
      <c r="E1132" t="s">
        <v>18</v>
      </c>
      <c r="F1132" s="3">
        <v>45736</v>
      </c>
      <c r="G1132" s="3">
        <v>45790</v>
      </c>
      <c r="H1132" s="2">
        <v>25</v>
      </c>
      <c r="I1132" s="1">
        <v>1284.5</v>
      </c>
      <c r="J1132" s="1">
        <v>51.38</v>
      </c>
      <c r="K1132" t="s">
        <v>19</v>
      </c>
      <c r="L1132" t="s">
        <v>26</v>
      </c>
      <c r="M1132" s="2">
        <v>10</v>
      </c>
      <c r="N1132" t="s">
        <v>21</v>
      </c>
    </row>
    <row r="1133" spans="1:14" x14ac:dyDescent="0.3">
      <c r="A1133" t="s">
        <v>1169</v>
      </c>
      <c r="B1133" s="2">
        <v>55</v>
      </c>
      <c r="C1133" t="s">
        <v>23</v>
      </c>
      <c r="D1133" t="s">
        <v>42</v>
      </c>
      <c r="E1133" t="s">
        <v>29</v>
      </c>
      <c r="F1133" s="3">
        <v>45321</v>
      </c>
      <c r="G1133" s="3">
        <v>45367</v>
      </c>
      <c r="H1133" s="2">
        <v>5</v>
      </c>
      <c r="I1133" s="1">
        <v>1284.2</v>
      </c>
      <c r="J1133" s="1">
        <v>256.83999999999997</v>
      </c>
      <c r="K1133" t="s">
        <v>19</v>
      </c>
      <c r="L1133" t="s">
        <v>20</v>
      </c>
      <c r="M1133" s="2">
        <v>10</v>
      </c>
      <c r="N1133" t="s">
        <v>21</v>
      </c>
    </row>
    <row r="1134" spans="1:14" x14ac:dyDescent="0.3">
      <c r="A1134" t="s">
        <v>1170</v>
      </c>
      <c r="B1134" s="2">
        <v>40</v>
      </c>
      <c r="C1134" t="s">
        <v>16</v>
      </c>
      <c r="D1134" t="s">
        <v>42</v>
      </c>
      <c r="E1134" t="s">
        <v>18</v>
      </c>
      <c r="F1134" s="3">
        <v>45317</v>
      </c>
      <c r="G1134" s="3">
        <v>45408</v>
      </c>
      <c r="H1134" s="2">
        <v>15</v>
      </c>
      <c r="I1134" s="1">
        <v>1281.9000000000001</v>
      </c>
      <c r="J1134" s="1">
        <v>85.46</v>
      </c>
      <c r="K1134" t="s">
        <v>45</v>
      </c>
      <c r="L1134" t="s">
        <v>30</v>
      </c>
      <c r="M1134" s="2">
        <v>2</v>
      </c>
      <c r="N1134" t="s">
        <v>21</v>
      </c>
    </row>
    <row r="1135" spans="1:14" x14ac:dyDescent="0.3">
      <c r="A1135" t="s">
        <v>1171</v>
      </c>
      <c r="B1135" s="2">
        <v>50</v>
      </c>
      <c r="C1135" t="s">
        <v>23</v>
      </c>
      <c r="D1135" t="s">
        <v>50</v>
      </c>
      <c r="E1135" t="s">
        <v>29</v>
      </c>
      <c r="F1135" s="3">
        <v>45913</v>
      </c>
      <c r="G1135" s="3">
        <v>46187</v>
      </c>
      <c r="H1135" s="2">
        <v>14</v>
      </c>
      <c r="I1135" s="1">
        <v>1280.72</v>
      </c>
      <c r="J1135" s="1">
        <v>91.48</v>
      </c>
      <c r="K1135" t="s">
        <v>35</v>
      </c>
      <c r="L1135" t="s">
        <v>26</v>
      </c>
      <c r="M1135" s="2">
        <v>1</v>
      </c>
      <c r="N1135" t="s">
        <v>21</v>
      </c>
    </row>
    <row r="1136" spans="1:14" x14ac:dyDescent="0.3">
      <c r="A1136" t="s">
        <v>1172</v>
      </c>
      <c r="B1136" s="2">
        <v>36</v>
      </c>
      <c r="C1136" t="s">
        <v>16</v>
      </c>
      <c r="D1136" t="s">
        <v>24</v>
      </c>
      <c r="E1136" t="s">
        <v>38</v>
      </c>
      <c r="F1136" s="3">
        <v>45428</v>
      </c>
      <c r="G1136" s="3">
        <v>45561</v>
      </c>
      <c r="H1136" s="2">
        <v>6</v>
      </c>
      <c r="I1136" s="1">
        <v>1274.94</v>
      </c>
      <c r="J1136" s="1">
        <v>212.49</v>
      </c>
      <c r="K1136" t="s">
        <v>45</v>
      </c>
      <c r="L1136" t="s">
        <v>30</v>
      </c>
      <c r="M1136" s="2">
        <v>7</v>
      </c>
      <c r="N1136" t="s">
        <v>21</v>
      </c>
    </row>
    <row r="1137" spans="1:14" x14ac:dyDescent="0.3">
      <c r="A1137" t="s">
        <v>1173</v>
      </c>
      <c r="B1137" s="2">
        <v>54</v>
      </c>
      <c r="C1137" t="s">
        <v>16</v>
      </c>
      <c r="D1137" t="s">
        <v>50</v>
      </c>
      <c r="E1137" t="s">
        <v>38</v>
      </c>
      <c r="F1137" s="3">
        <v>45576</v>
      </c>
      <c r="G1137" s="3">
        <v>45792</v>
      </c>
      <c r="H1137" s="2">
        <v>6</v>
      </c>
      <c r="I1137" s="1">
        <v>1272.96</v>
      </c>
      <c r="J1137" s="1">
        <v>212.16</v>
      </c>
      <c r="K1137" t="s">
        <v>39</v>
      </c>
      <c r="L1137" t="s">
        <v>20</v>
      </c>
      <c r="M1137" s="2">
        <v>2</v>
      </c>
      <c r="N1137" t="s">
        <v>21</v>
      </c>
    </row>
    <row r="1138" spans="1:14" x14ac:dyDescent="0.3">
      <c r="A1138" t="s">
        <v>1174</v>
      </c>
      <c r="B1138" s="2">
        <v>49</v>
      </c>
      <c r="C1138" t="s">
        <v>23</v>
      </c>
      <c r="D1138" t="s">
        <v>61</v>
      </c>
      <c r="E1138" t="s">
        <v>18</v>
      </c>
      <c r="F1138" s="3">
        <v>45717</v>
      </c>
      <c r="G1138" s="3">
        <v>45928</v>
      </c>
      <c r="H1138" s="2">
        <v>13</v>
      </c>
      <c r="I1138" s="1">
        <v>1272.18</v>
      </c>
      <c r="J1138" s="1">
        <v>97.86</v>
      </c>
      <c r="K1138" t="s">
        <v>35</v>
      </c>
      <c r="L1138" t="s">
        <v>30</v>
      </c>
      <c r="M1138" s="2">
        <v>8</v>
      </c>
      <c r="N1138" t="s">
        <v>21</v>
      </c>
    </row>
    <row r="1139" spans="1:14" x14ac:dyDescent="0.3">
      <c r="A1139" t="s">
        <v>1175</v>
      </c>
      <c r="B1139" s="2">
        <v>23</v>
      </c>
      <c r="C1139" t="s">
        <v>16</v>
      </c>
      <c r="D1139" t="s">
        <v>17</v>
      </c>
      <c r="E1139" t="s">
        <v>29</v>
      </c>
      <c r="F1139" s="3">
        <v>45594</v>
      </c>
      <c r="G1139" s="3">
        <v>45658</v>
      </c>
      <c r="H1139" s="2">
        <v>12</v>
      </c>
      <c r="I1139" s="1">
        <v>1271.6400000000001</v>
      </c>
      <c r="J1139" s="1">
        <v>105.97</v>
      </c>
      <c r="K1139" t="s">
        <v>25</v>
      </c>
      <c r="L1139" t="s">
        <v>20</v>
      </c>
      <c r="M1139" s="2">
        <v>4</v>
      </c>
      <c r="N1139" t="s">
        <v>21</v>
      </c>
    </row>
    <row r="1140" spans="1:14" x14ac:dyDescent="0.3">
      <c r="A1140" t="s">
        <v>1176</v>
      </c>
      <c r="B1140" s="2">
        <v>27</v>
      </c>
      <c r="C1140" t="s">
        <v>16</v>
      </c>
      <c r="D1140" t="s">
        <v>42</v>
      </c>
      <c r="E1140" t="s">
        <v>38</v>
      </c>
      <c r="F1140" s="3">
        <v>45726</v>
      </c>
      <c r="G1140" s="3">
        <v>45938</v>
      </c>
      <c r="H1140" s="2">
        <v>5</v>
      </c>
      <c r="I1140" s="1">
        <v>1269.7</v>
      </c>
      <c r="J1140" s="1">
        <v>253.94</v>
      </c>
      <c r="K1140" t="s">
        <v>19</v>
      </c>
      <c r="L1140" t="s">
        <v>26</v>
      </c>
      <c r="M1140" s="2">
        <v>2</v>
      </c>
      <c r="N1140" t="s">
        <v>21</v>
      </c>
    </row>
    <row r="1141" spans="1:14" x14ac:dyDescent="0.3">
      <c r="A1141" t="s">
        <v>1177</v>
      </c>
      <c r="B1141" s="2">
        <v>48</v>
      </c>
      <c r="C1141" t="s">
        <v>16</v>
      </c>
      <c r="D1141" t="s">
        <v>44</v>
      </c>
      <c r="E1141" t="s">
        <v>29</v>
      </c>
      <c r="F1141" s="3">
        <v>45508</v>
      </c>
      <c r="G1141" s="3">
        <v>45605</v>
      </c>
      <c r="H1141" s="2">
        <v>24</v>
      </c>
      <c r="I1141" s="1">
        <v>1268.4000000000001</v>
      </c>
      <c r="J1141" s="1">
        <v>52.85</v>
      </c>
      <c r="K1141" t="s">
        <v>35</v>
      </c>
      <c r="L1141" t="s">
        <v>30</v>
      </c>
      <c r="M1141" s="2">
        <v>9</v>
      </c>
      <c r="N1141" t="s">
        <v>21</v>
      </c>
    </row>
    <row r="1142" spans="1:14" x14ac:dyDescent="0.3">
      <c r="A1142" t="s">
        <v>1178</v>
      </c>
      <c r="B1142" s="2">
        <v>42</v>
      </c>
      <c r="C1142" t="s">
        <v>23</v>
      </c>
      <c r="D1142" t="s">
        <v>24</v>
      </c>
      <c r="E1142" t="s">
        <v>34</v>
      </c>
      <c r="F1142" s="3">
        <v>45879</v>
      </c>
      <c r="G1142" s="3">
        <v>45888</v>
      </c>
      <c r="H1142" s="2">
        <v>10</v>
      </c>
      <c r="I1142" s="1">
        <v>1265.9000000000001</v>
      </c>
      <c r="J1142" s="1">
        <v>126.59</v>
      </c>
      <c r="K1142" t="s">
        <v>35</v>
      </c>
      <c r="L1142" t="s">
        <v>26</v>
      </c>
      <c r="M1142" s="2">
        <v>6</v>
      </c>
      <c r="N1142" t="s">
        <v>21</v>
      </c>
    </row>
    <row r="1143" spans="1:14" x14ac:dyDescent="0.3">
      <c r="A1143" t="s">
        <v>1179</v>
      </c>
      <c r="B1143" s="2">
        <v>42</v>
      </c>
      <c r="C1143" t="s">
        <v>16</v>
      </c>
      <c r="D1143" t="s">
        <v>42</v>
      </c>
      <c r="E1143" t="s">
        <v>18</v>
      </c>
      <c r="F1143" s="3">
        <v>45903</v>
      </c>
      <c r="G1143" s="3">
        <v>46203</v>
      </c>
      <c r="H1143" s="2">
        <v>8</v>
      </c>
      <c r="I1143" s="1">
        <v>1264.24</v>
      </c>
      <c r="J1143" s="1">
        <v>158.03</v>
      </c>
      <c r="K1143" t="s">
        <v>45</v>
      </c>
      <c r="L1143" t="s">
        <v>26</v>
      </c>
      <c r="M1143" s="2">
        <v>9</v>
      </c>
      <c r="N1143" t="s">
        <v>21</v>
      </c>
    </row>
    <row r="1144" spans="1:14" x14ac:dyDescent="0.3">
      <c r="A1144" t="s">
        <v>1180</v>
      </c>
      <c r="B1144" s="2">
        <v>30</v>
      </c>
      <c r="C1144" t="s">
        <v>16</v>
      </c>
      <c r="D1144" t="s">
        <v>44</v>
      </c>
      <c r="E1144" t="s">
        <v>38</v>
      </c>
      <c r="F1144" s="3">
        <v>45985</v>
      </c>
      <c r="G1144" s="3">
        <v>46257</v>
      </c>
      <c r="H1144" s="2">
        <v>23</v>
      </c>
      <c r="I1144" s="1">
        <v>1262.93</v>
      </c>
      <c r="J1144" s="1">
        <v>54.91</v>
      </c>
      <c r="K1144" t="s">
        <v>19</v>
      </c>
      <c r="L1144" t="s">
        <v>20</v>
      </c>
      <c r="M1144" s="2">
        <v>6</v>
      </c>
      <c r="N1144" t="s">
        <v>31</v>
      </c>
    </row>
    <row r="1145" spans="1:14" x14ac:dyDescent="0.3">
      <c r="A1145" t="s">
        <v>1181</v>
      </c>
      <c r="B1145" s="2">
        <v>30</v>
      </c>
      <c r="C1145" t="s">
        <v>16</v>
      </c>
      <c r="D1145" t="s">
        <v>17</v>
      </c>
      <c r="E1145" t="s">
        <v>34</v>
      </c>
      <c r="F1145" s="3">
        <v>45802</v>
      </c>
      <c r="G1145" s="3">
        <v>45929</v>
      </c>
      <c r="H1145" s="2">
        <v>17</v>
      </c>
      <c r="I1145" s="1">
        <v>1262.76</v>
      </c>
      <c r="J1145" s="1">
        <v>74.28</v>
      </c>
      <c r="K1145" t="s">
        <v>25</v>
      </c>
      <c r="L1145" t="s">
        <v>30</v>
      </c>
      <c r="M1145" s="2">
        <v>2</v>
      </c>
      <c r="N1145" t="s">
        <v>21</v>
      </c>
    </row>
    <row r="1146" spans="1:14" x14ac:dyDescent="0.3">
      <c r="A1146" t="s">
        <v>1182</v>
      </c>
      <c r="B1146" s="2">
        <v>37</v>
      </c>
      <c r="C1146" t="s">
        <v>23</v>
      </c>
      <c r="D1146" t="s">
        <v>42</v>
      </c>
      <c r="E1146" t="s">
        <v>38</v>
      </c>
      <c r="F1146" s="3">
        <v>45479</v>
      </c>
      <c r="G1146" s="3">
        <v>45578</v>
      </c>
      <c r="H1146" s="2">
        <v>25</v>
      </c>
      <c r="I1146" s="1">
        <v>1261</v>
      </c>
      <c r="J1146" s="1">
        <v>50.44</v>
      </c>
      <c r="K1146" t="s">
        <v>39</v>
      </c>
      <c r="L1146" t="s">
        <v>20</v>
      </c>
      <c r="M1146" s="2">
        <v>5</v>
      </c>
      <c r="N1146" t="s">
        <v>21</v>
      </c>
    </row>
    <row r="1147" spans="1:14" x14ac:dyDescent="0.3">
      <c r="A1147" t="s">
        <v>1183</v>
      </c>
      <c r="B1147" s="2">
        <v>29</v>
      </c>
      <c r="C1147" t="s">
        <v>23</v>
      </c>
      <c r="D1147" t="s">
        <v>42</v>
      </c>
      <c r="E1147" t="s">
        <v>29</v>
      </c>
      <c r="F1147" s="3">
        <v>45723</v>
      </c>
      <c r="G1147" s="3">
        <v>45966</v>
      </c>
      <c r="H1147" s="2">
        <v>11</v>
      </c>
      <c r="I1147" s="1">
        <v>1256.97</v>
      </c>
      <c r="J1147" s="1">
        <v>114.27</v>
      </c>
      <c r="K1147" t="s">
        <v>35</v>
      </c>
      <c r="L1147" t="s">
        <v>20</v>
      </c>
      <c r="M1147" s="2">
        <v>3</v>
      </c>
      <c r="N1147" t="s">
        <v>21</v>
      </c>
    </row>
    <row r="1148" spans="1:14" x14ac:dyDescent="0.3">
      <c r="A1148" t="s">
        <v>1184</v>
      </c>
      <c r="B1148" s="2">
        <v>58</v>
      </c>
      <c r="C1148" t="s">
        <v>16</v>
      </c>
      <c r="D1148" t="s">
        <v>17</v>
      </c>
      <c r="E1148" t="s">
        <v>29</v>
      </c>
      <c r="F1148" s="3">
        <v>45684</v>
      </c>
      <c r="G1148" s="3">
        <v>45903</v>
      </c>
      <c r="H1148" s="2">
        <v>7</v>
      </c>
      <c r="I1148" s="1">
        <v>1251.5999999999999</v>
      </c>
      <c r="J1148" s="1">
        <v>178.8</v>
      </c>
      <c r="K1148" t="s">
        <v>39</v>
      </c>
      <c r="L1148" t="s">
        <v>20</v>
      </c>
      <c r="M1148" s="2">
        <v>5</v>
      </c>
      <c r="N1148" t="s">
        <v>21</v>
      </c>
    </row>
    <row r="1149" spans="1:14" x14ac:dyDescent="0.3">
      <c r="A1149" t="s">
        <v>1185</v>
      </c>
      <c r="B1149" s="2">
        <v>39</v>
      </c>
      <c r="C1149" t="s">
        <v>16</v>
      </c>
      <c r="D1149" t="s">
        <v>42</v>
      </c>
      <c r="E1149" t="s">
        <v>38</v>
      </c>
      <c r="F1149" s="3">
        <v>45977</v>
      </c>
      <c r="G1149" s="3">
        <v>45990</v>
      </c>
      <c r="H1149" s="2">
        <v>7</v>
      </c>
      <c r="I1149" s="1">
        <v>1251.18</v>
      </c>
      <c r="J1149" s="1">
        <v>178.74</v>
      </c>
      <c r="K1149" t="s">
        <v>39</v>
      </c>
      <c r="L1149" t="s">
        <v>20</v>
      </c>
      <c r="M1149" s="2">
        <v>8</v>
      </c>
      <c r="N1149" t="s">
        <v>31</v>
      </c>
    </row>
    <row r="1150" spans="1:14" x14ac:dyDescent="0.3">
      <c r="A1150" t="s">
        <v>1186</v>
      </c>
      <c r="B1150" s="2">
        <v>30</v>
      </c>
      <c r="C1150" t="s">
        <v>16</v>
      </c>
      <c r="D1150" t="s">
        <v>50</v>
      </c>
      <c r="E1150" t="s">
        <v>38</v>
      </c>
      <c r="F1150" s="3">
        <v>45683</v>
      </c>
      <c r="G1150" s="3">
        <v>45875</v>
      </c>
      <c r="H1150" s="2">
        <v>10</v>
      </c>
      <c r="I1150" s="1">
        <v>1246.2</v>
      </c>
      <c r="J1150" s="1">
        <v>124.62</v>
      </c>
      <c r="K1150" t="s">
        <v>25</v>
      </c>
      <c r="L1150" t="s">
        <v>26</v>
      </c>
      <c r="M1150" s="2">
        <v>10</v>
      </c>
      <c r="N1150" t="s">
        <v>21</v>
      </c>
    </row>
    <row r="1151" spans="1:14" x14ac:dyDescent="0.3">
      <c r="A1151" t="s">
        <v>1187</v>
      </c>
      <c r="B1151" s="2">
        <v>59</v>
      </c>
      <c r="C1151" t="s">
        <v>23</v>
      </c>
      <c r="D1151" t="s">
        <v>42</v>
      </c>
      <c r="E1151" t="s">
        <v>29</v>
      </c>
      <c r="F1151" s="3">
        <v>45801</v>
      </c>
      <c r="G1151" s="3">
        <v>45891</v>
      </c>
      <c r="H1151" s="2">
        <v>6</v>
      </c>
      <c r="I1151" s="1">
        <v>1245.8399999999999</v>
      </c>
      <c r="J1151" s="1">
        <v>207.64</v>
      </c>
      <c r="K1151" t="s">
        <v>35</v>
      </c>
      <c r="L1151" t="s">
        <v>26</v>
      </c>
      <c r="M1151" s="2">
        <v>6</v>
      </c>
      <c r="N1151" t="s">
        <v>31</v>
      </c>
    </row>
    <row r="1152" spans="1:14" x14ac:dyDescent="0.3">
      <c r="A1152" t="s">
        <v>1188</v>
      </c>
      <c r="B1152" s="2">
        <v>63</v>
      </c>
      <c r="C1152" t="s">
        <v>23</v>
      </c>
      <c r="D1152" t="s">
        <v>44</v>
      </c>
      <c r="E1152" t="s">
        <v>34</v>
      </c>
      <c r="F1152" s="3">
        <v>45623</v>
      </c>
      <c r="G1152" s="3">
        <v>45853</v>
      </c>
      <c r="H1152" s="2">
        <v>5</v>
      </c>
      <c r="I1152" s="1">
        <v>1242.0999999999999</v>
      </c>
      <c r="J1152" s="1">
        <v>248.42</v>
      </c>
      <c r="K1152" t="s">
        <v>19</v>
      </c>
      <c r="L1152" t="s">
        <v>20</v>
      </c>
      <c r="M1152" s="2">
        <v>3</v>
      </c>
      <c r="N1152" t="s">
        <v>21</v>
      </c>
    </row>
    <row r="1153" spans="1:14" x14ac:dyDescent="0.3">
      <c r="A1153" t="s">
        <v>1189</v>
      </c>
      <c r="B1153" s="2">
        <v>38</v>
      </c>
      <c r="C1153" t="s">
        <v>23</v>
      </c>
      <c r="D1153" t="s">
        <v>61</v>
      </c>
      <c r="E1153" t="s">
        <v>34</v>
      </c>
      <c r="F1153" s="3">
        <v>45598</v>
      </c>
      <c r="G1153" s="3">
        <v>45891</v>
      </c>
      <c r="H1153" s="2">
        <v>7</v>
      </c>
      <c r="I1153" s="1">
        <v>1241.17</v>
      </c>
      <c r="J1153" s="1">
        <v>177.31</v>
      </c>
      <c r="K1153" t="s">
        <v>39</v>
      </c>
      <c r="L1153" t="s">
        <v>30</v>
      </c>
      <c r="M1153" s="2">
        <v>2</v>
      </c>
      <c r="N1153" t="s">
        <v>21</v>
      </c>
    </row>
    <row r="1154" spans="1:14" x14ac:dyDescent="0.3">
      <c r="A1154" t="s">
        <v>1190</v>
      </c>
      <c r="B1154" s="2">
        <v>57</v>
      </c>
      <c r="C1154" t="s">
        <v>16</v>
      </c>
      <c r="D1154" t="s">
        <v>61</v>
      </c>
      <c r="E1154" t="s">
        <v>18</v>
      </c>
      <c r="F1154" s="3">
        <v>45473</v>
      </c>
      <c r="G1154" s="3">
        <v>45732</v>
      </c>
      <c r="H1154" s="2">
        <v>5</v>
      </c>
      <c r="I1154" s="1">
        <v>1240.0999999999999</v>
      </c>
      <c r="J1154" s="1">
        <v>248.02</v>
      </c>
      <c r="K1154" t="s">
        <v>45</v>
      </c>
      <c r="L1154" t="s">
        <v>26</v>
      </c>
      <c r="M1154" s="2">
        <v>2</v>
      </c>
      <c r="N1154" t="s">
        <v>21</v>
      </c>
    </row>
    <row r="1155" spans="1:14" x14ac:dyDescent="0.3">
      <c r="A1155" t="s">
        <v>1191</v>
      </c>
      <c r="B1155" s="2">
        <v>22</v>
      </c>
      <c r="C1155" t="s">
        <v>16</v>
      </c>
      <c r="D1155" t="s">
        <v>42</v>
      </c>
      <c r="E1155" t="s">
        <v>34</v>
      </c>
      <c r="F1155" s="3">
        <v>45936</v>
      </c>
      <c r="G1155" s="3">
        <v>46118</v>
      </c>
      <c r="H1155" s="2">
        <v>5</v>
      </c>
      <c r="I1155" s="1">
        <v>1239.1500000000001</v>
      </c>
      <c r="J1155" s="1">
        <v>247.83</v>
      </c>
      <c r="K1155" t="s">
        <v>19</v>
      </c>
      <c r="L1155" t="s">
        <v>20</v>
      </c>
      <c r="M1155" s="2">
        <v>1</v>
      </c>
      <c r="N1155" t="s">
        <v>21</v>
      </c>
    </row>
    <row r="1156" spans="1:14" x14ac:dyDescent="0.3">
      <c r="A1156" t="s">
        <v>1192</v>
      </c>
      <c r="B1156" s="2">
        <v>19</v>
      </c>
      <c r="C1156" t="s">
        <v>16</v>
      </c>
      <c r="D1156" t="s">
        <v>24</v>
      </c>
      <c r="E1156" t="s">
        <v>29</v>
      </c>
      <c r="F1156" s="3">
        <v>45782</v>
      </c>
      <c r="G1156" s="3">
        <v>45889</v>
      </c>
      <c r="H1156" s="2">
        <v>19</v>
      </c>
      <c r="I1156" s="1">
        <v>1237.8499999999999</v>
      </c>
      <c r="J1156" s="1">
        <v>65.150000000000006</v>
      </c>
      <c r="K1156" t="s">
        <v>19</v>
      </c>
      <c r="L1156" t="s">
        <v>20</v>
      </c>
      <c r="M1156" s="2">
        <v>3</v>
      </c>
      <c r="N1156" t="s">
        <v>21</v>
      </c>
    </row>
    <row r="1157" spans="1:14" x14ac:dyDescent="0.3">
      <c r="A1157" t="s">
        <v>1193</v>
      </c>
      <c r="B1157" s="2">
        <v>32</v>
      </c>
      <c r="C1157" t="s">
        <v>23</v>
      </c>
      <c r="D1157" t="s">
        <v>50</v>
      </c>
      <c r="E1157" t="s">
        <v>18</v>
      </c>
      <c r="F1157" s="3">
        <v>45325</v>
      </c>
      <c r="G1157" s="3">
        <v>45336</v>
      </c>
      <c r="H1157" s="2">
        <v>14</v>
      </c>
      <c r="I1157" s="1">
        <v>1237.46</v>
      </c>
      <c r="J1157" s="1">
        <v>88.39</v>
      </c>
      <c r="K1157" t="s">
        <v>19</v>
      </c>
      <c r="L1157" t="s">
        <v>20</v>
      </c>
      <c r="M1157" s="2">
        <v>7</v>
      </c>
      <c r="N1157" t="s">
        <v>21</v>
      </c>
    </row>
    <row r="1158" spans="1:14" x14ac:dyDescent="0.3">
      <c r="A1158" t="s">
        <v>1194</v>
      </c>
      <c r="B1158" s="2">
        <v>39</v>
      </c>
      <c r="C1158" t="s">
        <v>23</v>
      </c>
      <c r="D1158" t="s">
        <v>50</v>
      </c>
      <c r="E1158" t="s">
        <v>38</v>
      </c>
      <c r="F1158" s="3">
        <v>45769</v>
      </c>
      <c r="G1158" s="3">
        <v>45878</v>
      </c>
      <c r="H1158" s="2">
        <v>8</v>
      </c>
      <c r="I1158" s="1">
        <v>1236.8800000000001</v>
      </c>
      <c r="J1158" s="1">
        <v>154.61000000000001</v>
      </c>
      <c r="K1158" t="s">
        <v>25</v>
      </c>
      <c r="L1158" t="s">
        <v>30</v>
      </c>
      <c r="M1158" s="2">
        <v>6</v>
      </c>
      <c r="N1158" t="s">
        <v>21</v>
      </c>
    </row>
    <row r="1159" spans="1:14" x14ac:dyDescent="0.3">
      <c r="A1159" t="s">
        <v>1195</v>
      </c>
      <c r="B1159" s="2">
        <v>41</v>
      </c>
      <c r="C1159" t="s">
        <v>23</v>
      </c>
      <c r="D1159" t="s">
        <v>61</v>
      </c>
      <c r="E1159" t="s">
        <v>34</v>
      </c>
      <c r="F1159" s="3">
        <v>45458</v>
      </c>
      <c r="G1159" s="3">
        <v>45473</v>
      </c>
      <c r="H1159" s="2">
        <v>16</v>
      </c>
      <c r="I1159" s="1">
        <v>1234.24</v>
      </c>
      <c r="J1159" s="1">
        <v>77.14</v>
      </c>
      <c r="K1159" t="s">
        <v>39</v>
      </c>
      <c r="L1159" t="s">
        <v>30</v>
      </c>
      <c r="M1159" s="2">
        <v>6</v>
      </c>
      <c r="N1159" t="s">
        <v>21</v>
      </c>
    </row>
    <row r="1160" spans="1:14" x14ac:dyDescent="0.3">
      <c r="A1160" t="s">
        <v>1196</v>
      </c>
      <c r="B1160" s="2">
        <v>21</v>
      </c>
      <c r="C1160" t="s">
        <v>16</v>
      </c>
      <c r="D1160" t="s">
        <v>24</v>
      </c>
      <c r="E1160" t="s">
        <v>34</v>
      </c>
      <c r="F1160" s="3">
        <v>45893</v>
      </c>
      <c r="G1160" s="3">
        <v>46185</v>
      </c>
      <c r="H1160" s="2">
        <v>18</v>
      </c>
      <c r="I1160" s="1">
        <v>1233.72</v>
      </c>
      <c r="J1160" s="1">
        <v>68.540000000000006</v>
      </c>
      <c r="K1160" t="s">
        <v>35</v>
      </c>
      <c r="L1160" t="s">
        <v>30</v>
      </c>
      <c r="M1160" s="2">
        <v>6</v>
      </c>
      <c r="N1160" t="s">
        <v>21</v>
      </c>
    </row>
    <row r="1161" spans="1:14" x14ac:dyDescent="0.3">
      <c r="A1161" t="s">
        <v>1197</v>
      </c>
      <c r="B1161" s="2">
        <v>55</v>
      </c>
      <c r="C1161" t="s">
        <v>16</v>
      </c>
      <c r="D1161" t="s">
        <v>44</v>
      </c>
      <c r="E1161" t="s">
        <v>38</v>
      </c>
      <c r="F1161" s="3">
        <v>45555</v>
      </c>
      <c r="G1161" s="3">
        <v>45562</v>
      </c>
      <c r="H1161" s="2">
        <v>24</v>
      </c>
      <c r="I1161" s="1">
        <v>1229.52</v>
      </c>
      <c r="J1161" s="1">
        <v>51.23</v>
      </c>
      <c r="K1161" t="s">
        <v>45</v>
      </c>
      <c r="L1161" t="s">
        <v>30</v>
      </c>
      <c r="M1161" s="2">
        <v>5</v>
      </c>
      <c r="N1161" t="s">
        <v>31</v>
      </c>
    </row>
    <row r="1162" spans="1:14" x14ac:dyDescent="0.3">
      <c r="A1162" t="s">
        <v>1198</v>
      </c>
      <c r="B1162" s="2">
        <v>63</v>
      </c>
      <c r="C1162" t="s">
        <v>23</v>
      </c>
      <c r="D1162" t="s">
        <v>61</v>
      </c>
      <c r="E1162" t="s">
        <v>38</v>
      </c>
      <c r="F1162" s="3">
        <v>45696</v>
      </c>
      <c r="G1162" s="3">
        <v>45809</v>
      </c>
      <c r="H1162" s="2">
        <v>5</v>
      </c>
      <c r="I1162" s="1">
        <v>1228.3499999999999</v>
      </c>
      <c r="J1162" s="1">
        <v>245.67</v>
      </c>
      <c r="K1162" t="s">
        <v>39</v>
      </c>
      <c r="L1162" t="s">
        <v>20</v>
      </c>
      <c r="M1162" s="2">
        <v>1</v>
      </c>
      <c r="N1162" t="s">
        <v>31</v>
      </c>
    </row>
    <row r="1163" spans="1:14" x14ac:dyDescent="0.3">
      <c r="A1163" t="s">
        <v>1199</v>
      </c>
      <c r="B1163" s="2">
        <v>20</v>
      </c>
      <c r="C1163" t="s">
        <v>16</v>
      </c>
      <c r="D1163" t="s">
        <v>42</v>
      </c>
      <c r="E1163" t="s">
        <v>34</v>
      </c>
      <c r="F1163" s="3">
        <v>45597</v>
      </c>
      <c r="G1163" s="3">
        <v>45602</v>
      </c>
      <c r="H1163" s="2">
        <v>6</v>
      </c>
      <c r="I1163" s="1">
        <v>1228.26</v>
      </c>
      <c r="J1163" s="1">
        <v>204.71</v>
      </c>
      <c r="K1163" t="s">
        <v>35</v>
      </c>
      <c r="L1163" t="s">
        <v>20</v>
      </c>
      <c r="M1163" s="2">
        <v>10</v>
      </c>
      <c r="N1163" t="s">
        <v>21</v>
      </c>
    </row>
    <row r="1164" spans="1:14" x14ac:dyDescent="0.3">
      <c r="A1164" t="s">
        <v>1200</v>
      </c>
      <c r="B1164" s="2">
        <v>45</v>
      </c>
      <c r="C1164" t="s">
        <v>16</v>
      </c>
      <c r="D1164" t="s">
        <v>17</v>
      </c>
      <c r="E1164" t="s">
        <v>18</v>
      </c>
      <c r="F1164" s="3">
        <v>45637</v>
      </c>
      <c r="G1164" s="3">
        <v>45919</v>
      </c>
      <c r="H1164" s="2">
        <v>6</v>
      </c>
      <c r="I1164" s="1">
        <v>1228.2</v>
      </c>
      <c r="J1164" s="1">
        <v>204.7</v>
      </c>
      <c r="K1164" t="s">
        <v>25</v>
      </c>
      <c r="L1164" t="s">
        <v>26</v>
      </c>
      <c r="M1164" s="2">
        <v>10</v>
      </c>
      <c r="N1164" t="s">
        <v>21</v>
      </c>
    </row>
    <row r="1165" spans="1:14" x14ac:dyDescent="0.3">
      <c r="A1165" t="s">
        <v>1201</v>
      </c>
      <c r="B1165" s="2">
        <v>39</v>
      </c>
      <c r="C1165" t="s">
        <v>16</v>
      </c>
      <c r="D1165" t="s">
        <v>24</v>
      </c>
      <c r="E1165" t="s">
        <v>29</v>
      </c>
      <c r="F1165" s="3">
        <v>45299</v>
      </c>
      <c r="G1165" s="3">
        <v>45383</v>
      </c>
      <c r="H1165" s="2">
        <v>9</v>
      </c>
      <c r="I1165" s="1">
        <v>1227.78</v>
      </c>
      <c r="J1165" s="1">
        <v>136.41999999999999</v>
      </c>
      <c r="K1165" t="s">
        <v>25</v>
      </c>
      <c r="L1165" t="s">
        <v>20</v>
      </c>
      <c r="M1165" s="2">
        <v>10</v>
      </c>
      <c r="N1165" t="s">
        <v>21</v>
      </c>
    </row>
    <row r="1166" spans="1:14" x14ac:dyDescent="0.3">
      <c r="A1166" t="s">
        <v>1202</v>
      </c>
      <c r="B1166" s="2">
        <v>56</v>
      </c>
      <c r="C1166" t="s">
        <v>23</v>
      </c>
      <c r="D1166" t="s">
        <v>28</v>
      </c>
      <c r="E1166" t="s">
        <v>34</v>
      </c>
      <c r="F1166" s="3">
        <v>45807</v>
      </c>
      <c r="G1166" s="3">
        <v>46062</v>
      </c>
      <c r="H1166" s="2">
        <v>5</v>
      </c>
      <c r="I1166" s="1">
        <v>1226.75</v>
      </c>
      <c r="J1166" s="1">
        <v>245.35</v>
      </c>
      <c r="K1166" t="s">
        <v>39</v>
      </c>
      <c r="L1166" t="s">
        <v>20</v>
      </c>
      <c r="M1166" s="2">
        <v>7</v>
      </c>
      <c r="N1166" t="s">
        <v>21</v>
      </c>
    </row>
    <row r="1167" spans="1:14" x14ac:dyDescent="0.3">
      <c r="A1167" t="s">
        <v>1203</v>
      </c>
      <c r="B1167" s="2">
        <v>18</v>
      </c>
      <c r="C1167" t="s">
        <v>16</v>
      </c>
      <c r="D1167" t="s">
        <v>28</v>
      </c>
      <c r="E1167" t="s">
        <v>18</v>
      </c>
      <c r="F1167" s="3">
        <v>45631</v>
      </c>
      <c r="G1167" s="3">
        <v>45842</v>
      </c>
      <c r="H1167" s="2">
        <v>7</v>
      </c>
      <c r="I1167" s="1">
        <v>1223.81</v>
      </c>
      <c r="J1167" s="1">
        <v>174.83</v>
      </c>
      <c r="K1167" t="s">
        <v>19</v>
      </c>
      <c r="L1167" t="s">
        <v>30</v>
      </c>
      <c r="M1167" s="2">
        <v>9</v>
      </c>
      <c r="N1167" t="s">
        <v>21</v>
      </c>
    </row>
    <row r="1168" spans="1:14" x14ac:dyDescent="0.3">
      <c r="A1168" t="s">
        <v>1204</v>
      </c>
      <c r="B1168" s="2">
        <v>28</v>
      </c>
      <c r="C1168" t="s">
        <v>16</v>
      </c>
      <c r="D1168" t="s">
        <v>61</v>
      </c>
      <c r="E1168" t="s">
        <v>18</v>
      </c>
      <c r="F1168" s="3">
        <v>45436</v>
      </c>
      <c r="G1168" s="3">
        <v>45485</v>
      </c>
      <c r="H1168" s="2">
        <v>7</v>
      </c>
      <c r="I1168" s="1">
        <v>1222.27</v>
      </c>
      <c r="J1168" s="1">
        <v>174.61</v>
      </c>
      <c r="K1168" t="s">
        <v>19</v>
      </c>
      <c r="L1168" t="s">
        <v>20</v>
      </c>
      <c r="M1168" s="2">
        <v>4</v>
      </c>
      <c r="N1168" t="s">
        <v>21</v>
      </c>
    </row>
    <row r="1169" spans="1:14" x14ac:dyDescent="0.3">
      <c r="A1169" t="s">
        <v>1205</v>
      </c>
      <c r="B1169" s="2">
        <v>38</v>
      </c>
      <c r="C1169" t="s">
        <v>23</v>
      </c>
      <c r="D1169" t="s">
        <v>61</v>
      </c>
      <c r="E1169" t="s">
        <v>34</v>
      </c>
      <c r="F1169" s="3">
        <v>45623</v>
      </c>
      <c r="G1169" s="3">
        <v>45745</v>
      </c>
      <c r="H1169" s="2">
        <v>9</v>
      </c>
      <c r="I1169" s="1">
        <v>1220.4000000000001</v>
      </c>
      <c r="J1169" s="1">
        <v>135.6</v>
      </c>
      <c r="K1169" t="s">
        <v>45</v>
      </c>
      <c r="L1169" t="s">
        <v>20</v>
      </c>
      <c r="M1169" s="2">
        <v>5</v>
      </c>
      <c r="N1169" t="s">
        <v>31</v>
      </c>
    </row>
    <row r="1170" spans="1:14" x14ac:dyDescent="0.3">
      <c r="A1170" t="s">
        <v>1206</v>
      </c>
      <c r="B1170" s="2">
        <v>60</v>
      </c>
      <c r="C1170" t="s">
        <v>16</v>
      </c>
      <c r="D1170" t="s">
        <v>44</v>
      </c>
      <c r="E1170" t="s">
        <v>34</v>
      </c>
      <c r="F1170" s="3">
        <v>45827</v>
      </c>
      <c r="G1170" s="3">
        <v>45872</v>
      </c>
      <c r="H1170" s="2">
        <v>8</v>
      </c>
      <c r="I1170" s="1">
        <v>1218.32</v>
      </c>
      <c r="J1170" s="1">
        <v>152.29</v>
      </c>
      <c r="K1170" t="s">
        <v>19</v>
      </c>
      <c r="L1170" t="s">
        <v>30</v>
      </c>
      <c r="M1170" s="2">
        <v>6</v>
      </c>
      <c r="N1170" t="s">
        <v>21</v>
      </c>
    </row>
    <row r="1171" spans="1:14" x14ac:dyDescent="0.3">
      <c r="A1171" t="s">
        <v>1207</v>
      </c>
      <c r="B1171" s="2">
        <v>62</v>
      </c>
      <c r="C1171" t="s">
        <v>16</v>
      </c>
      <c r="D1171" t="s">
        <v>28</v>
      </c>
      <c r="E1171" t="s">
        <v>34</v>
      </c>
      <c r="F1171" s="3">
        <v>45470</v>
      </c>
      <c r="G1171" s="3">
        <v>45470</v>
      </c>
      <c r="H1171" s="2">
        <v>10</v>
      </c>
      <c r="I1171" s="1">
        <v>1218</v>
      </c>
      <c r="J1171" s="1">
        <v>121.8</v>
      </c>
      <c r="K1171" t="s">
        <v>25</v>
      </c>
      <c r="L1171" t="s">
        <v>30</v>
      </c>
      <c r="M1171" s="2">
        <v>4</v>
      </c>
      <c r="N1171" t="s">
        <v>21</v>
      </c>
    </row>
    <row r="1172" spans="1:14" x14ac:dyDescent="0.3">
      <c r="A1172" t="s">
        <v>1208</v>
      </c>
      <c r="B1172" s="2">
        <v>62</v>
      </c>
      <c r="C1172" t="s">
        <v>16</v>
      </c>
      <c r="D1172" t="s">
        <v>61</v>
      </c>
      <c r="E1172" t="s">
        <v>29</v>
      </c>
      <c r="F1172" s="3">
        <v>45827</v>
      </c>
      <c r="G1172" s="3">
        <v>46057</v>
      </c>
      <c r="H1172" s="2">
        <v>14</v>
      </c>
      <c r="I1172" s="1">
        <v>1217.8599999999999</v>
      </c>
      <c r="J1172" s="1">
        <v>86.99</v>
      </c>
      <c r="K1172" t="s">
        <v>35</v>
      </c>
      <c r="L1172" t="s">
        <v>20</v>
      </c>
      <c r="M1172" s="2">
        <v>2</v>
      </c>
      <c r="N1172" t="s">
        <v>31</v>
      </c>
    </row>
    <row r="1173" spans="1:14" x14ac:dyDescent="0.3">
      <c r="A1173" t="s">
        <v>1209</v>
      </c>
      <c r="B1173" s="2">
        <v>45</v>
      </c>
      <c r="C1173" t="s">
        <v>16</v>
      </c>
      <c r="D1173" t="s">
        <v>28</v>
      </c>
      <c r="E1173" t="s">
        <v>29</v>
      </c>
      <c r="F1173" s="3">
        <v>45342</v>
      </c>
      <c r="G1173" s="3">
        <v>45622</v>
      </c>
      <c r="H1173" s="2">
        <v>13</v>
      </c>
      <c r="I1173" s="1">
        <v>1215.76</v>
      </c>
      <c r="J1173" s="1">
        <v>93.52</v>
      </c>
      <c r="K1173" t="s">
        <v>35</v>
      </c>
      <c r="L1173" t="s">
        <v>20</v>
      </c>
      <c r="M1173" s="2">
        <v>4</v>
      </c>
      <c r="N1173" t="s">
        <v>21</v>
      </c>
    </row>
    <row r="1174" spans="1:14" x14ac:dyDescent="0.3">
      <c r="A1174" t="s">
        <v>1210</v>
      </c>
      <c r="B1174" s="2">
        <v>41</v>
      </c>
      <c r="C1174" t="s">
        <v>23</v>
      </c>
      <c r="D1174" t="s">
        <v>50</v>
      </c>
      <c r="E1174" t="s">
        <v>34</v>
      </c>
      <c r="F1174" s="3">
        <v>45964</v>
      </c>
      <c r="G1174" s="3">
        <v>46092</v>
      </c>
      <c r="H1174" s="2">
        <v>8</v>
      </c>
      <c r="I1174" s="1">
        <v>1214.4000000000001</v>
      </c>
      <c r="J1174" s="1">
        <v>151.80000000000001</v>
      </c>
      <c r="K1174" t="s">
        <v>39</v>
      </c>
      <c r="L1174" t="s">
        <v>26</v>
      </c>
      <c r="M1174" s="2">
        <v>8</v>
      </c>
      <c r="N1174" t="s">
        <v>21</v>
      </c>
    </row>
    <row r="1175" spans="1:14" x14ac:dyDescent="0.3">
      <c r="A1175" t="s">
        <v>1211</v>
      </c>
      <c r="B1175" s="2">
        <v>63</v>
      </c>
      <c r="C1175" t="s">
        <v>23</v>
      </c>
      <c r="D1175" t="s">
        <v>17</v>
      </c>
      <c r="E1175" t="s">
        <v>38</v>
      </c>
      <c r="F1175" s="3">
        <v>45566</v>
      </c>
      <c r="G1175" s="3">
        <v>45706</v>
      </c>
      <c r="H1175" s="2">
        <v>16</v>
      </c>
      <c r="I1175" s="1">
        <v>1212.6400000000001</v>
      </c>
      <c r="J1175" s="1">
        <v>75.790000000000006</v>
      </c>
      <c r="K1175" t="s">
        <v>35</v>
      </c>
      <c r="L1175" t="s">
        <v>20</v>
      </c>
      <c r="M1175" s="2">
        <v>7</v>
      </c>
      <c r="N1175" t="s">
        <v>31</v>
      </c>
    </row>
    <row r="1176" spans="1:14" x14ac:dyDescent="0.3">
      <c r="A1176" t="s">
        <v>1212</v>
      </c>
      <c r="B1176" s="2">
        <v>57</v>
      </c>
      <c r="C1176" t="s">
        <v>23</v>
      </c>
      <c r="D1176" t="s">
        <v>28</v>
      </c>
      <c r="E1176" t="s">
        <v>38</v>
      </c>
      <c r="F1176" s="3">
        <v>45739</v>
      </c>
      <c r="G1176" s="3">
        <v>46007</v>
      </c>
      <c r="H1176" s="2">
        <v>11</v>
      </c>
      <c r="I1176" s="1">
        <v>1211.98</v>
      </c>
      <c r="J1176" s="1">
        <v>110.18</v>
      </c>
      <c r="K1176" t="s">
        <v>19</v>
      </c>
      <c r="L1176" t="s">
        <v>30</v>
      </c>
      <c r="M1176" s="2">
        <v>6</v>
      </c>
      <c r="N1176" t="s">
        <v>21</v>
      </c>
    </row>
    <row r="1177" spans="1:14" x14ac:dyDescent="0.3">
      <c r="A1177" t="s">
        <v>1213</v>
      </c>
      <c r="B1177" s="2">
        <v>64</v>
      </c>
      <c r="C1177" t="s">
        <v>16</v>
      </c>
      <c r="D1177" t="s">
        <v>44</v>
      </c>
      <c r="E1177" t="s">
        <v>38</v>
      </c>
      <c r="F1177" s="3">
        <v>45516</v>
      </c>
      <c r="G1177" s="3">
        <v>45617</v>
      </c>
      <c r="H1177" s="2">
        <v>9</v>
      </c>
      <c r="I1177" s="1">
        <v>1208.8800000000001</v>
      </c>
      <c r="J1177" s="1">
        <v>134.32</v>
      </c>
      <c r="K1177" t="s">
        <v>35</v>
      </c>
      <c r="L1177" t="s">
        <v>26</v>
      </c>
      <c r="M1177" s="2">
        <v>1</v>
      </c>
      <c r="N1177" t="s">
        <v>21</v>
      </c>
    </row>
    <row r="1178" spans="1:14" x14ac:dyDescent="0.3">
      <c r="A1178" t="s">
        <v>1214</v>
      </c>
      <c r="B1178" s="2">
        <v>21</v>
      </c>
      <c r="C1178" t="s">
        <v>23</v>
      </c>
      <c r="D1178" t="s">
        <v>24</v>
      </c>
      <c r="E1178" t="s">
        <v>29</v>
      </c>
      <c r="F1178" s="3">
        <v>45443</v>
      </c>
      <c r="G1178" s="3">
        <v>45458</v>
      </c>
      <c r="H1178" s="2">
        <v>24</v>
      </c>
      <c r="I1178" s="1">
        <v>1206.96</v>
      </c>
      <c r="J1178" s="1">
        <v>50.29</v>
      </c>
      <c r="K1178" t="s">
        <v>19</v>
      </c>
      <c r="L1178" t="s">
        <v>30</v>
      </c>
      <c r="M1178" s="2">
        <v>7</v>
      </c>
      <c r="N1178" t="s">
        <v>21</v>
      </c>
    </row>
    <row r="1179" spans="1:14" x14ac:dyDescent="0.3">
      <c r="A1179" t="s">
        <v>1215</v>
      </c>
      <c r="B1179" s="2">
        <v>24</v>
      </c>
      <c r="C1179" t="s">
        <v>16</v>
      </c>
      <c r="D1179" t="s">
        <v>42</v>
      </c>
      <c r="E1179" t="s">
        <v>18</v>
      </c>
      <c r="F1179" s="3">
        <v>45844</v>
      </c>
      <c r="G1179" s="3">
        <v>46016</v>
      </c>
      <c r="H1179" s="2">
        <v>7</v>
      </c>
      <c r="I1179" s="1">
        <v>1206.17</v>
      </c>
      <c r="J1179" s="1">
        <v>172.31</v>
      </c>
      <c r="K1179" t="s">
        <v>45</v>
      </c>
      <c r="L1179" t="s">
        <v>30</v>
      </c>
      <c r="M1179" s="2">
        <v>5</v>
      </c>
      <c r="N1179" t="s">
        <v>21</v>
      </c>
    </row>
    <row r="1180" spans="1:14" x14ac:dyDescent="0.3">
      <c r="A1180" t="s">
        <v>1216</v>
      </c>
      <c r="B1180" s="2">
        <v>53</v>
      </c>
      <c r="C1180" t="s">
        <v>16</v>
      </c>
      <c r="D1180" t="s">
        <v>61</v>
      </c>
      <c r="E1180" t="s">
        <v>29</v>
      </c>
      <c r="F1180" s="3">
        <v>45633</v>
      </c>
      <c r="G1180" s="3">
        <v>45757</v>
      </c>
      <c r="H1180" s="2">
        <v>5</v>
      </c>
      <c r="I1180" s="1">
        <v>1201.75</v>
      </c>
      <c r="J1180" s="1">
        <v>240.35</v>
      </c>
      <c r="K1180" t="s">
        <v>25</v>
      </c>
      <c r="L1180" t="s">
        <v>26</v>
      </c>
      <c r="M1180" s="2">
        <v>3</v>
      </c>
      <c r="N1180" t="s">
        <v>21</v>
      </c>
    </row>
    <row r="1181" spans="1:14" x14ac:dyDescent="0.3">
      <c r="A1181" t="s">
        <v>1217</v>
      </c>
      <c r="B1181" s="2">
        <v>59</v>
      </c>
      <c r="C1181" t="s">
        <v>23</v>
      </c>
      <c r="D1181" t="s">
        <v>42</v>
      </c>
      <c r="E1181" t="s">
        <v>18</v>
      </c>
      <c r="F1181" s="3">
        <v>45329</v>
      </c>
      <c r="G1181" s="3">
        <v>45426</v>
      </c>
      <c r="H1181" s="2">
        <v>10</v>
      </c>
      <c r="I1181" s="1">
        <v>1199.5</v>
      </c>
      <c r="J1181" s="1">
        <v>119.95</v>
      </c>
      <c r="K1181" t="s">
        <v>45</v>
      </c>
      <c r="L1181" t="s">
        <v>26</v>
      </c>
      <c r="M1181" s="2">
        <v>7</v>
      </c>
      <c r="N1181" t="s">
        <v>21</v>
      </c>
    </row>
    <row r="1182" spans="1:14" x14ac:dyDescent="0.3">
      <c r="A1182" t="s">
        <v>1218</v>
      </c>
      <c r="B1182" s="2">
        <v>38</v>
      </c>
      <c r="C1182" t="s">
        <v>23</v>
      </c>
      <c r="D1182" t="s">
        <v>44</v>
      </c>
      <c r="E1182" t="s">
        <v>18</v>
      </c>
      <c r="F1182" s="3">
        <v>45565</v>
      </c>
      <c r="G1182" s="3">
        <v>45656</v>
      </c>
      <c r="H1182" s="2">
        <v>10</v>
      </c>
      <c r="I1182" s="1">
        <v>1199.3</v>
      </c>
      <c r="J1182" s="1">
        <v>119.93</v>
      </c>
      <c r="K1182" t="s">
        <v>19</v>
      </c>
      <c r="L1182" t="s">
        <v>30</v>
      </c>
      <c r="M1182" s="2">
        <v>6</v>
      </c>
      <c r="N1182" t="s">
        <v>31</v>
      </c>
    </row>
    <row r="1183" spans="1:14" x14ac:dyDescent="0.3">
      <c r="A1183" t="s">
        <v>1219</v>
      </c>
      <c r="B1183" s="2">
        <v>20</v>
      </c>
      <c r="C1183" t="s">
        <v>16</v>
      </c>
      <c r="D1183" t="s">
        <v>42</v>
      </c>
      <c r="E1183" t="s">
        <v>29</v>
      </c>
      <c r="F1183" s="3">
        <v>45491</v>
      </c>
      <c r="G1183" s="3">
        <v>45595</v>
      </c>
      <c r="H1183" s="2">
        <v>24</v>
      </c>
      <c r="I1183" s="1">
        <v>1198.8</v>
      </c>
      <c r="J1183" s="1">
        <v>49.95</v>
      </c>
      <c r="K1183" t="s">
        <v>25</v>
      </c>
      <c r="L1183" t="s">
        <v>30</v>
      </c>
      <c r="M1183" s="2">
        <v>2</v>
      </c>
      <c r="N1183" t="s">
        <v>21</v>
      </c>
    </row>
    <row r="1184" spans="1:14" x14ac:dyDescent="0.3">
      <c r="A1184" t="s">
        <v>1220</v>
      </c>
      <c r="B1184" s="2">
        <v>42</v>
      </c>
      <c r="C1184" t="s">
        <v>23</v>
      </c>
      <c r="D1184" t="s">
        <v>24</v>
      </c>
      <c r="E1184" t="s">
        <v>34</v>
      </c>
      <c r="F1184" s="3">
        <v>45973</v>
      </c>
      <c r="G1184" s="3">
        <v>46216</v>
      </c>
      <c r="H1184" s="2">
        <v>22</v>
      </c>
      <c r="I1184" s="1">
        <v>1198.3399999999999</v>
      </c>
      <c r="J1184" s="1">
        <v>54.47</v>
      </c>
      <c r="K1184" t="s">
        <v>25</v>
      </c>
      <c r="L1184" t="s">
        <v>20</v>
      </c>
      <c r="M1184" s="2">
        <v>10</v>
      </c>
      <c r="N1184" t="s">
        <v>31</v>
      </c>
    </row>
    <row r="1185" spans="1:14" x14ac:dyDescent="0.3">
      <c r="A1185" t="s">
        <v>1221</v>
      </c>
      <c r="B1185" s="2">
        <v>53</v>
      </c>
      <c r="C1185" t="s">
        <v>16</v>
      </c>
      <c r="D1185" t="s">
        <v>17</v>
      </c>
      <c r="E1185" t="s">
        <v>38</v>
      </c>
      <c r="F1185" s="3">
        <v>45732</v>
      </c>
      <c r="G1185" s="3">
        <v>45782</v>
      </c>
      <c r="H1185" s="2">
        <v>23</v>
      </c>
      <c r="I1185" s="1">
        <v>1196.92</v>
      </c>
      <c r="J1185" s="1">
        <v>52.04</v>
      </c>
      <c r="K1185" t="s">
        <v>25</v>
      </c>
      <c r="L1185" t="s">
        <v>26</v>
      </c>
      <c r="M1185" s="2">
        <v>6</v>
      </c>
      <c r="N1185" t="s">
        <v>21</v>
      </c>
    </row>
    <row r="1186" spans="1:14" x14ac:dyDescent="0.3">
      <c r="A1186" t="s">
        <v>1222</v>
      </c>
      <c r="B1186" s="2">
        <v>31</v>
      </c>
      <c r="C1186" t="s">
        <v>23</v>
      </c>
      <c r="D1186" t="s">
        <v>50</v>
      </c>
      <c r="E1186" t="s">
        <v>18</v>
      </c>
      <c r="F1186" s="3">
        <v>45442</v>
      </c>
      <c r="G1186" s="3">
        <v>45591</v>
      </c>
      <c r="H1186" s="2">
        <v>13</v>
      </c>
      <c r="I1186" s="1">
        <v>1196.6500000000001</v>
      </c>
      <c r="J1186" s="1">
        <v>92.05</v>
      </c>
      <c r="K1186" t="s">
        <v>45</v>
      </c>
      <c r="L1186" t="s">
        <v>26</v>
      </c>
      <c r="M1186" s="2">
        <v>9</v>
      </c>
      <c r="N1186" t="s">
        <v>21</v>
      </c>
    </row>
    <row r="1187" spans="1:14" x14ac:dyDescent="0.3">
      <c r="A1187" t="s">
        <v>1223</v>
      </c>
      <c r="B1187" s="2">
        <v>65</v>
      </c>
      <c r="C1187" t="s">
        <v>23</v>
      </c>
      <c r="D1187" t="s">
        <v>44</v>
      </c>
      <c r="E1187" t="s">
        <v>18</v>
      </c>
      <c r="F1187" s="3">
        <v>45726</v>
      </c>
      <c r="G1187" s="3">
        <v>45779</v>
      </c>
      <c r="H1187" s="2">
        <v>7</v>
      </c>
      <c r="I1187" s="1">
        <v>1193.99</v>
      </c>
      <c r="J1187" s="1">
        <v>170.57</v>
      </c>
      <c r="K1187" t="s">
        <v>25</v>
      </c>
      <c r="L1187" t="s">
        <v>30</v>
      </c>
      <c r="M1187" s="2">
        <v>8</v>
      </c>
      <c r="N1187" t="s">
        <v>21</v>
      </c>
    </row>
    <row r="1188" spans="1:14" x14ac:dyDescent="0.3">
      <c r="A1188" t="s">
        <v>1224</v>
      </c>
      <c r="B1188" s="2">
        <v>34</v>
      </c>
      <c r="C1188" t="s">
        <v>16</v>
      </c>
      <c r="D1188" t="s">
        <v>17</v>
      </c>
      <c r="E1188" t="s">
        <v>34</v>
      </c>
      <c r="F1188" s="3">
        <v>45699</v>
      </c>
      <c r="G1188" s="3">
        <v>45944</v>
      </c>
      <c r="H1188" s="2">
        <v>22</v>
      </c>
      <c r="I1188" s="1">
        <v>1193.94</v>
      </c>
      <c r="J1188" s="1">
        <v>54.27</v>
      </c>
      <c r="K1188" t="s">
        <v>25</v>
      </c>
      <c r="L1188" t="s">
        <v>26</v>
      </c>
      <c r="M1188" s="2">
        <v>5</v>
      </c>
      <c r="N1188" t="s">
        <v>31</v>
      </c>
    </row>
    <row r="1189" spans="1:14" x14ac:dyDescent="0.3">
      <c r="A1189" t="s">
        <v>1225</v>
      </c>
      <c r="B1189" s="2">
        <v>27</v>
      </c>
      <c r="C1189" t="s">
        <v>16</v>
      </c>
      <c r="D1189" t="s">
        <v>50</v>
      </c>
      <c r="E1189" t="s">
        <v>18</v>
      </c>
      <c r="F1189" s="3">
        <v>45710</v>
      </c>
      <c r="G1189" s="3">
        <v>45844</v>
      </c>
      <c r="H1189" s="2">
        <v>6</v>
      </c>
      <c r="I1189" s="1">
        <v>1192.8599999999999</v>
      </c>
      <c r="J1189" s="1">
        <v>198.81</v>
      </c>
      <c r="K1189" t="s">
        <v>25</v>
      </c>
      <c r="L1189" t="s">
        <v>20</v>
      </c>
      <c r="M1189" s="2">
        <v>5</v>
      </c>
      <c r="N1189" t="s">
        <v>21</v>
      </c>
    </row>
    <row r="1190" spans="1:14" x14ac:dyDescent="0.3">
      <c r="A1190" t="s">
        <v>1226</v>
      </c>
      <c r="B1190" s="2">
        <v>56</v>
      </c>
      <c r="C1190" t="s">
        <v>23</v>
      </c>
      <c r="D1190" t="s">
        <v>50</v>
      </c>
      <c r="E1190" t="s">
        <v>29</v>
      </c>
      <c r="F1190" s="3">
        <v>45423</v>
      </c>
      <c r="G1190" s="3">
        <v>45666</v>
      </c>
      <c r="H1190" s="2">
        <v>18</v>
      </c>
      <c r="I1190" s="1">
        <v>1192.32</v>
      </c>
      <c r="J1190" s="1">
        <v>66.239999999999995</v>
      </c>
      <c r="K1190" t="s">
        <v>45</v>
      </c>
      <c r="L1190" t="s">
        <v>26</v>
      </c>
      <c r="M1190" s="2">
        <v>6</v>
      </c>
      <c r="N1190" t="s">
        <v>21</v>
      </c>
    </row>
    <row r="1191" spans="1:14" x14ac:dyDescent="0.3">
      <c r="A1191" t="s">
        <v>1227</v>
      </c>
      <c r="B1191" s="2">
        <v>19</v>
      </c>
      <c r="C1191" t="s">
        <v>16</v>
      </c>
      <c r="D1191" t="s">
        <v>50</v>
      </c>
      <c r="E1191" t="s">
        <v>38</v>
      </c>
      <c r="F1191" s="3">
        <v>45902</v>
      </c>
      <c r="G1191" s="3">
        <v>46078</v>
      </c>
      <c r="H1191" s="2">
        <v>5</v>
      </c>
      <c r="I1191" s="1">
        <v>1190.9000000000001</v>
      </c>
      <c r="J1191" s="1">
        <v>238.18</v>
      </c>
      <c r="K1191" t="s">
        <v>39</v>
      </c>
      <c r="L1191" t="s">
        <v>30</v>
      </c>
      <c r="M1191" s="2">
        <v>5</v>
      </c>
      <c r="N1191" t="s">
        <v>21</v>
      </c>
    </row>
    <row r="1192" spans="1:14" x14ac:dyDescent="0.3">
      <c r="A1192" t="s">
        <v>1228</v>
      </c>
      <c r="B1192" s="2">
        <v>46</v>
      </c>
      <c r="C1192" t="s">
        <v>16</v>
      </c>
      <c r="D1192" t="s">
        <v>24</v>
      </c>
      <c r="E1192" t="s">
        <v>34</v>
      </c>
      <c r="F1192" s="3">
        <v>45893</v>
      </c>
      <c r="G1192" s="3">
        <v>46102</v>
      </c>
      <c r="H1192" s="2">
        <v>4</v>
      </c>
      <c r="I1192" s="1">
        <v>1190.28</v>
      </c>
      <c r="J1192" s="1">
        <v>297.57</v>
      </c>
      <c r="K1192" t="s">
        <v>25</v>
      </c>
      <c r="L1192" t="s">
        <v>20</v>
      </c>
      <c r="M1192" s="2">
        <v>2</v>
      </c>
      <c r="N1192" t="s">
        <v>21</v>
      </c>
    </row>
    <row r="1193" spans="1:14" x14ac:dyDescent="0.3">
      <c r="A1193" t="s">
        <v>1229</v>
      </c>
      <c r="B1193" s="2">
        <v>56</v>
      </c>
      <c r="C1193" t="s">
        <v>23</v>
      </c>
      <c r="D1193" t="s">
        <v>28</v>
      </c>
      <c r="E1193" t="s">
        <v>34</v>
      </c>
      <c r="F1193" s="3">
        <v>45346</v>
      </c>
      <c r="G1193" s="3">
        <v>45396</v>
      </c>
      <c r="H1193" s="2">
        <v>14</v>
      </c>
      <c r="I1193" s="1">
        <v>1190</v>
      </c>
      <c r="J1193" s="1">
        <v>85</v>
      </c>
      <c r="K1193" t="s">
        <v>39</v>
      </c>
      <c r="L1193" t="s">
        <v>20</v>
      </c>
      <c r="M1193" s="2">
        <v>5</v>
      </c>
      <c r="N1193" t="s">
        <v>31</v>
      </c>
    </row>
    <row r="1194" spans="1:14" x14ac:dyDescent="0.3">
      <c r="A1194" t="s">
        <v>1230</v>
      </c>
      <c r="B1194" s="2">
        <v>39</v>
      </c>
      <c r="C1194" t="s">
        <v>16</v>
      </c>
      <c r="D1194" t="s">
        <v>17</v>
      </c>
      <c r="E1194" t="s">
        <v>18</v>
      </c>
      <c r="F1194" s="3">
        <v>45861</v>
      </c>
      <c r="G1194" s="3">
        <v>46117</v>
      </c>
      <c r="H1194" s="2">
        <v>17</v>
      </c>
      <c r="I1194" s="1">
        <v>1189.49</v>
      </c>
      <c r="J1194" s="1">
        <v>69.97</v>
      </c>
      <c r="K1194" t="s">
        <v>45</v>
      </c>
      <c r="L1194" t="s">
        <v>30</v>
      </c>
      <c r="M1194" s="2">
        <v>5</v>
      </c>
      <c r="N1194" t="s">
        <v>21</v>
      </c>
    </row>
    <row r="1195" spans="1:14" x14ac:dyDescent="0.3">
      <c r="A1195" t="s">
        <v>1231</v>
      </c>
      <c r="B1195" s="2">
        <v>51</v>
      </c>
      <c r="C1195" t="s">
        <v>16</v>
      </c>
      <c r="D1195" t="s">
        <v>61</v>
      </c>
      <c r="E1195" t="s">
        <v>18</v>
      </c>
      <c r="F1195" s="3">
        <v>45375</v>
      </c>
      <c r="G1195" s="3">
        <v>45589</v>
      </c>
      <c r="H1195" s="2">
        <v>4</v>
      </c>
      <c r="I1195" s="1">
        <v>1189.3599999999999</v>
      </c>
      <c r="J1195" s="1">
        <v>297.33999999999997</v>
      </c>
      <c r="K1195" t="s">
        <v>45</v>
      </c>
      <c r="L1195" t="s">
        <v>20</v>
      </c>
      <c r="M1195" s="2">
        <v>3</v>
      </c>
      <c r="N1195" t="s">
        <v>21</v>
      </c>
    </row>
    <row r="1196" spans="1:14" x14ac:dyDescent="0.3">
      <c r="A1196" t="s">
        <v>1232</v>
      </c>
      <c r="B1196" s="2">
        <v>40</v>
      </c>
      <c r="C1196" t="s">
        <v>23</v>
      </c>
      <c r="D1196" t="s">
        <v>50</v>
      </c>
      <c r="E1196" t="s">
        <v>18</v>
      </c>
      <c r="F1196" s="3">
        <v>45740</v>
      </c>
      <c r="G1196" s="3">
        <v>45958</v>
      </c>
      <c r="H1196" s="2">
        <v>5</v>
      </c>
      <c r="I1196" s="1">
        <v>1186.25</v>
      </c>
      <c r="J1196" s="1">
        <v>237.25</v>
      </c>
      <c r="K1196" t="s">
        <v>25</v>
      </c>
      <c r="L1196" t="s">
        <v>26</v>
      </c>
      <c r="M1196" s="2">
        <v>6</v>
      </c>
      <c r="N1196" t="s">
        <v>21</v>
      </c>
    </row>
    <row r="1197" spans="1:14" x14ac:dyDescent="0.3">
      <c r="A1197" t="s">
        <v>1233</v>
      </c>
      <c r="B1197" s="2">
        <v>51</v>
      </c>
      <c r="C1197" t="s">
        <v>16</v>
      </c>
      <c r="D1197" t="s">
        <v>50</v>
      </c>
      <c r="E1197" t="s">
        <v>18</v>
      </c>
      <c r="F1197" s="3">
        <v>45609</v>
      </c>
      <c r="G1197" s="3">
        <v>45776</v>
      </c>
      <c r="H1197" s="2">
        <v>5</v>
      </c>
      <c r="I1197" s="1">
        <v>1177.25</v>
      </c>
      <c r="J1197" s="1">
        <v>235.45</v>
      </c>
      <c r="K1197" t="s">
        <v>35</v>
      </c>
      <c r="L1197" t="s">
        <v>26</v>
      </c>
      <c r="M1197" s="2">
        <v>9</v>
      </c>
      <c r="N1197" t="s">
        <v>31</v>
      </c>
    </row>
    <row r="1198" spans="1:14" x14ac:dyDescent="0.3">
      <c r="A1198" t="s">
        <v>1234</v>
      </c>
      <c r="B1198" s="2">
        <v>46</v>
      </c>
      <c r="C1198" t="s">
        <v>16</v>
      </c>
      <c r="D1198" t="s">
        <v>61</v>
      </c>
      <c r="E1198" t="s">
        <v>38</v>
      </c>
      <c r="F1198" s="3">
        <v>45772</v>
      </c>
      <c r="G1198" s="3">
        <v>45789</v>
      </c>
      <c r="H1198" s="2">
        <v>11</v>
      </c>
      <c r="I1198" s="1">
        <v>1174.25</v>
      </c>
      <c r="J1198" s="1">
        <v>106.75</v>
      </c>
      <c r="K1198" t="s">
        <v>39</v>
      </c>
      <c r="L1198" t="s">
        <v>30</v>
      </c>
      <c r="M1198" s="2">
        <v>3</v>
      </c>
      <c r="N1198" t="s">
        <v>21</v>
      </c>
    </row>
    <row r="1199" spans="1:14" x14ac:dyDescent="0.3">
      <c r="A1199" t="s">
        <v>1235</v>
      </c>
      <c r="B1199" s="2">
        <v>44</v>
      </c>
      <c r="C1199" t="s">
        <v>16</v>
      </c>
      <c r="D1199" t="s">
        <v>42</v>
      </c>
      <c r="E1199" t="s">
        <v>29</v>
      </c>
      <c r="F1199" s="3">
        <v>45959</v>
      </c>
      <c r="G1199" s="3">
        <v>46066</v>
      </c>
      <c r="H1199" s="2">
        <v>23</v>
      </c>
      <c r="I1199" s="1">
        <v>1173.46</v>
      </c>
      <c r="J1199" s="1">
        <v>51.02</v>
      </c>
      <c r="K1199" t="s">
        <v>35</v>
      </c>
      <c r="L1199" t="s">
        <v>30</v>
      </c>
      <c r="M1199" s="2">
        <v>3</v>
      </c>
      <c r="N1199" t="s">
        <v>21</v>
      </c>
    </row>
    <row r="1200" spans="1:14" x14ac:dyDescent="0.3">
      <c r="A1200" t="s">
        <v>1236</v>
      </c>
      <c r="B1200" s="2">
        <v>23</v>
      </c>
      <c r="C1200" t="s">
        <v>23</v>
      </c>
      <c r="D1200" t="s">
        <v>24</v>
      </c>
      <c r="E1200" t="s">
        <v>38</v>
      </c>
      <c r="F1200" s="3">
        <v>45391</v>
      </c>
      <c r="G1200" s="3">
        <v>45398</v>
      </c>
      <c r="H1200" s="2">
        <v>5</v>
      </c>
      <c r="I1200" s="1">
        <v>1172.8499999999999</v>
      </c>
      <c r="J1200" s="1">
        <v>234.57</v>
      </c>
      <c r="K1200" t="s">
        <v>45</v>
      </c>
      <c r="L1200" t="s">
        <v>30</v>
      </c>
      <c r="M1200" s="2">
        <v>5</v>
      </c>
      <c r="N1200" t="s">
        <v>21</v>
      </c>
    </row>
    <row r="1201" spans="1:14" x14ac:dyDescent="0.3">
      <c r="A1201" t="s">
        <v>1237</v>
      </c>
      <c r="B1201" s="2">
        <v>24</v>
      </c>
      <c r="C1201" t="s">
        <v>23</v>
      </c>
      <c r="D1201" t="s">
        <v>17</v>
      </c>
      <c r="E1201" t="s">
        <v>18</v>
      </c>
      <c r="F1201" s="3">
        <v>45583</v>
      </c>
      <c r="G1201" s="3">
        <v>45610</v>
      </c>
      <c r="H1201" s="2">
        <v>8</v>
      </c>
      <c r="I1201" s="1">
        <v>1171.92</v>
      </c>
      <c r="J1201" s="1">
        <v>146.49</v>
      </c>
      <c r="K1201" t="s">
        <v>25</v>
      </c>
      <c r="L1201" t="s">
        <v>26</v>
      </c>
      <c r="M1201" s="2">
        <v>8</v>
      </c>
      <c r="N1201" t="s">
        <v>21</v>
      </c>
    </row>
    <row r="1202" spans="1:14" x14ac:dyDescent="0.3">
      <c r="A1202" t="s">
        <v>1238</v>
      </c>
      <c r="B1202" s="2">
        <v>24</v>
      </c>
      <c r="C1202" t="s">
        <v>16</v>
      </c>
      <c r="D1202" t="s">
        <v>42</v>
      </c>
      <c r="E1202" t="s">
        <v>18</v>
      </c>
      <c r="F1202" s="3">
        <v>45825</v>
      </c>
      <c r="G1202" s="3">
        <v>45878</v>
      </c>
      <c r="H1202" s="2">
        <v>5</v>
      </c>
      <c r="I1202" s="1">
        <v>1170.0999999999999</v>
      </c>
      <c r="J1202" s="1">
        <v>234.02</v>
      </c>
      <c r="K1202" t="s">
        <v>19</v>
      </c>
      <c r="L1202" t="s">
        <v>20</v>
      </c>
      <c r="M1202" s="2">
        <v>7</v>
      </c>
      <c r="N1202" t="s">
        <v>21</v>
      </c>
    </row>
    <row r="1203" spans="1:14" x14ac:dyDescent="0.3">
      <c r="A1203" t="s">
        <v>1239</v>
      </c>
      <c r="B1203" s="2">
        <v>41</v>
      </c>
      <c r="C1203" t="s">
        <v>23</v>
      </c>
      <c r="D1203" t="s">
        <v>17</v>
      </c>
      <c r="E1203" t="s">
        <v>38</v>
      </c>
      <c r="F1203" s="3">
        <v>45744</v>
      </c>
      <c r="G1203" s="3">
        <v>45815</v>
      </c>
      <c r="H1203" s="2">
        <v>4</v>
      </c>
      <c r="I1203" s="1">
        <v>1168.28</v>
      </c>
      <c r="J1203" s="1">
        <v>292.07</v>
      </c>
      <c r="K1203" t="s">
        <v>19</v>
      </c>
      <c r="L1203" t="s">
        <v>20</v>
      </c>
      <c r="M1203" s="2">
        <v>3</v>
      </c>
      <c r="N1203" t="s">
        <v>21</v>
      </c>
    </row>
    <row r="1204" spans="1:14" x14ac:dyDescent="0.3">
      <c r="A1204" t="s">
        <v>1240</v>
      </c>
      <c r="B1204" s="2">
        <v>50</v>
      </c>
      <c r="C1204" t="s">
        <v>16</v>
      </c>
      <c r="D1204" t="s">
        <v>44</v>
      </c>
      <c r="E1204" t="s">
        <v>38</v>
      </c>
      <c r="F1204" s="3">
        <v>45550</v>
      </c>
      <c r="G1204" s="3">
        <v>45715</v>
      </c>
      <c r="H1204" s="2">
        <v>4</v>
      </c>
      <c r="I1204" s="1">
        <v>1166.5999999999999</v>
      </c>
      <c r="J1204" s="1">
        <v>291.64999999999998</v>
      </c>
      <c r="K1204" t="s">
        <v>35</v>
      </c>
      <c r="L1204" t="s">
        <v>30</v>
      </c>
      <c r="M1204" s="2">
        <v>4</v>
      </c>
      <c r="N1204" t="s">
        <v>21</v>
      </c>
    </row>
    <row r="1205" spans="1:14" x14ac:dyDescent="0.3">
      <c r="A1205" t="s">
        <v>1241</v>
      </c>
      <c r="B1205" s="2">
        <v>61</v>
      </c>
      <c r="C1205" t="s">
        <v>16</v>
      </c>
      <c r="D1205" t="s">
        <v>17</v>
      </c>
      <c r="E1205" t="s">
        <v>29</v>
      </c>
      <c r="F1205" s="3">
        <v>45647</v>
      </c>
      <c r="G1205" s="3">
        <v>45794</v>
      </c>
      <c r="H1205" s="2">
        <v>4</v>
      </c>
      <c r="I1205" s="1">
        <v>1165.8</v>
      </c>
      <c r="J1205" s="1">
        <v>291.45</v>
      </c>
      <c r="K1205" t="s">
        <v>19</v>
      </c>
      <c r="L1205" t="s">
        <v>26</v>
      </c>
      <c r="M1205" s="2">
        <v>10</v>
      </c>
      <c r="N1205" t="s">
        <v>21</v>
      </c>
    </row>
    <row r="1206" spans="1:14" x14ac:dyDescent="0.3">
      <c r="A1206" t="s">
        <v>1242</v>
      </c>
      <c r="B1206" s="2">
        <v>30</v>
      </c>
      <c r="C1206" t="s">
        <v>16</v>
      </c>
      <c r="D1206" t="s">
        <v>42</v>
      </c>
      <c r="E1206" t="s">
        <v>34</v>
      </c>
      <c r="F1206" s="3">
        <v>45870</v>
      </c>
      <c r="G1206" s="3">
        <v>46031</v>
      </c>
      <c r="H1206" s="2">
        <v>14</v>
      </c>
      <c r="I1206" s="1">
        <v>1165.78</v>
      </c>
      <c r="J1206" s="1">
        <v>83.27</v>
      </c>
      <c r="K1206" t="s">
        <v>35</v>
      </c>
      <c r="L1206" t="s">
        <v>26</v>
      </c>
      <c r="M1206" s="2">
        <v>2</v>
      </c>
      <c r="N1206" t="s">
        <v>21</v>
      </c>
    </row>
    <row r="1207" spans="1:14" x14ac:dyDescent="0.3">
      <c r="A1207" t="s">
        <v>1243</v>
      </c>
      <c r="B1207" s="2">
        <v>24</v>
      </c>
      <c r="C1207" t="s">
        <v>23</v>
      </c>
      <c r="D1207" t="s">
        <v>50</v>
      </c>
      <c r="E1207" t="s">
        <v>38</v>
      </c>
      <c r="F1207" s="3">
        <v>45645</v>
      </c>
      <c r="G1207" s="3">
        <v>45849</v>
      </c>
      <c r="H1207" s="2">
        <v>5</v>
      </c>
      <c r="I1207" s="1">
        <v>1164.95</v>
      </c>
      <c r="J1207" s="1">
        <v>232.99</v>
      </c>
      <c r="K1207" t="s">
        <v>39</v>
      </c>
      <c r="L1207" t="s">
        <v>26</v>
      </c>
      <c r="M1207" s="2">
        <v>8</v>
      </c>
      <c r="N1207" t="s">
        <v>21</v>
      </c>
    </row>
    <row r="1208" spans="1:14" x14ac:dyDescent="0.3">
      <c r="A1208" t="s">
        <v>1244</v>
      </c>
      <c r="B1208" s="2">
        <v>35</v>
      </c>
      <c r="C1208" t="s">
        <v>16</v>
      </c>
      <c r="D1208" t="s">
        <v>24</v>
      </c>
      <c r="E1208" t="s">
        <v>18</v>
      </c>
      <c r="F1208" s="3">
        <v>45618</v>
      </c>
      <c r="G1208" s="3">
        <v>45843</v>
      </c>
      <c r="H1208" s="2">
        <v>22</v>
      </c>
      <c r="I1208" s="1">
        <v>1164.68</v>
      </c>
      <c r="J1208" s="1">
        <v>52.94</v>
      </c>
      <c r="K1208" t="s">
        <v>25</v>
      </c>
      <c r="L1208" t="s">
        <v>20</v>
      </c>
      <c r="M1208" s="2">
        <v>6</v>
      </c>
      <c r="N1208" t="s">
        <v>31</v>
      </c>
    </row>
    <row r="1209" spans="1:14" x14ac:dyDescent="0.3">
      <c r="A1209" t="s">
        <v>1245</v>
      </c>
      <c r="B1209" s="2">
        <v>56</v>
      </c>
      <c r="C1209" t="s">
        <v>23</v>
      </c>
      <c r="D1209" t="s">
        <v>17</v>
      </c>
      <c r="E1209" t="s">
        <v>38</v>
      </c>
      <c r="F1209" s="3">
        <v>45334</v>
      </c>
      <c r="G1209" s="3">
        <v>45383</v>
      </c>
      <c r="H1209" s="2">
        <v>7</v>
      </c>
      <c r="I1209" s="1">
        <v>1163.75</v>
      </c>
      <c r="J1209" s="1">
        <v>166.25</v>
      </c>
      <c r="K1209" t="s">
        <v>45</v>
      </c>
      <c r="L1209" t="s">
        <v>20</v>
      </c>
      <c r="M1209" s="2">
        <v>7</v>
      </c>
      <c r="N1209" t="s">
        <v>31</v>
      </c>
    </row>
    <row r="1210" spans="1:14" x14ac:dyDescent="0.3">
      <c r="A1210" t="s">
        <v>1246</v>
      </c>
      <c r="B1210" s="2">
        <v>24</v>
      </c>
      <c r="C1210" t="s">
        <v>23</v>
      </c>
      <c r="D1210" t="s">
        <v>44</v>
      </c>
      <c r="E1210" t="s">
        <v>38</v>
      </c>
      <c r="F1210" s="3">
        <v>45643</v>
      </c>
      <c r="G1210" s="3">
        <v>45876</v>
      </c>
      <c r="H1210" s="2">
        <v>7</v>
      </c>
      <c r="I1210" s="1">
        <v>1161.3699999999999</v>
      </c>
      <c r="J1210" s="1">
        <v>165.91</v>
      </c>
      <c r="K1210" t="s">
        <v>45</v>
      </c>
      <c r="L1210" t="s">
        <v>30</v>
      </c>
      <c r="M1210" s="2">
        <v>5</v>
      </c>
      <c r="N1210" t="s">
        <v>21</v>
      </c>
    </row>
    <row r="1211" spans="1:14" x14ac:dyDescent="0.3">
      <c r="A1211" t="s">
        <v>1247</v>
      </c>
      <c r="B1211" s="2">
        <v>18</v>
      </c>
      <c r="C1211" t="s">
        <v>16</v>
      </c>
      <c r="D1211" t="s">
        <v>42</v>
      </c>
      <c r="E1211" t="s">
        <v>34</v>
      </c>
      <c r="F1211" s="3">
        <v>45795</v>
      </c>
      <c r="G1211" s="3">
        <v>45981</v>
      </c>
      <c r="H1211" s="2">
        <v>11</v>
      </c>
      <c r="I1211" s="1">
        <v>1157.42</v>
      </c>
      <c r="J1211" s="1">
        <v>105.22</v>
      </c>
      <c r="K1211" t="s">
        <v>45</v>
      </c>
      <c r="L1211" t="s">
        <v>20</v>
      </c>
      <c r="M1211" s="2">
        <v>10</v>
      </c>
      <c r="N1211" t="s">
        <v>31</v>
      </c>
    </row>
    <row r="1212" spans="1:14" x14ac:dyDescent="0.3">
      <c r="A1212" t="s">
        <v>1248</v>
      </c>
      <c r="B1212" s="2">
        <v>48</v>
      </c>
      <c r="C1212" t="s">
        <v>16</v>
      </c>
      <c r="D1212" t="s">
        <v>50</v>
      </c>
      <c r="E1212" t="s">
        <v>38</v>
      </c>
      <c r="F1212" s="3">
        <v>45565</v>
      </c>
      <c r="G1212" s="3">
        <v>45646</v>
      </c>
      <c r="H1212" s="2">
        <v>23</v>
      </c>
      <c r="I1212" s="1">
        <v>1156.21</v>
      </c>
      <c r="J1212" s="1">
        <v>50.27</v>
      </c>
      <c r="K1212" t="s">
        <v>45</v>
      </c>
      <c r="L1212" t="s">
        <v>26</v>
      </c>
      <c r="M1212" s="2">
        <v>4</v>
      </c>
      <c r="N1212" t="s">
        <v>21</v>
      </c>
    </row>
    <row r="1213" spans="1:14" x14ac:dyDescent="0.3">
      <c r="A1213" t="s">
        <v>1249</v>
      </c>
      <c r="B1213" s="2">
        <v>31</v>
      </c>
      <c r="C1213" t="s">
        <v>16</v>
      </c>
      <c r="D1213" t="s">
        <v>61</v>
      </c>
      <c r="E1213" t="s">
        <v>34</v>
      </c>
      <c r="F1213" s="3">
        <v>45651</v>
      </c>
      <c r="G1213" s="3">
        <v>45870</v>
      </c>
      <c r="H1213" s="2">
        <v>6</v>
      </c>
      <c r="I1213" s="1">
        <v>1155.1199999999999</v>
      </c>
      <c r="J1213" s="1">
        <v>192.52</v>
      </c>
      <c r="K1213" t="s">
        <v>19</v>
      </c>
      <c r="L1213" t="s">
        <v>26</v>
      </c>
      <c r="M1213" s="2">
        <v>10</v>
      </c>
      <c r="N1213" t="s">
        <v>21</v>
      </c>
    </row>
    <row r="1214" spans="1:14" x14ac:dyDescent="0.3">
      <c r="A1214" t="s">
        <v>1250</v>
      </c>
      <c r="B1214" s="2">
        <v>62</v>
      </c>
      <c r="C1214" t="s">
        <v>16</v>
      </c>
      <c r="D1214" t="s">
        <v>42</v>
      </c>
      <c r="E1214" t="s">
        <v>38</v>
      </c>
      <c r="F1214" s="3">
        <v>45424</v>
      </c>
      <c r="G1214" s="3">
        <v>45695</v>
      </c>
      <c r="H1214" s="2">
        <v>10</v>
      </c>
      <c r="I1214" s="1">
        <v>1155.0999999999999</v>
      </c>
      <c r="J1214" s="1">
        <v>115.51</v>
      </c>
      <c r="K1214" t="s">
        <v>39</v>
      </c>
      <c r="L1214" t="s">
        <v>30</v>
      </c>
      <c r="M1214" s="2">
        <v>8</v>
      </c>
      <c r="N1214" t="s">
        <v>21</v>
      </c>
    </row>
    <row r="1215" spans="1:14" x14ac:dyDescent="0.3">
      <c r="A1215" t="s">
        <v>1251</v>
      </c>
      <c r="B1215" s="2">
        <v>22</v>
      </c>
      <c r="C1215" t="s">
        <v>16</v>
      </c>
      <c r="D1215" t="s">
        <v>61</v>
      </c>
      <c r="E1215" t="s">
        <v>34</v>
      </c>
      <c r="F1215" s="3">
        <v>45707</v>
      </c>
      <c r="G1215" s="3">
        <v>46007</v>
      </c>
      <c r="H1215" s="2">
        <v>7</v>
      </c>
      <c r="I1215" s="1">
        <v>1154.79</v>
      </c>
      <c r="J1215" s="1">
        <v>164.97</v>
      </c>
      <c r="K1215" t="s">
        <v>19</v>
      </c>
      <c r="L1215" t="s">
        <v>20</v>
      </c>
      <c r="M1215" s="2">
        <v>6</v>
      </c>
      <c r="N1215" t="s">
        <v>21</v>
      </c>
    </row>
    <row r="1216" spans="1:14" x14ac:dyDescent="0.3">
      <c r="A1216" t="s">
        <v>1252</v>
      </c>
      <c r="B1216" s="2">
        <v>29</v>
      </c>
      <c r="C1216" t="s">
        <v>16</v>
      </c>
      <c r="D1216" t="s">
        <v>28</v>
      </c>
      <c r="E1216" t="s">
        <v>38</v>
      </c>
      <c r="F1216" s="3">
        <v>45405</v>
      </c>
      <c r="G1216" s="3">
        <v>45468</v>
      </c>
      <c r="H1216" s="2">
        <v>20</v>
      </c>
      <c r="I1216" s="1">
        <v>1154.5999999999999</v>
      </c>
      <c r="J1216" s="1">
        <v>57.73</v>
      </c>
      <c r="K1216" t="s">
        <v>45</v>
      </c>
      <c r="L1216" t="s">
        <v>30</v>
      </c>
      <c r="M1216" s="2">
        <v>7</v>
      </c>
      <c r="N1216" t="s">
        <v>21</v>
      </c>
    </row>
    <row r="1217" spans="1:14" x14ac:dyDescent="0.3">
      <c r="A1217" t="s">
        <v>1253</v>
      </c>
      <c r="B1217" s="2">
        <v>32</v>
      </c>
      <c r="C1217" t="s">
        <v>16</v>
      </c>
      <c r="D1217" t="s">
        <v>28</v>
      </c>
      <c r="E1217" t="s">
        <v>38</v>
      </c>
      <c r="F1217" s="3">
        <v>45661</v>
      </c>
      <c r="G1217" s="3">
        <v>45786</v>
      </c>
      <c r="H1217" s="2">
        <v>5</v>
      </c>
      <c r="I1217" s="1">
        <v>1154.5</v>
      </c>
      <c r="J1217" s="1">
        <v>230.9</v>
      </c>
      <c r="K1217" t="s">
        <v>35</v>
      </c>
      <c r="L1217" t="s">
        <v>26</v>
      </c>
      <c r="M1217" s="2">
        <v>8</v>
      </c>
      <c r="N1217" t="s">
        <v>21</v>
      </c>
    </row>
    <row r="1218" spans="1:14" x14ac:dyDescent="0.3">
      <c r="A1218" t="s">
        <v>1254</v>
      </c>
      <c r="B1218" s="2">
        <v>47</v>
      </c>
      <c r="C1218" t="s">
        <v>16</v>
      </c>
      <c r="D1218" t="s">
        <v>61</v>
      </c>
      <c r="E1218" t="s">
        <v>38</v>
      </c>
      <c r="F1218" s="3">
        <v>45941</v>
      </c>
      <c r="G1218" s="3">
        <v>46014</v>
      </c>
      <c r="H1218" s="2">
        <v>5</v>
      </c>
      <c r="I1218" s="1">
        <v>1150.9000000000001</v>
      </c>
      <c r="J1218" s="1">
        <v>230.18</v>
      </c>
      <c r="K1218" t="s">
        <v>25</v>
      </c>
      <c r="L1218" t="s">
        <v>20</v>
      </c>
      <c r="M1218" s="2">
        <v>7</v>
      </c>
      <c r="N1218" t="s">
        <v>21</v>
      </c>
    </row>
    <row r="1219" spans="1:14" x14ac:dyDescent="0.3">
      <c r="A1219" t="s">
        <v>1255</v>
      </c>
      <c r="B1219" s="2">
        <v>32</v>
      </c>
      <c r="C1219" t="s">
        <v>23</v>
      </c>
      <c r="D1219" t="s">
        <v>42</v>
      </c>
      <c r="E1219" t="s">
        <v>38</v>
      </c>
      <c r="F1219" s="3">
        <v>45435</v>
      </c>
      <c r="G1219" s="3">
        <v>45589</v>
      </c>
      <c r="H1219" s="2">
        <v>13</v>
      </c>
      <c r="I1219" s="1">
        <v>1149.98</v>
      </c>
      <c r="J1219" s="1">
        <v>88.46</v>
      </c>
      <c r="K1219" t="s">
        <v>35</v>
      </c>
      <c r="L1219" t="s">
        <v>26</v>
      </c>
      <c r="M1219" s="2">
        <v>8</v>
      </c>
      <c r="N1219" t="s">
        <v>31</v>
      </c>
    </row>
    <row r="1220" spans="1:14" x14ac:dyDescent="0.3">
      <c r="A1220" t="s">
        <v>1256</v>
      </c>
      <c r="B1220" s="2">
        <v>28</v>
      </c>
      <c r="C1220" t="s">
        <v>23</v>
      </c>
      <c r="D1220" t="s">
        <v>28</v>
      </c>
      <c r="E1220" t="s">
        <v>38</v>
      </c>
      <c r="F1220" s="3">
        <v>45892</v>
      </c>
      <c r="G1220" s="3">
        <v>45943</v>
      </c>
      <c r="H1220" s="2">
        <v>11</v>
      </c>
      <c r="I1220" s="1">
        <v>1149.3900000000001</v>
      </c>
      <c r="J1220" s="1">
        <v>104.49</v>
      </c>
      <c r="K1220" t="s">
        <v>45</v>
      </c>
      <c r="L1220" t="s">
        <v>30</v>
      </c>
      <c r="M1220" s="2">
        <v>9</v>
      </c>
      <c r="N1220" t="s">
        <v>31</v>
      </c>
    </row>
    <row r="1221" spans="1:14" x14ac:dyDescent="0.3">
      <c r="A1221" t="s">
        <v>1257</v>
      </c>
      <c r="B1221" s="2">
        <v>47</v>
      </c>
      <c r="C1221" t="s">
        <v>23</v>
      </c>
      <c r="D1221" t="s">
        <v>24</v>
      </c>
      <c r="E1221" t="s">
        <v>38</v>
      </c>
      <c r="F1221" s="3">
        <v>45896</v>
      </c>
      <c r="G1221" s="3">
        <v>46028</v>
      </c>
      <c r="H1221" s="2">
        <v>7</v>
      </c>
      <c r="I1221" s="1">
        <v>1149.19</v>
      </c>
      <c r="J1221" s="1">
        <v>164.17</v>
      </c>
      <c r="K1221" t="s">
        <v>45</v>
      </c>
      <c r="L1221" t="s">
        <v>30</v>
      </c>
      <c r="M1221" s="2">
        <v>2</v>
      </c>
      <c r="N1221" t="s">
        <v>21</v>
      </c>
    </row>
    <row r="1222" spans="1:14" x14ac:dyDescent="0.3">
      <c r="A1222" t="s">
        <v>1258</v>
      </c>
      <c r="B1222" s="2">
        <v>52</v>
      </c>
      <c r="C1222" t="s">
        <v>16</v>
      </c>
      <c r="D1222" t="s">
        <v>28</v>
      </c>
      <c r="E1222" t="s">
        <v>18</v>
      </c>
      <c r="F1222" s="3">
        <v>45607</v>
      </c>
      <c r="G1222" s="3">
        <v>45836</v>
      </c>
      <c r="H1222" s="2">
        <v>14</v>
      </c>
      <c r="I1222" s="1">
        <v>1147.58</v>
      </c>
      <c r="J1222" s="1">
        <v>81.97</v>
      </c>
      <c r="K1222" t="s">
        <v>19</v>
      </c>
      <c r="L1222" t="s">
        <v>20</v>
      </c>
      <c r="M1222" s="2">
        <v>6</v>
      </c>
      <c r="N1222" t="s">
        <v>21</v>
      </c>
    </row>
    <row r="1223" spans="1:14" x14ac:dyDescent="0.3">
      <c r="A1223" t="s">
        <v>1259</v>
      </c>
      <c r="B1223" s="2">
        <v>48</v>
      </c>
      <c r="C1223" t="s">
        <v>23</v>
      </c>
      <c r="D1223" t="s">
        <v>42</v>
      </c>
      <c r="E1223" t="s">
        <v>29</v>
      </c>
      <c r="F1223" s="3">
        <v>45602</v>
      </c>
      <c r="G1223" s="3">
        <v>45716</v>
      </c>
      <c r="H1223" s="2">
        <v>15</v>
      </c>
      <c r="I1223" s="1">
        <v>1143.9000000000001</v>
      </c>
      <c r="J1223" s="1">
        <v>76.260000000000005</v>
      </c>
      <c r="K1223" t="s">
        <v>35</v>
      </c>
      <c r="L1223" t="s">
        <v>30</v>
      </c>
      <c r="M1223" s="2">
        <v>8</v>
      </c>
      <c r="N1223" t="s">
        <v>21</v>
      </c>
    </row>
    <row r="1224" spans="1:14" x14ac:dyDescent="0.3">
      <c r="A1224" t="s">
        <v>1260</v>
      </c>
      <c r="B1224" s="2">
        <v>22</v>
      </c>
      <c r="C1224" t="s">
        <v>23</v>
      </c>
      <c r="D1224" t="s">
        <v>44</v>
      </c>
      <c r="E1224" t="s">
        <v>34</v>
      </c>
      <c r="F1224" s="3">
        <v>45473</v>
      </c>
      <c r="G1224" s="3">
        <v>45550</v>
      </c>
      <c r="H1224" s="2">
        <v>4</v>
      </c>
      <c r="I1224" s="1">
        <v>1143.72</v>
      </c>
      <c r="J1224" s="1">
        <v>285.93</v>
      </c>
      <c r="K1224" t="s">
        <v>19</v>
      </c>
      <c r="L1224" t="s">
        <v>20</v>
      </c>
      <c r="M1224" s="2">
        <v>2</v>
      </c>
      <c r="N1224" t="s">
        <v>31</v>
      </c>
    </row>
    <row r="1225" spans="1:14" x14ac:dyDescent="0.3">
      <c r="A1225" t="s">
        <v>1261</v>
      </c>
      <c r="B1225" s="2">
        <v>59</v>
      </c>
      <c r="C1225" t="s">
        <v>16</v>
      </c>
      <c r="D1225" t="s">
        <v>24</v>
      </c>
      <c r="E1225" t="s">
        <v>34</v>
      </c>
      <c r="F1225" s="3">
        <v>45331</v>
      </c>
      <c r="G1225" s="3">
        <v>45471</v>
      </c>
      <c r="H1225" s="2">
        <v>12</v>
      </c>
      <c r="I1225" s="1">
        <v>1143</v>
      </c>
      <c r="J1225" s="1">
        <v>95.25</v>
      </c>
      <c r="K1225" t="s">
        <v>19</v>
      </c>
      <c r="L1225" t="s">
        <v>20</v>
      </c>
      <c r="M1225" s="2">
        <v>6</v>
      </c>
      <c r="N1225" t="s">
        <v>21</v>
      </c>
    </row>
    <row r="1226" spans="1:14" x14ac:dyDescent="0.3">
      <c r="A1226" t="s">
        <v>1262</v>
      </c>
      <c r="B1226" s="2">
        <v>24</v>
      </c>
      <c r="C1226" t="s">
        <v>23</v>
      </c>
      <c r="D1226" t="s">
        <v>24</v>
      </c>
      <c r="E1226" t="s">
        <v>38</v>
      </c>
      <c r="F1226" s="3">
        <v>45432</v>
      </c>
      <c r="G1226" s="3">
        <v>45467</v>
      </c>
      <c r="H1226" s="2">
        <v>4</v>
      </c>
      <c r="I1226" s="1">
        <v>1142.8399999999999</v>
      </c>
      <c r="J1226" s="1">
        <v>285.70999999999998</v>
      </c>
      <c r="K1226" t="s">
        <v>45</v>
      </c>
      <c r="L1226" t="s">
        <v>26</v>
      </c>
      <c r="M1226" s="2">
        <v>9</v>
      </c>
      <c r="N1226" t="s">
        <v>21</v>
      </c>
    </row>
    <row r="1227" spans="1:14" x14ac:dyDescent="0.3">
      <c r="A1227" t="s">
        <v>1263</v>
      </c>
      <c r="B1227" s="2">
        <v>43</v>
      </c>
      <c r="C1227" t="s">
        <v>23</v>
      </c>
      <c r="D1227" t="s">
        <v>50</v>
      </c>
      <c r="E1227" t="s">
        <v>34</v>
      </c>
      <c r="F1227" s="3">
        <v>45471</v>
      </c>
      <c r="G1227" s="3">
        <v>45650</v>
      </c>
      <c r="H1227" s="2">
        <v>15</v>
      </c>
      <c r="I1227" s="1">
        <v>1142.7</v>
      </c>
      <c r="J1227" s="1">
        <v>76.180000000000007</v>
      </c>
      <c r="K1227" t="s">
        <v>19</v>
      </c>
      <c r="L1227" t="s">
        <v>30</v>
      </c>
      <c r="M1227" s="2">
        <v>4</v>
      </c>
      <c r="N1227" t="s">
        <v>21</v>
      </c>
    </row>
    <row r="1228" spans="1:14" x14ac:dyDescent="0.3">
      <c r="A1228" t="s">
        <v>1264</v>
      </c>
      <c r="B1228" s="2">
        <v>19</v>
      </c>
      <c r="C1228" t="s">
        <v>23</v>
      </c>
      <c r="D1228" t="s">
        <v>50</v>
      </c>
      <c r="E1228" t="s">
        <v>29</v>
      </c>
      <c r="F1228" s="3">
        <v>45333</v>
      </c>
      <c r="G1228" s="3">
        <v>45458</v>
      </c>
      <c r="H1228" s="2">
        <v>18</v>
      </c>
      <c r="I1228" s="1">
        <v>1141.2</v>
      </c>
      <c r="J1228" s="1">
        <v>63.4</v>
      </c>
      <c r="K1228" t="s">
        <v>25</v>
      </c>
      <c r="L1228" t="s">
        <v>30</v>
      </c>
      <c r="M1228" s="2">
        <v>8</v>
      </c>
      <c r="N1228" t="s">
        <v>21</v>
      </c>
    </row>
    <row r="1229" spans="1:14" x14ac:dyDescent="0.3">
      <c r="A1229" t="s">
        <v>1265</v>
      </c>
      <c r="B1229" s="2">
        <v>57</v>
      </c>
      <c r="C1229" t="s">
        <v>23</v>
      </c>
      <c r="D1229" t="s">
        <v>44</v>
      </c>
      <c r="E1229" t="s">
        <v>18</v>
      </c>
      <c r="F1229" s="3">
        <v>45721</v>
      </c>
      <c r="G1229" s="3">
        <v>46011</v>
      </c>
      <c r="H1229" s="2">
        <v>11</v>
      </c>
      <c r="I1229" s="1">
        <v>1141.1400000000001</v>
      </c>
      <c r="J1229" s="1">
        <v>103.74</v>
      </c>
      <c r="K1229" t="s">
        <v>45</v>
      </c>
      <c r="L1229" t="s">
        <v>30</v>
      </c>
      <c r="M1229" s="2">
        <v>7</v>
      </c>
      <c r="N1229" t="s">
        <v>21</v>
      </c>
    </row>
    <row r="1230" spans="1:14" x14ac:dyDescent="0.3">
      <c r="A1230" t="s">
        <v>1266</v>
      </c>
      <c r="B1230" s="2">
        <v>57</v>
      </c>
      <c r="C1230" t="s">
        <v>16</v>
      </c>
      <c r="D1230" t="s">
        <v>44</v>
      </c>
      <c r="E1230" t="s">
        <v>38</v>
      </c>
      <c r="F1230" s="3">
        <v>45318</v>
      </c>
      <c r="G1230" s="3">
        <v>45549</v>
      </c>
      <c r="H1230" s="2">
        <v>9</v>
      </c>
      <c r="I1230" s="1">
        <v>1138.77</v>
      </c>
      <c r="J1230" s="1">
        <v>126.53</v>
      </c>
      <c r="K1230" t="s">
        <v>35</v>
      </c>
      <c r="L1230" t="s">
        <v>20</v>
      </c>
      <c r="M1230" s="2">
        <v>9</v>
      </c>
      <c r="N1230" t="s">
        <v>31</v>
      </c>
    </row>
    <row r="1231" spans="1:14" x14ac:dyDescent="0.3">
      <c r="A1231" t="s">
        <v>1267</v>
      </c>
      <c r="B1231" s="2">
        <v>56</v>
      </c>
      <c r="C1231" t="s">
        <v>16</v>
      </c>
      <c r="D1231" t="s">
        <v>24</v>
      </c>
      <c r="E1231" t="s">
        <v>34</v>
      </c>
      <c r="F1231" s="3">
        <v>45599</v>
      </c>
      <c r="G1231" s="3">
        <v>45891</v>
      </c>
      <c r="H1231" s="2">
        <v>15</v>
      </c>
      <c r="I1231" s="1">
        <v>1137.5999999999999</v>
      </c>
      <c r="J1231" s="1">
        <v>75.84</v>
      </c>
      <c r="K1231" t="s">
        <v>25</v>
      </c>
      <c r="L1231" t="s">
        <v>26</v>
      </c>
      <c r="M1231" s="2">
        <v>9</v>
      </c>
      <c r="N1231" t="s">
        <v>21</v>
      </c>
    </row>
    <row r="1232" spans="1:14" x14ac:dyDescent="0.3">
      <c r="A1232" t="s">
        <v>1268</v>
      </c>
      <c r="B1232" s="2">
        <v>24</v>
      </c>
      <c r="C1232" t="s">
        <v>16</v>
      </c>
      <c r="D1232" t="s">
        <v>42</v>
      </c>
      <c r="E1232" t="s">
        <v>34</v>
      </c>
      <c r="F1232" s="3">
        <v>45525</v>
      </c>
      <c r="G1232" s="3">
        <v>45793</v>
      </c>
      <c r="H1232" s="2">
        <v>17</v>
      </c>
      <c r="I1232" s="1">
        <v>1136.45</v>
      </c>
      <c r="J1232" s="1">
        <v>66.849999999999994</v>
      </c>
      <c r="K1232" t="s">
        <v>35</v>
      </c>
      <c r="L1232" t="s">
        <v>26</v>
      </c>
      <c r="M1232" s="2">
        <v>6</v>
      </c>
      <c r="N1232" t="s">
        <v>31</v>
      </c>
    </row>
    <row r="1233" spans="1:14" x14ac:dyDescent="0.3">
      <c r="A1233" t="s">
        <v>1269</v>
      </c>
      <c r="B1233" s="2">
        <v>29</v>
      </c>
      <c r="C1233" t="s">
        <v>16</v>
      </c>
      <c r="D1233" t="s">
        <v>61</v>
      </c>
      <c r="E1233" t="s">
        <v>38</v>
      </c>
      <c r="F1233" s="3">
        <v>45782</v>
      </c>
      <c r="G1233" s="3">
        <v>45829</v>
      </c>
      <c r="H1233" s="2">
        <v>16</v>
      </c>
      <c r="I1233" s="1">
        <v>1133.1199999999999</v>
      </c>
      <c r="J1233" s="1">
        <v>70.819999999999993</v>
      </c>
      <c r="K1233" t="s">
        <v>25</v>
      </c>
      <c r="L1233" t="s">
        <v>20</v>
      </c>
      <c r="M1233" s="2">
        <v>5</v>
      </c>
      <c r="N1233" t="s">
        <v>21</v>
      </c>
    </row>
    <row r="1234" spans="1:14" x14ac:dyDescent="0.3">
      <c r="A1234" t="s">
        <v>1270</v>
      </c>
      <c r="B1234" s="2">
        <v>30</v>
      </c>
      <c r="C1234" t="s">
        <v>23</v>
      </c>
      <c r="D1234" t="s">
        <v>42</v>
      </c>
      <c r="E1234" t="s">
        <v>29</v>
      </c>
      <c r="F1234" s="3">
        <v>45746</v>
      </c>
      <c r="G1234" s="3">
        <v>45906</v>
      </c>
      <c r="H1234" s="2">
        <v>4</v>
      </c>
      <c r="I1234" s="1">
        <v>1129.32</v>
      </c>
      <c r="J1234" s="1">
        <v>282.33</v>
      </c>
      <c r="K1234" t="s">
        <v>19</v>
      </c>
      <c r="L1234" t="s">
        <v>30</v>
      </c>
      <c r="M1234" s="2">
        <v>6</v>
      </c>
      <c r="N1234" t="s">
        <v>21</v>
      </c>
    </row>
    <row r="1235" spans="1:14" x14ac:dyDescent="0.3">
      <c r="A1235" t="s">
        <v>1271</v>
      </c>
      <c r="B1235" s="2">
        <v>50</v>
      </c>
      <c r="C1235" t="s">
        <v>16</v>
      </c>
      <c r="D1235" t="s">
        <v>17</v>
      </c>
      <c r="E1235" t="s">
        <v>38</v>
      </c>
      <c r="F1235" s="3">
        <v>45982</v>
      </c>
      <c r="G1235" s="3">
        <v>46120</v>
      </c>
      <c r="H1235" s="2">
        <v>6</v>
      </c>
      <c r="I1235" s="1">
        <v>1127.82</v>
      </c>
      <c r="J1235" s="1">
        <v>187.97</v>
      </c>
      <c r="K1235" t="s">
        <v>19</v>
      </c>
      <c r="L1235" t="s">
        <v>20</v>
      </c>
      <c r="M1235" s="2">
        <v>8</v>
      </c>
      <c r="N1235" t="s">
        <v>21</v>
      </c>
    </row>
    <row r="1236" spans="1:14" x14ac:dyDescent="0.3">
      <c r="A1236" t="s">
        <v>1272</v>
      </c>
      <c r="B1236" s="2">
        <v>59</v>
      </c>
      <c r="C1236" t="s">
        <v>16</v>
      </c>
      <c r="D1236" t="s">
        <v>24</v>
      </c>
      <c r="E1236" t="s">
        <v>29</v>
      </c>
      <c r="F1236" s="3">
        <v>45414</v>
      </c>
      <c r="G1236" s="3">
        <v>45458</v>
      </c>
      <c r="H1236" s="2">
        <v>20</v>
      </c>
      <c r="I1236" s="1">
        <v>1127.4000000000001</v>
      </c>
      <c r="J1236" s="1">
        <v>56.37</v>
      </c>
      <c r="K1236" t="s">
        <v>45</v>
      </c>
      <c r="L1236" t="s">
        <v>26</v>
      </c>
      <c r="M1236" s="2">
        <v>8</v>
      </c>
      <c r="N1236" t="s">
        <v>21</v>
      </c>
    </row>
    <row r="1237" spans="1:14" x14ac:dyDescent="0.3">
      <c r="A1237" t="s">
        <v>1273</v>
      </c>
      <c r="B1237" s="2">
        <v>18</v>
      </c>
      <c r="C1237" t="s">
        <v>16</v>
      </c>
      <c r="D1237" t="s">
        <v>61</v>
      </c>
      <c r="E1237" t="s">
        <v>18</v>
      </c>
      <c r="F1237" s="3">
        <v>45516</v>
      </c>
      <c r="G1237" s="3">
        <v>45629</v>
      </c>
      <c r="H1237" s="2">
        <v>10</v>
      </c>
      <c r="I1237" s="1">
        <v>1126.9000000000001</v>
      </c>
      <c r="J1237" s="1">
        <v>112.69</v>
      </c>
      <c r="K1237" t="s">
        <v>35</v>
      </c>
      <c r="L1237" t="s">
        <v>20</v>
      </c>
      <c r="M1237" s="2">
        <v>1</v>
      </c>
      <c r="N1237" t="s">
        <v>31</v>
      </c>
    </row>
    <row r="1238" spans="1:14" x14ac:dyDescent="0.3">
      <c r="A1238" t="s">
        <v>1274</v>
      </c>
      <c r="B1238" s="2">
        <v>60</v>
      </c>
      <c r="C1238" t="s">
        <v>23</v>
      </c>
      <c r="D1238" t="s">
        <v>44</v>
      </c>
      <c r="E1238" t="s">
        <v>29</v>
      </c>
      <c r="F1238" s="3">
        <v>45477</v>
      </c>
      <c r="G1238" s="3">
        <v>45674</v>
      </c>
      <c r="H1238" s="2">
        <v>4</v>
      </c>
      <c r="I1238" s="1">
        <v>1125.08</v>
      </c>
      <c r="J1238" s="1">
        <v>281.27</v>
      </c>
      <c r="K1238" t="s">
        <v>25</v>
      </c>
      <c r="L1238" t="s">
        <v>30</v>
      </c>
      <c r="M1238" s="2">
        <v>7</v>
      </c>
      <c r="N1238" t="s">
        <v>21</v>
      </c>
    </row>
    <row r="1239" spans="1:14" x14ac:dyDescent="0.3">
      <c r="A1239" t="s">
        <v>1275</v>
      </c>
      <c r="B1239" s="2">
        <v>25</v>
      </c>
      <c r="C1239" t="s">
        <v>23</v>
      </c>
      <c r="D1239" t="s">
        <v>24</v>
      </c>
      <c r="E1239" t="s">
        <v>29</v>
      </c>
      <c r="F1239" s="3">
        <v>45549</v>
      </c>
      <c r="G1239" s="3">
        <v>45730</v>
      </c>
      <c r="H1239" s="2">
        <v>6</v>
      </c>
      <c r="I1239" s="1">
        <v>1124.94</v>
      </c>
      <c r="J1239" s="1">
        <v>187.49</v>
      </c>
      <c r="K1239" t="s">
        <v>25</v>
      </c>
      <c r="L1239" t="s">
        <v>30</v>
      </c>
      <c r="M1239" s="2">
        <v>8</v>
      </c>
      <c r="N1239" t="s">
        <v>21</v>
      </c>
    </row>
    <row r="1240" spans="1:14" x14ac:dyDescent="0.3">
      <c r="A1240" t="s">
        <v>1276</v>
      </c>
      <c r="B1240" s="2">
        <v>62</v>
      </c>
      <c r="C1240" t="s">
        <v>23</v>
      </c>
      <c r="D1240" t="s">
        <v>44</v>
      </c>
      <c r="E1240" t="s">
        <v>18</v>
      </c>
      <c r="F1240" s="3">
        <v>45521</v>
      </c>
      <c r="G1240" s="3">
        <v>45808</v>
      </c>
      <c r="H1240" s="2">
        <v>13</v>
      </c>
      <c r="I1240" s="1">
        <v>1124.8900000000001</v>
      </c>
      <c r="J1240" s="1">
        <v>86.53</v>
      </c>
      <c r="K1240" t="s">
        <v>35</v>
      </c>
      <c r="L1240" t="s">
        <v>26</v>
      </c>
      <c r="M1240" s="2">
        <v>7</v>
      </c>
      <c r="N1240" t="s">
        <v>21</v>
      </c>
    </row>
    <row r="1241" spans="1:14" x14ac:dyDescent="0.3">
      <c r="A1241" t="s">
        <v>1277</v>
      </c>
      <c r="B1241" s="2">
        <v>52</v>
      </c>
      <c r="C1241" t="s">
        <v>16</v>
      </c>
      <c r="D1241" t="s">
        <v>44</v>
      </c>
      <c r="E1241" t="s">
        <v>18</v>
      </c>
      <c r="F1241" s="3">
        <v>45694</v>
      </c>
      <c r="G1241" s="3">
        <v>45880</v>
      </c>
      <c r="H1241" s="2">
        <v>4</v>
      </c>
      <c r="I1241" s="1">
        <v>1123.92</v>
      </c>
      <c r="J1241" s="1">
        <v>280.98</v>
      </c>
      <c r="K1241" t="s">
        <v>35</v>
      </c>
      <c r="L1241" t="s">
        <v>20</v>
      </c>
      <c r="M1241" s="2">
        <v>4</v>
      </c>
      <c r="N1241" t="s">
        <v>21</v>
      </c>
    </row>
    <row r="1242" spans="1:14" x14ac:dyDescent="0.3">
      <c r="A1242" t="s">
        <v>1278</v>
      </c>
      <c r="B1242" s="2">
        <v>52</v>
      </c>
      <c r="C1242" t="s">
        <v>16</v>
      </c>
      <c r="D1242" t="s">
        <v>50</v>
      </c>
      <c r="E1242" t="s">
        <v>38</v>
      </c>
      <c r="F1242" s="3">
        <v>45400</v>
      </c>
      <c r="G1242" s="3">
        <v>45694</v>
      </c>
      <c r="H1242" s="2">
        <v>22</v>
      </c>
      <c r="I1242" s="1">
        <v>1120.24</v>
      </c>
      <c r="J1242" s="1">
        <v>50.92</v>
      </c>
      <c r="K1242" t="s">
        <v>19</v>
      </c>
      <c r="L1242" t="s">
        <v>26</v>
      </c>
      <c r="M1242" s="2">
        <v>5</v>
      </c>
      <c r="N1242" t="s">
        <v>21</v>
      </c>
    </row>
    <row r="1243" spans="1:14" x14ac:dyDescent="0.3">
      <c r="A1243" t="s">
        <v>1279</v>
      </c>
      <c r="B1243" s="2">
        <v>44</v>
      </c>
      <c r="C1243" t="s">
        <v>16</v>
      </c>
      <c r="D1243" t="s">
        <v>24</v>
      </c>
      <c r="E1243" t="s">
        <v>18</v>
      </c>
      <c r="F1243" s="3">
        <v>45783</v>
      </c>
      <c r="G1243" s="3">
        <v>45792</v>
      </c>
      <c r="H1243" s="2">
        <v>21</v>
      </c>
      <c r="I1243" s="1">
        <v>1115.73</v>
      </c>
      <c r="J1243" s="1">
        <v>53.13</v>
      </c>
      <c r="K1243" t="s">
        <v>25</v>
      </c>
      <c r="L1243" t="s">
        <v>26</v>
      </c>
      <c r="M1243" s="2">
        <v>6</v>
      </c>
      <c r="N1243" t="s">
        <v>21</v>
      </c>
    </row>
    <row r="1244" spans="1:14" x14ac:dyDescent="0.3">
      <c r="A1244" t="s">
        <v>1280</v>
      </c>
      <c r="B1244" s="2">
        <v>45</v>
      </c>
      <c r="C1244" t="s">
        <v>23</v>
      </c>
      <c r="D1244" t="s">
        <v>44</v>
      </c>
      <c r="E1244" t="s">
        <v>29</v>
      </c>
      <c r="F1244" s="3">
        <v>45796</v>
      </c>
      <c r="G1244" s="3">
        <v>45992</v>
      </c>
      <c r="H1244" s="2">
        <v>18</v>
      </c>
      <c r="I1244" s="1">
        <v>1115.6400000000001</v>
      </c>
      <c r="J1244" s="1">
        <v>61.98</v>
      </c>
      <c r="K1244" t="s">
        <v>25</v>
      </c>
      <c r="L1244" t="s">
        <v>26</v>
      </c>
      <c r="M1244" s="2">
        <v>9</v>
      </c>
      <c r="N1244" t="s">
        <v>21</v>
      </c>
    </row>
    <row r="1245" spans="1:14" x14ac:dyDescent="0.3">
      <c r="A1245" t="s">
        <v>1281</v>
      </c>
      <c r="B1245" s="2">
        <v>41</v>
      </c>
      <c r="C1245" t="s">
        <v>23</v>
      </c>
      <c r="D1245" t="s">
        <v>44</v>
      </c>
      <c r="E1245" t="s">
        <v>18</v>
      </c>
      <c r="F1245" s="3">
        <v>45344</v>
      </c>
      <c r="G1245" s="3">
        <v>45345</v>
      </c>
      <c r="H1245" s="2">
        <v>16</v>
      </c>
      <c r="I1245" s="1">
        <v>1115.52</v>
      </c>
      <c r="J1245" s="1">
        <v>69.72</v>
      </c>
      <c r="K1245" t="s">
        <v>39</v>
      </c>
      <c r="L1245" t="s">
        <v>30</v>
      </c>
      <c r="M1245" s="2">
        <v>5</v>
      </c>
      <c r="N1245" t="s">
        <v>31</v>
      </c>
    </row>
    <row r="1246" spans="1:14" x14ac:dyDescent="0.3">
      <c r="A1246" t="s">
        <v>1282</v>
      </c>
      <c r="B1246" s="2">
        <v>54</v>
      </c>
      <c r="C1246" t="s">
        <v>23</v>
      </c>
      <c r="D1246" t="s">
        <v>50</v>
      </c>
      <c r="E1246" t="s">
        <v>38</v>
      </c>
      <c r="F1246" s="3">
        <v>45511</v>
      </c>
      <c r="G1246" s="3">
        <v>45787</v>
      </c>
      <c r="H1246" s="2">
        <v>5</v>
      </c>
      <c r="I1246" s="1">
        <v>1112.7</v>
      </c>
      <c r="J1246" s="1">
        <v>222.54</v>
      </c>
      <c r="K1246" t="s">
        <v>35</v>
      </c>
      <c r="L1246" t="s">
        <v>30</v>
      </c>
      <c r="M1246" s="2">
        <v>2</v>
      </c>
      <c r="N1246" t="s">
        <v>21</v>
      </c>
    </row>
    <row r="1247" spans="1:14" x14ac:dyDescent="0.3">
      <c r="A1247" t="s">
        <v>1283</v>
      </c>
      <c r="B1247" s="2">
        <v>33</v>
      </c>
      <c r="C1247" t="s">
        <v>16</v>
      </c>
      <c r="D1247" t="s">
        <v>42</v>
      </c>
      <c r="E1247" t="s">
        <v>29</v>
      </c>
      <c r="F1247" s="3">
        <v>45401</v>
      </c>
      <c r="G1247" s="3">
        <v>45536</v>
      </c>
      <c r="H1247" s="2">
        <v>6</v>
      </c>
      <c r="I1247" s="1">
        <v>1112.6400000000001</v>
      </c>
      <c r="J1247" s="1">
        <v>185.44</v>
      </c>
      <c r="K1247" t="s">
        <v>25</v>
      </c>
      <c r="L1247" t="s">
        <v>20</v>
      </c>
      <c r="M1247" s="2">
        <v>10</v>
      </c>
      <c r="N1247" t="s">
        <v>21</v>
      </c>
    </row>
    <row r="1248" spans="1:14" x14ac:dyDescent="0.3">
      <c r="A1248" t="s">
        <v>1284</v>
      </c>
      <c r="B1248" s="2">
        <v>53</v>
      </c>
      <c r="C1248" t="s">
        <v>23</v>
      </c>
      <c r="D1248" t="s">
        <v>24</v>
      </c>
      <c r="E1248" t="s">
        <v>29</v>
      </c>
      <c r="F1248" s="3">
        <v>45975</v>
      </c>
      <c r="G1248" s="3">
        <v>46123</v>
      </c>
      <c r="H1248" s="2">
        <v>14</v>
      </c>
      <c r="I1248" s="1">
        <v>1110.48</v>
      </c>
      <c r="J1248" s="1">
        <v>79.319999999999993</v>
      </c>
      <c r="K1248" t="s">
        <v>35</v>
      </c>
      <c r="L1248" t="s">
        <v>30</v>
      </c>
      <c r="M1248" s="2">
        <v>6</v>
      </c>
      <c r="N1248" t="s">
        <v>21</v>
      </c>
    </row>
    <row r="1249" spans="1:14" x14ac:dyDescent="0.3">
      <c r="A1249" t="s">
        <v>1285</v>
      </c>
      <c r="B1249" s="2">
        <v>42</v>
      </c>
      <c r="C1249" t="s">
        <v>16</v>
      </c>
      <c r="D1249" t="s">
        <v>24</v>
      </c>
      <c r="E1249" t="s">
        <v>29</v>
      </c>
      <c r="F1249" s="3">
        <v>45955</v>
      </c>
      <c r="G1249" s="3">
        <v>45963</v>
      </c>
      <c r="H1249" s="2">
        <v>5</v>
      </c>
      <c r="I1249" s="1">
        <v>1109.8499999999999</v>
      </c>
      <c r="J1249" s="1">
        <v>221.97</v>
      </c>
      <c r="K1249" t="s">
        <v>35</v>
      </c>
      <c r="L1249" t="s">
        <v>26</v>
      </c>
      <c r="M1249" s="2">
        <v>10</v>
      </c>
      <c r="N1249" t="s">
        <v>21</v>
      </c>
    </row>
    <row r="1250" spans="1:14" x14ac:dyDescent="0.3">
      <c r="A1250" t="s">
        <v>1286</v>
      </c>
      <c r="B1250" s="2">
        <v>36</v>
      </c>
      <c r="C1250" t="s">
        <v>23</v>
      </c>
      <c r="D1250" t="s">
        <v>61</v>
      </c>
      <c r="E1250" t="s">
        <v>29</v>
      </c>
      <c r="F1250" s="3">
        <v>45515</v>
      </c>
      <c r="G1250" s="3">
        <v>45734</v>
      </c>
      <c r="H1250" s="2">
        <v>7</v>
      </c>
      <c r="I1250" s="1">
        <v>1109.6400000000001</v>
      </c>
      <c r="J1250" s="1">
        <v>158.52000000000001</v>
      </c>
      <c r="K1250" t="s">
        <v>19</v>
      </c>
      <c r="L1250" t="s">
        <v>26</v>
      </c>
      <c r="M1250" s="2">
        <v>6</v>
      </c>
      <c r="N1250" t="s">
        <v>21</v>
      </c>
    </row>
    <row r="1251" spans="1:14" x14ac:dyDescent="0.3">
      <c r="A1251" t="s">
        <v>1287</v>
      </c>
      <c r="B1251" s="2">
        <v>60</v>
      </c>
      <c r="C1251" t="s">
        <v>16</v>
      </c>
      <c r="D1251" t="s">
        <v>44</v>
      </c>
      <c r="E1251" t="s">
        <v>38</v>
      </c>
      <c r="F1251" s="3">
        <v>45615</v>
      </c>
      <c r="G1251" s="3">
        <v>45912</v>
      </c>
      <c r="H1251" s="2">
        <v>13</v>
      </c>
      <c r="I1251" s="1">
        <v>1106.69</v>
      </c>
      <c r="J1251" s="1">
        <v>85.13</v>
      </c>
      <c r="K1251" t="s">
        <v>25</v>
      </c>
      <c r="L1251" t="s">
        <v>20</v>
      </c>
      <c r="M1251" s="2">
        <v>5</v>
      </c>
      <c r="N1251" t="s">
        <v>21</v>
      </c>
    </row>
    <row r="1252" spans="1:14" x14ac:dyDescent="0.3">
      <c r="A1252" t="s">
        <v>1288</v>
      </c>
      <c r="B1252" s="2">
        <v>29</v>
      </c>
      <c r="C1252" t="s">
        <v>16</v>
      </c>
      <c r="D1252" t="s">
        <v>17</v>
      </c>
      <c r="E1252" t="s">
        <v>38</v>
      </c>
      <c r="F1252" s="3">
        <v>45928</v>
      </c>
      <c r="G1252" s="3">
        <v>46065</v>
      </c>
      <c r="H1252" s="2">
        <v>24</v>
      </c>
      <c r="I1252" s="1">
        <v>1104.72</v>
      </c>
      <c r="J1252" s="1">
        <v>46.03</v>
      </c>
      <c r="K1252" t="s">
        <v>35</v>
      </c>
      <c r="L1252" t="s">
        <v>26</v>
      </c>
      <c r="M1252" s="2">
        <v>7</v>
      </c>
      <c r="N1252" t="s">
        <v>21</v>
      </c>
    </row>
    <row r="1253" spans="1:14" x14ac:dyDescent="0.3">
      <c r="A1253" t="s">
        <v>1289</v>
      </c>
      <c r="B1253" s="2">
        <v>45</v>
      </c>
      <c r="C1253" t="s">
        <v>23</v>
      </c>
      <c r="D1253" t="s">
        <v>61</v>
      </c>
      <c r="E1253" t="s">
        <v>34</v>
      </c>
      <c r="F1253" s="3">
        <v>45910</v>
      </c>
      <c r="G1253" s="3">
        <v>45998</v>
      </c>
      <c r="H1253" s="2">
        <v>17</v>
      </c>
      <c r="I1253" s="1">
        <v>1103.3</v>
      </c>
      <c r="J1253" s="1">
        <v>64.900000000000006</v>
      </c>
      <c r="K1253" t="s">
        <v>19</v>
      </c>
      <c r="L1253" t="s">
        <v>20</v>
      </c>
      <c r="M1253" s="2">
        <v>5</v>
      </c>
      <c r="N1253" t="s">
        <v>21</v>
      </c>
    </row>
    <row r="1254" spans="1:14" x14ac:dyDescent="0.3">
      <c r="A1254" t="s">
        <v>1290</v>
      </c>
      <c r="B1254" s="2">
        <v>29</v>
      </c>
      <c r="C1254" t="s">
        <v>16</v>
      </c>
      <c r="D1254" t="s">
        <v>44</v>
      </c>
      <c r="E1254" t="s">
        <v>29</v>
      </c>
      <c r="F1254" s="3">
        <v>45339</v>
      </c>
      <c r="G1254" s="3">
        <v>45457</v>
      </c>
      <c r="H1254" s="2">
        <v>8</v>
      </c>
      <c r="I1254" s="1">
        <v>1098.72</v>
      </c>
      <c r="J1254" s="1">
        <v>137.34</v>
      </c>
      <c r="K1254" t="s">
        <v>35</v>
      </c>
      <c r="L1254" t="s">
        <v>26</v>
      </c>
      <c r="M1254" s="2">
        <v>6</v>
      </c>
      <c r="N1254" t="s">
        <v>21</v>
      </c>
    </row>
    <row r="1255" spans="1:14" x14ac:dyDescent="0.3">
      <c r="A1255" t="s">
        <v>1291</v>
      </c>
      <c r="B1255" s="2">
        <v>59</v>
      </c>
      <c r="C1255" t="s">
        <v>16</v>
      </c>
      <c r="D1255" t="s">
        <v>24</v>
      </c>
      <c r="E1255" t="s">
        <v>34</v>
      </c>
      <c r="F1255" s="3">
        <v>45914</v>
      </c>
      <c r="G1255" s="3">
        <v>46146</v>
      </c>
      <c r="H1255" s="2">
        <v>16</v>
      </c>
      <c r="I1255" s="1">
        <v>1098.56</v>
      </c>
      <c r="J1255" s="1">
        <v>68.66</v>
      </c>
      <c r="K1255" t="s">
        <v>39</v>
      </c>
      <c r="L1255" t="s">
        <v>20</v>
      </c>
      <c r="M1255" s="2">
        <v>3</v>
      </c>
      <c r="N1255" t="s">
        <v>21</v>
      </c>
    </row>
    <row r="1256" spans="1:14" x14ac:dyDescent="0.3">
      <c r="A1256" t="s">
        <v>1292</v>
      </c>
      <c r="B1256" s="2">
        <v>20</v>
      </c>
      <c r="C1256" t="s">
        <v>16</v>
      </c>
      <c r="D1256" t="s">
        <v>61</v>
      </c>
      <c r="E1256" t="s">
        <v>38</v>
      </c>
      <c r="F1256" s="3">
        <v>45410</v>
      </c>
      <c r="G1256" s="3">
        <v>45543</v>
      </c>
      <c r="H1256" s="2">
        <v>6</v>
      </c>
      <c r="I1256" s="1">
        <v>1095.42</v>
      </c>
      <c r="J1256" s="1">
        <v>182.57</v>
      </c>
      <c r="K1256" t="s">
        <v>45</v>
      </c>
      <c r="L1256" t="s">
        <v>20</v>
      </c>
      <c r="M1256" s="2">
        <v>6</v>
      </c>
      <c r="N1256" t="s">
        <v>21</v>
      </c>
    </row>
    <row r="1257" spans="1:14" x14ac:dyDescent="0.3">
      <c r="A1257" t="s">
        <v>1293</v>
      </c>
      <c r="B1257" s="2">
        <v>18</v>
      </c>
      <c r="C1257" t="s">
        <v>23</v>
      </c>
      <c r="D1257" t="s">
        <v>24</v>
      </c>
      <c r="E1257" t="s">
        <v>18</v>
      </c>
      <c r="F1257" s="3">
        <v>45910</v>
      </c>
      <c r="G1257" s="3">
        <v>46042</v>
      </c>
      <c r="H1257" s="2">
        <v>22</v>
      </c>
      <c r="I1257" s="1">
        <v>1094.94</v>
      </c>
      <c r="J1257" s="1">
        <v>49.77</v>
      </c>
      <c r="K1257" t="s">
        <v>25</v>
      </c>
      <c r="L1257" t="s">
        <v>20</v>
      </c>
      <c r="M1257" s="2">
        <v>8</v>
      </c>
      <c r="N1257" t="s">
        <v>21</v>
      </c>
    </row>
    <row r="1258" spans="1:14" x14ac:dyDescent="0.3">
      <c r="A1258" t="s">
        <v>1294</v>
      </c>
      <c r="B1258" s="2">
        <v>43</v>
      </c>
      <c r="C1258" t="s">
        <v>23</v>
      </c>
      <c r="D1258" t="s">
        <v>42</v>
      </c>
      <c r="E1258" t="s">
        <v>18</v>
      </c>
      <c r="F1258" s="3">
        <v>45542</v>
      </c>
      <c r="G1258" s="3">
        <v>45576</v>
      </c>
      <c r="H1258" s="2">
        <v>21</v>
      </c>
      <c r="I1258" s="1">
        <v>1094.73</v>
      </c>
      <c r="J1258" s="1">
        <v>52.13</v>
      </c>
      <c r="K1258" t="s">
        <v>25</v>
      </c>
      <c r="L1258" t="s">
        <v>30</v>
      </c>
      <c r="M1258" s="2">
        <v>8</v>
      </c>
      <c r="N1258" t="s">
        <v>31</v>
      </c>
    </row>
    <row r="1259" spans="1:14" x14ac:dyDescent="0.3">
      <c r="A1259" t="s">
        <v>1295</v>
      </c>
      <c r="B1259" s="2">
        <v>33</v>
      </c>
      <c r="C1259" t="s">
        <v>16</v>
      </c>
      <c r="D1259" t="s">
        <v>44</v>
      </c>
      <c r="E1259" t="s">
        <v>38</v>
      </c>
      <c r="F1259" s="3">
        <v>45715</v>
      </c>
      <c r="G1259" s="3">
        <v>45913</v>
      </c>
      <c r="H1259" s="2">
        <v>25</v>
      </c>
      <c r="I1259" s="1">
        <v>1093</v>
      </c>
      <c r="J1259" s="1">
        <v>43.72</v>
      </c>
      <c r="K1259" t="s">
        <v>25</v>
      </c>
      <c r="L1259" t="s">
        <v>30</v>
      </c>
      <c r="M1259" s="2">
        <v>5</v>
      </c>
      <c r="N1259" t="s">
        <v>21</v>
      </c>
    </row>
    <row r="1260" spans="1:14" x14ac:dyDescent="0.3">
      <c r="A1260" t="s">
        <v>1296</v>
      </c>
      <c r="B1260" s="2">
        <v>35</v>
      </c>
      <c r="C1260" t="s">
        <v>16</v>
      </c>
      <c r="D1260" t="s">
        <v>24</v>
      </c>
      <c r="E1260" t="s">
        <v>38</v>
      </c>
      <c r="F1260" s="3">
        <v>45807</v>
      </c>
      <c r="G1260" s="3">
        <v>45973</v>
      </c>
      <c r="H1260" s="2">
        <v>9</v>
      </c>
      <c r="I1260" s="1">
        <v>1092.33</v>
      </c>
      <c r="J1260" s="1">
        <v>121.37</v>
      </c>
      <c r="K1260" t="s">
        <v>45</v>
      </c>
      <c r="L1260" t="s">
        <v>26</v>
      </c>
      <c r="M1260" s="2">
        <v>6</v>
      </c>
      <c r="N1260" t="s">
        <v>21</v>
      </c>
    </row>
    <row r="1261" spans="1:14" x14ac:dyDescent="0.3">
      <c r="A1261" t="s">
        <v>1297</v>
      </c>
      <c r="B1261" s="2">
        <v>50</v>
      </c>
      <c r="C1261" t="s">
        <v>23</v>
      </c>
      <c r="D1261" t="s">
        <v>17</v>
      </c>
      <c r="E1261" t="s">
        <v>29</v>
      </c>
      <c r="F1261" s="3">
        <v>45781</v>
      </c>
      <c r="G1261" s="3">
        <v>45784</v>
      </c>
      <c r="H1261" s="2">
        <v>9</v>
      </c>
      <c r="I1261" s="1">
        <v>1089.72</v>
      </c>
      <c r="J1261" s="1">
        <v>121.08</v>
      </c>
      <c r="K1261" t="s">
        <v>25</v>
      </c>
      <c r="L1261" t="s">
        <v>26</v>
      </c>
      <c r="M1261" s="2">
        <v>9</v>
      </c>
      <c r="N1261" t="s">
        <v>21</v>
      </c>
    </row>
    <row r="1262" spans="1:14" x14ac:dyDescent="0.3">
      <c r="A1262" t="s">
        <v>1298</v>
      </c>
      <c r="B1262" s="2">
        <v>23</v>
      </c>
      <c r="C1262" t="s">
        <v>16</v>
      </c>
      <c r="D1262" t="s">
        <v>24</v>
      </c>
      <c r="E1262" t="s">
        <v>18</v>
      </c>
      <c r="F1262" s="3">
        <v>45780</v>
      </c>
      <c r="G1262" s="3">
        <v>46037</v>
      </c>
      <c r="H1262" s="2">
        <v>17</v>
      </c>
      <c r="I1262" s="1">
        <v>1089.3599999999999</v>
      </c>
      <c r="J1262" s="1">
        <v>64.08</v>
      </c>
      <c r="K1262" t="s">
        <v>25</v>
      </c>
      <c r="L1262" t="s">
        <v>26</v>
      </c>
      <c r="M1262" s="2">
        <v>2</v>
      </c>
      <c r="N1262" t="s">
        <v>21</v>
      </c>
    </row>
    <row r="1263" spans="1:14" x14ac:dyDescent="0.3">
      <c r="A1263" t="s">
        <v>1299</v>
      </c>
      <c r="B1263" s="2">
        <v>65</v>
      </c>
      <c r="C1263" t="s">
        <v>23</v>
      </c>
      <c r="D1263" t="s">
        <v>42</v>
      </c>
      <c r="E1263" t="s">
        <v>38</v>
      </c>
      <c r="F1263" s="3">
        <v>45934</v>
      </c>
      <c r="G1263" s="3">
        <v>46198</v>
      </c>
      <c r="H1263" s="2">
        <v>6</v>
      </c>
      <c r="I1263" s="1">
        <v>1089.1199999999999</v>
      </c>
      <c r="J1263" s="1">
        <v>181.52</v>
      </c>
      <c r="K1263" t="s">
        <v>19</v>
      </c>
      <c r="L1263" t="s">
        <v>20</v>
      </c>
      <c r="M1263" s="2">
        <v>1</v>
      </c>
      <c r="N1263" t="s">
        <v>21</v>
      </c>
    </row>
    <row r="1264" spans="1:14" x14ac:dyDescent="0.3">
      <c r="A1264" t="s">
        <v>1300</v>
      </c>
      <c r="B1264" s="2">
        <v>60</v>
      </c>
      <c r="C1264" t="s">
        <v>23</v>
      </c>
      <c r="D1264" t="s">
        <v>42</v>
      </c>
      <c r="E1264" t="s">
        <v>34</v>
      </c>
      <c r="F1264" s="3">
        <v>45538</v>
      </c>
      <c r="G1264" s="3">
        <v>45546</v>
      </c>
      <c r="H1264" s="2">
        <v>15</v>
      </c>
      <c r="I1264" s="1">
        <v>1085.55</v>
      </c>
      <c r="J1264" s="1">
        <v>72.37</v>
      </c>
      <c r="K1264" t="s">
        <v>39</v>
      </c>
      <c r="L1264" t="s">
        <v>20</v>
      </c>
      <c r="M1264" s="2">
        <v>2</v>
      </c>
      <c r="N1264" t="s">
        <v>31</v>
      </c>
    </row>
    <row r="1265" spans="1:14" x14ac:dyDescent="0.3">
      <c r="A1265" t="s">
        <v>1301</v>
      </c>
      <c r="B1265" s="2">
        <v>65</v>
      </c>
      <c r="C1265" t="s">
        <v>16</v>
      </c>
      <c r="D1265" t="s">
        <v>24</v>
      </c>
      <c r="E1265" t="s">
        <v>29</v>
      </c>
      <c r="F1265" s="3">
        <v>45874</v>
      </c>
      <c r="G1265" s="3">
        <v>46130</v>
      </c>
      <c r="H1265" s="2">
        <v>16</v>
      </c>
      <c r="I1265" s="1">
        <v>1083.68</v>
      </c>
      <c r="J1265" s="1">
        <v>67.73</v>
      </c>
      <c r="K1265" t="s">
        <v>39</v>
      </c>
      <c r="L1265" t="s">
        <v>30</v>
      </c>
      <c r="M1265" s="2">
        <v>5</v>
      </c>
      <c r="N1265" t="s">
        <v>21</v>
      </c>
    </row>
    <row r="1266" spans="1:14" x14ac:dyDescent="0.3">
      <c r="A1266" t="s">
        <v>1302</v>
      </c>
      <c r="B1266" s="2">
        <v>32</v>
      </c>
      <c r="C1266" t="s">
        <v>16</v>
      </c>
      <c r="D1266" t="s">
        <v>61</v>
      </c>
      <c r="E1266" t="s">
        <v>29</v>
      </c>
      <c r="F1266" s="3">
        <v>45569</v>
      </c>
      <c r="G1266" s="3">
        <v>45842</v>
      </c>
      <c r="H1266" s="2">
        <v>9</v>
      </c>
      <c r="I1266" s="1">
        <v>1083.5999999999999</v>
      </c>
      <c r="J1266" s="1">
        <v>120.4</v>
      </c>
      <c r="K1266" t="s">
        <v>39</v>
      </c>
      <c r="L1266" t="s">
        <v>26</v>
      </c>
      <c r="M1266" s="2">
        <v>8</v>
      </c>
      <c r="N1266" t="s">
        <v>31</v>
      </c>
    </row>
    <row r="1267" spans="1:14" x14ac:dyDescent="0.3">
      <c r="A1267" t="s">
        <v>1303</v>
      </c>
      <c r="B1267" s="2">
        <v>23</v>
      </c>
      <c r="C1267" t="s">
        <v>23</v>
      </c>
      <c r="D1267" t="s">
        <v>28</v>
      </c>
      <c r="E1267" t="s">
        <v>34</v>
      </c>
      <c r="F1267" s="3">
        <v>45553</v>
      </c>
      <c r="G1267" s="3">
        <v>45847</v>
      </c>
      <c r="H1267" s="2">
        <v>14</v>
      </c>
      <c r="I1267" s="1">
        <v>1082.3399999999999</v>
      </c>
      <c r="J1267" s="1">
        <v>77.31</v>
      </c>
      <c r="K1267" t="s">
        <v>25</v>
      </c>
      <c r="L1267" t="s">
        <v>30</v>
      </c>
      <c r="M1267" s="2">
        <v>5</v>
      </c>
      <c r="N1267" t="s">
        <v>31</v>
      </c>
    </row>
    <row r="1268" spans="1:14" x14ac:dyDescent="0.3">
      <c r="A1268" t="s">
        <v>1304</v>
      </c>
      <c r="B1268" s="2">
        <v>56</v>
      </c>
      <c r="C1268" t="s">
        <v>16</v>
      </c>
      <c r="D1268" t="s">
        <v>28</v>
      </c>
      <c r="E1268" t="s">
        <v>34</v>
      </c>
      <c r="F1268" s="3">
        <v>45933</v>
      </c>
      <c r="G1268" s="3">
        <v>46206</v>
      </c>
      <c r="H1268" s="2">
        <v>6</v>
      </c>
      <c r="I1268" s="1">
        <v>1079.28</v>
      </c>
      <c r="J1268" s="1">
        <v>179.88</v>
      </c>
      <c r="K1268" t="s">
        <v>45</v>
      </c>
      <c r="L1268" t="s">
        <v>20</v>
      </c>
      <c r="M1268" s="2">
        <v>1</v>
      </c>
      <c r="N1268" t="s">
        <v>21</v>
      </c>
    </row>
    <row r="1269" spans="1:14" x14ac:dyDescent="0.3">
      <c r="A1269" t="s">
        <v>1305</v>
      </c>
      <c r="B1269" s="2">
        <v>32</v>
      </c>
      <c r="C1269" t="s">
        <v>23</v>
      </c>
      <c r="D1269" t="s">
        <v>24</v>
      </c>
      <c r="E1269" t="s">
        <v>18</v>
      </c>
      <c r="F1269" s="3">
        <v>45389</v>
      </c>
      <c r="G1269" s="3">
        <v>45389</v>
      </c>
      <c r="H1269" s="2">
        <v>7</v>
      </c>
      <c r="I1269" s="1">
        <v>1074.57</v>
      </c>
      <c r="J1269" s="1">
        <v>153.51</v>
      </c>
      <c r="K1269" t="s">
        <v>45</v>
      </c>
      <c r="L1269" t="s">
        <v>30</v>
      </c>
      <c r="M1269" s="2">
        <v>7</v>
      </c>
      <c r="N1269" t="s">
        <v>31</v>
      </c>
    </row>
    <row r="1270" spans="1:14" x14ac:dyDescent="0.3">
      <c r="A1270" t="s">
        <v>1306</v>
      </c>
      <c r="B1270" s="2">
        <v>54</v>
      </c>
      <c r="C1270" t="s">
        <v>23</v>
      </c>
      <c r="D1270" t="s">
        <v>61</v>
      </c>
      <c r="E1270" t="s">
        <v>18</v>
      </c>
      <c r="F1270" s="3">
        <v>45303</v>
      </c>
      <c r="G1270" s="3">
        <v>45586</v>
      </c>
      <c r="H1270" s="2">
        <v>18</v>
      </c>
      <c r="I1270" s="1">
        <v>1072.44</v>
      </c>
      <c r="J1270" s="1">
        <v>59.58</v>
      </c>
      <c r="K1270" t="s">
        <v>45</v>
      </c>
      <c r="L1270" t="s">
        <v>30</v>
      </c>
      <c r="M1270" s="2">
        <v>6</v>
      </c>
      <c r="N1270" t="s">
        <v>31</v>
      </c>
    </row>
    <row r="1271" spans="1:14" x14ac:dyDescent="0.3">
      <c r="A1271" t="s">
        <v>1307</v>
      </c>
      <c r="B1271" s="2">
        <v>44</v>
      </c>
      <c r="C1271" t="s">
        <v>16</v>
      </c>
      <c r="D1271" t="s">
        <v>61</v>
      </c>
      <c r="E1271" t="s">
        <v>29</v>
      </c>
      <c r="F1271" s="3">
        <v>45562</v>
      </c>
      <c r="G1271" s="3">
        <v>45707</v>
      </c>
      <c r="H1271" s="2">
        <v>20</v>
      </c>
      <c r="I1271" s="1">
        <v>1070.4000000000001</v>
      </c>
      <c r="J1271" s="1">
        <v>53.52</v>
      </c>
      <c r="K1271" t="s">
        <v>35</v>
      </c>
      <c r="L1271" t="s">
        <v>26</v>
      </c>
      <c r="M1271" s="2">
        <v>10</v>
      </c>
      <c r="N1271" t="s">
        <v>21</v>
      </c>
    </row>
    <row r="1272" spans="1:14" x14ac:dyDescent="0.3">
      <c r="A1272" t="s">
        <v>1308</v>
      </c>
      <c r="B1272" s="2">
        <v>54</v>
      </c>
      <c r="C1272" t="s">
        <v>23</v>
      </c>
      <c r="D1272" t="s">
        <v>50</v>
      </c>
      <c r="E1272" t="s">
        <v>38</v>
      </c>
      <c r="F1272" s="3">
        <v>45499</v>
      </c>
      <c r="G1272" s="3">
        <v>45649</v>
      </c>
      <c r="H1272" s="2">
        <v>18</v>
      </c>
      <c r="I1272" s="1">
        <v>1069.74</v>
      </c>
      <c r="J1272" s="1">
        <v>59.43</v>
      </c>
      <c r="K1272" t="s">
        <v>19</v>
      </c>
      <c r="L1272" t="s">
        <v>26</v>
      </c>
      <c r="M1272" s="2">
        <v>1</v>
      </c>
      <c r="N1272" t="s">
        <v>21</v>
      </c>
    </row>
    <row r="1273" spans="1:14" x14ac:dyDescent="0.3">
      <c r="A1273" t="s">
        <v>1309</v>
      </c>
      <c r="B1273" s="2">
        <v>45</v>
      </c>
      <c r="C1273" t="s">
        <v>16</v>
      </c>
      <c r="D1273" t="s">
        <v>44</v>
      </c>
      <c r="E1273" t="s">
        <v>18</v>
      </c>
      <c r="F1273" s="3">
        <v>45821</v>
      </c>
      <c r="G1273" s="3">
        <v>46120</v>
      </c>
      <c r="H1273" s="2">
        <v>4</v>
      </c>
      <c r="I1273" s="1">
        <v>1069.56</v>
      </c>
      <c r="J1273" s="1">
        <v>267.39</v>
      </c>
      <c r="K1273" t="s">
        <v>25</v>
      </c>
      <c r="L1273" t="s">
        <v>26</v>
      </c>
      <c r="M1273" s="2">
        <v>6</v>
      </c>
      <c r="N1273" t="s">
        <v>21</v>
      </c>
    </row>
    <row r="1274" spans="1:14" x14ac:dyDescent="0.3">
      <c r="A1274" t="s">
        <v>1310</v>
      </c>
      <c r="B1274" s="2">
        <v>24</v>
      </c>
      <c r="C1274" t="s">
        <v>16</v>
      </c>
      <c r="D1274" t="s">
        <v>50</v>
      </c>
      <c r="E1274" t="s">
        <v>29</v>
      </c>
      <c r="F1274" s="3">
        <v>45974</v>
      </c>
      <c r="G1274" s="3">
        <v>46193</v>
      </c>
      <c r="H1274" s="2">
        <v>7</v>
      </c>
      <c r="I1274" s="1">
        <v>1068.83</v>
      </c>
      <c r="J1274" s="1">
        <v>152.69</v>
      </c>
      <c r="K1274" t="s">
        <v>25</v>
      </c>
      <c r="L1274" t="s">
        <v>30</v>
      </c>
      <c r="M1274" s="2">
        <v>3</v>
      </c>
      <c r="N1274" t="s">
        <v>21</v>
      </c>
    </row>
    <row r="1275" spans="1:14" x14ac:dyDescent="0.3">
      <c r="A1275" t="s">
        <v>1311</v>
      </c>
      <c r="B1275" s="2">
        <v>29</v>
      </c>
      <c r="C1275" t="s">
        <v>23</v>
      </c>
      <c r="D1275" t="s">
        <v>44</v>
      </c>
      <c r="E1275" t="s">
        <v>18</v>
      </c>
      <c r="F1275" s="3">
        <v>45615</v>
      </c>
      <c r="G1275" s="3">
        <v>45707</v>
      </c>
      <c r="H1275" s="2">
        <v>25</v>
      </c>
      <c r="I1275" s="1">
        <v>1065.75</v>
      </c>
      <c r="J1275" s="1">
        <v>42.63</v>
      </c>
      <c r="K1275" t="s">
        <v>39</v>
      </c>
      <c r="L1275" t="s">
        <v>26</v>
      </c>
      <c r="M1275" s="2">
        <v>5</v>
      </c>
      <c r="N1275" t="s">
        <v>21</v>
      </c>
    </row>
    <row r="1276" spans="1:14" x14ac:dyDescent="0.3">
      <c r="A1276" t="s">
        <v>1312</v>
      </c>
      <c r="B1276" s="2">
        <v>41</v>
      </c>
      <c r="C1276" t="s">
        <v>23</v>
      </c>
      <c r="D1276" t="s">
        <v>50</v>
      </c>
      <c r="E1276" t="s">
        <v>34</v>
      </c>
      <c r="F1276" s="3">
        <v>45731</v>
      </c>
      <c r="G1276" s="3">
        <v>45826</v>
      </c>
      <c r="H1276" s="2">
        <v>12</v>
      </c>
      <c r="I1276" s="1">
        <v>1064.28</v>
      </c>
      <c r="J1276" s="1">
        <v>88.69</v>
      </c>
      <c r="K1276" t="s">
        <v>39</v>
      </c>
      <c r="L1276" t="s">
        <v>30</v>
      </c>
      <c r="M1276" s="2">
        <v>6</v>
      </c>
      <c r="N1276" t="s">
        <v>21</v>
      </c>
    </row>
    <row r="1277" spans="1:14" x14ac:dyDescent="0.3">
      <c r="A1277" t="s">
        <v>1313</v>
      </c>
      <c r="B1277" s="2">
        <v>42</v>
      </c>
      <c r="C1277" t="s">
        <v>16</v>
      </c>
      <c r="D1277" t="s">
        <v>44</v>
      </c>
      <c r="E1277" t="s">
        <v>18</v>
      </c>
      <c r="F1277" s="3">
        <v>45684</v>
      </c>
      <c r="G1277" s="3">
        <v>45754</v>
      </c>
      <c r="H1277" s="2">
        <v>14</v>
      </c>
      <c r="I1277" s="1">
        <v>1061.9000000000001</v>
      </c>
      <c r="J1277" s="1">
        <v>75.849999999999994</v>
      </c>
      <c r="K1277" t="s">
        <v>35</v>
      </c>
      <c r="L1277" t="s">
        <v>20</v>
      </c>
      <c r="M1277" s="2">
        <v>6</v>
      </c>
      <c r="N1277" t="s">
        <v>21</v>
      </c>
    </row>
    <row r="1278" spans="1:14" x14ac:dyDescent="0.3">
      <c r="A1278" t="s">
        <v>1314</v>
      </c>
      <c r="B1278" s="2">
        <v>31</v>
      </c>
      <c r="C1278" t="s">
        <v>23</v>
      </c>
      <c r="D1278" t="s">
        <v>24</v>
      </c>
      <c r="E1278" t="s">
        <v>29</v>
      </c>
      <c r="F1278" s="3">
        <v>45497</v>
      </c>
      <c r="G1278" s="3">
        <v>45585</v>
      </c>
      <c r="H1278" s="2">
        <v>10</v>
      </c>
      <c r="I1278" s="1">
        <v>1061.0999999999999</v>
      </c>
      <c r="J1278" s="1">
        <v>106.11</v>
      </c>
      <c r="K1278" t="s">
        <v>25</v>
      </c>
      <c r="L1278" t="s">
        <v>20</v>
      </c>
      <c r="M1278" s="2">
        <v>9</v>
      </c>
      <c r="N1278" t="s">
        <v>21</v>
      </c>
    </row>
    <row r="1279" spans="1:14" x14ac:dyDescent="0.3">
      <c r="A1279" t="s">
        <v>1315</v>
      </c>
      <c r="B1279" s="2">
        <v>51</v>
      </c>
      <c r="C1279" t="s">
        <v>23</v>
      </c>
      <c r="D1279" t="s">
        <v>24</v>
      </c>
      <c r="E1279" t="s">
        <v>29</v>
      </c>
      <c r="F1279" s="3">
        <v>45806</v>
      </c>
      <c r="G1279" s="3">
        <v>45975</v>
      </c>
      <c r="H1279" s="2">
        <v>4</v>
      </c>
      <c r="I1279" s="1">
        <v>1059.08</v>
      </c>
      <c r="J1279" s="1">
        <v>264.77</v>
      </c>
      <c r="K1279" t="s">
        <v>35</v>
      </c>
      <c r="L1279" t="s">
        <v>20</v>
      </c>
      <c r="M1279" s="2">
        <v>3</v>
      </c>
      <c r="N1279" t="s">
        <v>21</v>
      </c>
    </row>
    <row r="1280" spans="1:14" x14ac:dyDescent="0.3">
      <c r="A1280" t="s">
        <v>1316</v>
      </c>
      <c r="B1280" s="2">
        <v>24</v>
      </c>
      <c r="C1280" t="s">
        <v>23</v>
      </c>
      <c r="D1280" t="s">
        <v>44</v>
      </c>
      <c r="E1280" t="s">
        <v>18</v>
      </c>
      <c r="F1280" s="3">
        <v>45621</v>
      </c>
      <c r="G1280" s="3">
        <v>45864</v>
      </c>
      <c r="H1280" s="2">
        <v>17</v>
      </c>
      <c r="I1280" s="1">
        <v>1058.08</v>
      </c>
      <c r="J1280" s="1">
        <v>62.24</v>
      </c>
      <c r="K1280" t="s">
        <v>19</v>
      </c>
      <c r="L1280" t="s">
        <v>20</v>
      </c>
      <c r="M1280" s="2">
        <v>3</v>
      </c>
      <c r="N1280" t="s">
        <v>31</v>
      </c>
    </row>
    <row r="1281" spans="1:14" x14ac:dyDescent="0.3">
      <c r="A1281" t="s">
        <v>1317</v>
      </c>
      <c r="B1281" s="2">
        <v>31</v>
      </c>
      <c r="C1281" t="s">
        <v>23</v>
      </c>
      <c r="D1281" t="s">
        <v>24</v>
      </c>
      <c r="E1281" t="s">
        <v>34</v>
      </c>
      <c r="F1281" s="3">
        <v>45413</v>
      </c>
      <c r="G1281" s="3">
        <v>45414</v>
      </c>
      <c r="H1281" s="2">
        <v>9</v>
      </c>
      <c r="I1281" s="1">
        <v>1057.5</v>
      </c>
      <c r="J1281" s="1">
        <v>117.5</v>
      </c>
      <c r="K1281" t="s">
        <v>39</v>
      </c>
      <c r="L1281" t="s">
        <v>30</v>
      </c>
      <c r="M1281" s="2">
        <v>9</v>
      </c>
      <c r="N1281" t="s">
        <v>21</v>
      </c>
    </row>
    <row r="1282" spans="1:14" x14ac:dyDescent="0.3">
      <c r="A1282" t="s">
        <v>1318</v>
      </c>
      <c r="B1282" s="2">
        <v>58</v>
      </c>
      <c r="C1282" t="s">
        <v>16</v>
      </c>
      <c r="D1282" t="s">
        <v>44</v>
      </c>
      <c r="E1282" t="s">
        <v>29</v>
      </c>
      <c r="F1282" s="3">
        <v>45589</v>
      </c>
      <c r="G1282" s="3">
        <v>45671</v>
      </c>
      <c r="H1282" s="2">
        <v>5</v>
      </c>
      <c r="I1282" s="1">
        <v>1055.3</v>
      </c>
      <c r="J1282" s="1">
        <v>211.06</v>
      </c>
      <c r="K1282" t="s">
        <v>25</v>
      </c>
      <c r="L1282" t="s">
        <v>20</v>
      </c>
      <c r="M1282" s="2">
        <v>3</v>
      </c>
      <c r="N1282" t="s">
        <v>31</v>
      </c>
    </row>
    <row r="1283" spans="1:14" x14ac:dyDescent="0.3">
      <c r="A1283" t="s">
        <v>1319</v>
      </c>
      <c r="B1283" s="2">
        <v>58</v>
      </c>
      <c r="C1283" t="s">
        <v>23</v>
      </c>
      <c r="D1283" t="s">
        <v>61</v>
      </c>
      <c r="E1283" t="s">
        <v>29</v>
      </c>
      <c r="F1283" s="3">
        <v>45859</v>
      </c>
      <c r="G1283" s="3">
        <v>45961</v>
      </c>
      <c r="H1283" s="2">
        <v>10</v>
      </c>
      <c r="I1283" s="1">
        <v>1054</v>
      </c>
      <c r="J1283" s="1">
        <v>105.4</v>
      </c>
      <c r="K1283" t="s">
        <v>35</v>
      </c>
      <c r="L1283" t="s">
        <v>26</v>
      </c>
      <c r="M1283" s="2">
        <v>2</v>
      </c>
      <c r="N1283" t="s">
        <v>21</v>
      </c>
    </row>
    <row r="1284" spans="1:14" x14ac:dyDescent="0.3">
      <c r="A1284" t="s">
        <v>1320</v>
      </c>
      <c r="B1284" s="2">
        <v>60</v>
      </c>
      <c r="C1284" t="s">
        <v>23</v>
      </c>
      <c r="D1284" t="s">
        <v>44</v>
      </c>
      <c r="E1284" t="s">
        <v>38</v>
      </c>
      <c r="F1284" s="3">
        <v>45708</v>
      </c>
      <c r="G1284" s="3">
        <v>45814</v>
      </c>
      <c r="H1284" s="2">
        <v>21</v>
      </c>
      <c r="I1284" s="1">
        <v>1053.78</v>
      </c>
      <c r="J1284" s="1">
        <v>50.18</v>
      </c>
      <c r="K1284" t="s">
        <v>19</v>
      </c>
      <c r="L1284" t="s">
        <v>20</v>
      </c>
      <c r="M1284" s="2">
        <v>7</v>
      </c>
      <c r="N1284" t="s">
        <v>21</v>
      </c>
    </row>
    <row r="1285" spans="1:14" x14ac:dyDescent="0.3">
      <c r="A1285" t="s">
        <v>1321</v>
      </c>
      <c r="B1285" s="2">
        <v>29</v>
      </c>
      <c r="C1285" t="s">
        <v>16</v>
      </c>
      <c r="D1285" t="s">
        <v>61</v>
      </c>
      <c r="E1285" t="s">
        <v>18</v>
      </c>
      <c r="F1285" s="3">
        <v>45334</v>
      </c>
      <c r="G1285" s="3">
        <v>45496</v>
      </c>
      <c r="H1285" s="2">
        <v>19</v>
      </c>
      <c r="I1285" s="1">
        <v>1052.79</v>
      </c>
      <c r="J1285" s="1">
        <v>55.41</v>
      </c>
      <c r="K1285" t="s">
        <v>45</v>
      </c>
      <c r="L1285" t="s">
        <v>26</v>
      </c>
      <c r="M1285" s="2">
        <v>3</v>
      </c>
      <c r="N1285" t="s">
        <v>21</v>
      </c>
    </row>
    <row r="1286" spans="1:14" x14ac:dyDescent="0.3">
      <c r="A1286" t="s">
        <v>1322</v>
      </c>
      <c r="B1286" s="2">
        <v>34</v>
      </c>
      <c r="C1286" t="s">
        <v>23</v>
      </c>
      <c r="D1286" t="s">
        <v>17</v>
      </c>
      <c r="E1286" t="s">
        <v>29</v>
      </c>
      <c r="F1286" s="3">
        <v>45734</v>
      </c>
      <c r="G1286" s="3">
        <v>45873</v>
      </c>
      <c r="H1286" s="2">
        <v>11</v>
      </c>
      <c r="I1286" s="1">
        <v>1052.5899999999999</v>
      </c>
      <c r="J1286" s="1">
        <v>95.69</v>
      </c>
      <c r="K1286" t="s">
        <v>19</v>
      </c>
      <c r="L1286" t="s">
        <v>30</v>
      </c>
      <c r="M1286" s="2">
        <v>9</v>
      </c>
      <c r="N1286" t="s">
        <v>21</v>
      </c>
    </row>
    <row r="1287" spans="1:14" x14ac:dyDescent="0.3">
      <c r="A1287" t="s">
        <v>1323</v>
      </c>
      <c r="B1287" s="2">
        <v>32</v>
      </c>
      <c r="C1287" t="s">
        <v>16</v>
      </c>
      <c r="D1287" t="s">
        <v>17</v>
      </c>
      <c r="E1287" t="s">
        <v>34</v>
      </c>
      <c r="F1287" s="3">
        <v>45303</v>
      </c>
      <c r="G1287" s="3">
        <v>45471</v>
      </c>
      <c r="H1287" s="2">
        <v>7</v>
      </c>
      <c r="I1287" s="1">
        <v>1052.17</v>
      </c>
      <c r="J1287" s="1">
        <v>150.31</v>
      </c>
      <c r="K1287" t="s">
        <v>19</v>
      </c>
      <c r="L1287" t="s">
        <v>30</v>
      </c>
      <c r="M1287" s="2">
        <v>9</v>
      </c>
      <c r="N1287" t="s">
        <v>21</v>
      </c>
    </row>
    <row r="1288" spans="1:14" x14ac:dyDescent="0.3">
      <c r="A1288" t="s">
        <v>1324</v>
      </c>
      <c r="B1288" s="2">
        <v>45</v>
      </c>
      <c r="C1288" t="s">
        <v>23</v>
      </c>
      <c r="D1288" t="s">
        <v>24</v>
      </c>
      <c r="E1288" t="s">
        <v>38</v>
      </c>
      <c r="F1288" s="3">
        <v>45813</v>
      </c>
      <c r="G1288" s="3">
        <v>46053</v>
      </c>
      <c r="H1288" s="2">
        <v>16</v>
      </c>
      <c r="I1288" s="1">
        <v>1050.8800000000001</v>
      </c>
      <c r="J1288" s="1">
        <v>65.680000000000007</v>
      </c>
      <c r="K1288" t="s">
        <v>45</v>
      </c>
      <c r="L1288" t="s">
        <v>20</v>
      </c>
      <c r="M1288" s="2">
        <v>9</v>
      </c>
      <c r="N1288" t="s">
        <v>31</v>
      </c>
    </row>
    <row r="1289" spans="1:14" x14ac:dyDescent="0.3">
      <c r="A1289" t="s">
        <v>1325</v>
      </c>
      <c r="B1289" s="2">
        <v>26</v>
      </c>
      <c r="C1289" t="s">
        <v>23</v>
      </c>
      <c r="D1289" t="s">
        <v>24</v>
      </c>
      <c r="E1289" t="s">
        <v>18</v>
      </c>
      <c r="F1289" s="3">
        <v>45673</v>
      </c>
      <c r="G1289" s="3">
        <v>45907</v>
      </c>
      <c r="H1289" s="2">
        <v>24</v>
      </c>
      <c r="I1289" s="1">
        <v>1050.48</v>
      </c>
      <c r="J1289" s="1">
        <v>43.77</v>
      </c>
      <c r="K1289" t="s">
        <v>35</v>
      </c>
      <c r="L1289" t="s">
        <v>20</v>
      </c>
      <c r="M1289" s="2">
        <v>3</v>
      </c>
      <c r="N1289" t="s">
        <v>31</v>
      </c>
    </row>
    <row r="1290" spans="1:14" x14ac:dyDescent="0.3">
      <c r="A1290" t="s">
        <v>1326</v>
      </c>
      <c r="B1290" s="2">
        <v>52</v>
      </c>
      <c r="C1290" t="s">
        <v>16</v>
      </c>
      <c r="D1290" t="s">
        <v>61</v>
      </c>
      <c r="E1290" t="s">
        <v>18</v>
      </c>
      <c r="F1290" s="3">
        <v>45574</v>
      </c>
      <c r="G1290" s="3">
        <v>45620</v>
      </c>
      <c r="H1290" s="2">
        <v>16</v>
      </c>
      <c r="I1290" s="1">
        <v>1045.28</v>
      </c>
      <c r="J1290" s="1">
        <v>65.33</v>
      </c>
      <c r="K1290" t="s">
        <v>45</v>
      </c>
      <c r="L1290" t="s">
        <v>26</v>
      </c>
      <c r="M1290" s="2">
        <v>2</v>
      </c>
      <c r="N1290" t="s">
        <v>21</v>
      </c>
    </row>
    <row r="1291" spans="1:14" x14ac:dyDescent="0.3">
      <c r="A1291" t="s">
        <v>1327</v>
      </c>
      <c r="B1291" s="2">
        <v>45</v>
      </c>
      <c r="C1291" t="s">
        <v>16</v>
      </c>
      <c r="D1291" t="s">
        <v>44</v>
      </c>
      <c r="E1291" t="s">
        <v>34</v>
      </c>
      <c r="F1291" s="3">
        <v>45943</v>
      </c>
      <c r="G1291" s="3">
        <v>45988</v>
      </c>
      <c r="H1291" s="2">
        <v>17</v>
      </c>
      <c r="I1291" s="1">
        <v>1043.6300000000001</v>
      </c>
      <c r="J1291" s="1">
        <v>61.39</v>
      </c>
      <c r="K1291" t="s">
        <v>35</v>
      </c>
      <c r="L1291" t="s">
        <v>30</v>
      </c>
      <c r="M1291" s="2">
        <v>5</v>
      </c>
      <c r="N1291" t="s">
        <v>21</v>
      </c>
    </row>
    <row r="1292" spans="1:14" x14ac:dyDescent="0.3">
      <c r="A1292" t="s">
        <v>1328</v>
      </c>
      <c r="B1292" s="2">
        <v>18</v>
      </c>
      <c r="C1292" t="s">
        <v>16</v>
      </c>
      <c r="D1292" t="s">
        <v>61</v>
      </c>
      <c r="E1292" t="s">
        <v>34</v>
      </c>
      <c r="F1292" s="3">
        <v>45502</v>
      </c>
      <c r="G1292" s="3">
        <v>45729</v>
      </c>
      <c r="H1292" s="2">
        <v>5</v>
      </c>
      <c r="I1292" s="1">
        <v>1041.1500000000001</v>
      </c>
      <c r="J1292" s="1">
        <v>208.23</v>
      </c>
      <c r="K1292" t="s">
        <v>19</v>
      </c>
      <c r="L1292" t="s">
        <v>30</v>
      </c>
      <c r="M1292" s="2">
        <v>10</v>
      </c>
      <c r="N1292" t="s">
        <v>21</v>
      </c>
    </row>
    <row r="1293" spans="1:14" x14ac:dyDescent="0.3">
      <c r="A1293" t="s">
        <v>1329</v>
      </c>
      <c r="B1293" s="2">
        <v>65</v>
      </c>
      <c r="C1293" t="s">
        <v>16</v>
      </c>
      <c r="D1293" t="s">
        <v>44</v>
      </c>
      <c r="E1293" t="s">
        <v>38</v>
      </c>
      <c r="F1293" s="3">
        <v>45950</v>
      </c>
      <c r="G1293" s="3">
        <v>46118</v>
      </c>
      <c r="H1293" s="2">
        <v>5</v>
      </c>
      <c r="I1293" s="1">
        <v>1038.1500000000001</v>
      </c>
      <c r="J1293" s="1">
        <v>207.63</v>
      </c>
      <c r="K1293" t="s">
        <v>19</v>
      </c>
      <c r="L1293" t="s">
        <v>26</v>
      </c>
      <c r="M1293" s="2">
        <v>1</v>
      </c>
      <c r="N1293" t="s">
        <v>21</v>
      </c>
    </row>
    <row r="1294" spans="1:14" x14ac:dyDescent="0.3">
      <c r="A1294" t="s">
        <v>1330</v>
      </c>
      <c r="B1294" s="2">
        <v>59</v>
      </c>
      <c r="C1294" t="s">
        <v>23</v>
      </c>
      <c r="D1294" t="s">
        <v>17</v>
      </c>
      <c r="E1294" t="s">
        <v>18</v>
      </c>
      <c r="F1294" s="3">
        <v>45759</v>
      </c>
      <c r="G1294" s="3">
        <v>45773</v>
      </c>
      <c r="H1294" s="2">
        <v>6</v>
      </c>
      <c r="I1294" s="1">
        <v>1035.1199999999999</v>
      </c>
      <c r="J1294" s="1">
        <v>172.52</v>
      </c>
      <c r="K1294" t="s">
        <v>45</v>
      </c>
      <c r="L1294" t="s">
        <v>30</v>
      </c>
      <c r="M1294" s="2">
        <v>5</v>
      </c>
      <c r="N1294" t="s">
        <v>21</v>
      </c>
    </row>
    <row r="1295" spans="1:14" x14ac:dyDescent="0.3">
      <c r="A1295" t="s">
        <v>1331</v>
      </c>
      <c r="B1295" s="2">
        <v>53</v>
      </c>
      <c r="C1295" t="s">
        <v>23</v>
      </c>
      <c r="D1295" t="s">
        <v>44</v>
      </c>
      <c r="E1295" t="s">
        <v>29</v>
      </c>
      <c r="F1295" s="3">
        <v>45675</v>
      </c>
      <c r="G1295" s="3">
        <v>45677</v>
      </c>
      <c r="H1295" s="2">
        <v>16</v>
      </c>
      <c r="I1295" s="1">
        <v>1033.76</v>
      </c>
      <c r="J1295" s="1">
        <v>64.61</v>
      </c>
      <c r="K1295" t="s">
        <v>35</v>
      </c>
      <c r="L1295" t="s">
        <v>20</v>
      </c>
      <c r="M1295" s="2">
        <v>7</v>
      </c>
      <c r="N1295" t="s">
        <v>31</v>
      </c>
    </row>
    <row r="1296" spans="1:14" x14ac:dyDescent="0.3">
      <c r="A1296" t="s">
        <v>1332</v>
      </c>
      <c r="B1296" s="2">
        <v>18</v>
      </c>
      <c r="C1296" t="s">
        <v>16</v>
      </c>
      <c r="D1296" t="s">
        <v>44</v>
      </c>
      <c r="E1296" t="s">
        <v>29</v>
      </c>
      <c r="F1296" s="3">
        <v>45728</v>
      </c>
      <c r="G1296" s="3">
        <v>45787</v>
      </c>
      <c r="H1296" s="2">
        <v>4</v>
      </c>
      <c r="I1296" s="1">
        <v>1033.4000000000001</v>
      </c>
      <c r="J1296" s="1">
        <v>258.35000000000002</v>
      </c>
      <c r="K1296" t="s">
        <v>45</v>
      </c>
      <c r="L1296" t="s">
        <v>26</v>
      </c>
      <c r="M1296" s="2">
        <v>8</v>
      </c>
      <c r="N1296" t="s">
        <v>21</v>
      </c>
    </row>
    <row r="1297" spans="1:14" x14ac:dyDescent="0.3">
      <c r="A1297" t="s">
        <v>1333</v>
      </c>
      <c r="B1297" s="2">
        <v>59</v>
      </c>
      <c r="C1297" t="s">
        <v>16</v>
      </c>
      <c r="D1297" t="s">
        <v>28</v>
      </c>
      <c r="E1297" t="s">
        <v>34</v>
      </c>
      <c r="F1297" s="3">
        <v>45368</v>
      </c>
      <c r="G1297" s="3">
        <v>45608</v>
      </c>
      <c r="H1297" s="2">
        <v>9</v>
      </c>
      <c r="I1297" s="1">
        <v>1033.2</v>
      </c>
      <c r="J1297" s="1">
        <v>114.8</v>
      </c>
      <c r="K1297" t="s">
        <v>19</v>
      </c>
      <c r="L1297" t="s">
        <v>26</v>
      </c>
      <c r="M1297" s="2">
        <v>6</v>
      </c>
      <c r="N1297" t="s">
        <v>21</v>
      </c>
    </row>
    <row r="1298" spans="1:14" x14ac:dyDescent="0.3">
      <c r="A1298" t="s">
        <v>1334</v>
      </c>
      <c r="B1298" s="2">
        <v>42</v>
      </c>
      <c r="C1298" t="s">
        <v>23</v>
      </c>
      <c r="D1298" t="s">
        <v>28</v>
      </c>
      <c r="E1298" t="s">
        <v>38</v>
      </c>
      <c r="F1298" s="3">
        <v>45680</v>
      </c>
      <c r="G1298" s="3">
        <v>45847</v>
      </c>
      <c r="H1298" s="2">
        <v>7</v>
      </c>
      <c r="I1298" s="1">
        <v>1031.24</v>
      </c>
      <c r="J1298" s="1">
        <v>147.32</v>
      </c>
      <c r="K1298" t="s">
        <v>45</v>
      </c>
      <c r="L1298" t="s">
        <v>30</v>
      </c>
      <c r="M1298" s="2">
        <v>8</v>
      </c>
      <c r="N1298" t="s">
        <v>21</v>
      </c>
    </row>
    <row r="1299" spans="1:14" x14ac:dyDescent="0.3">
      <c r="A1299" t="s">
        <v>1335</v>
      </c>
      <c r="B1299" s="2">
        <v>61</v>
      </c>
      <c r="C1299" t="s">
        <v>23</v>
      </c>
      <c r="D1299" t="s">
        <v>17</v>
      </c>
      <c r="E1299" t="s">
        <v>18</v>
      </c>
      <c r="F1299" s="3">
        <v>45844</v>
      </c>
      <c r="G1299" s="3">
        <v>45968</v>
      </c>
      <c r="H1299" s="2">
        <v>4</v>
      </c>
      <c r="I1299" s="1">
        <v>1029.8399999999999</v>
      </c>
      <c r="J1299" s="1">
        <v>257.45999999999998</v>
      </c>
      <c r="K1299" t="s">
        <v>45</v>
      </c>
      <c r="L1299" t="s">
        <v>30</v>
      </c>
      <c r="M1299" s="2">
        <v>10</v>
      </c>
      <c r="N1299" t="s">
        <v>31</v>
      </c>
    </row>
    <row r="1300" spans="1:14" x14ac:dyDescent="0.3">
      <c r="A1300" t="s">
        <v>1336</v>
      </c>
      <c r="B1300" s="2">
        <v>46</v>
      </c>
      <c r="C1300" t="s">
        <v>16</v>
      </c>
      <c r="D1300" t="s">
        <v>44</v>
      </c>
      <c r="E1300" t="s">
        <v>34</v>
      </c>
      <c r="F1300" s="3">
        <v>45707</v>
      </c>
      <c r="G1300" s="3">
        <v>45938</v>
      </c>
      <c r="H1300" s="2">
        <v>7</v>
      </c>
      <c r="I1300" s="1">
        <v>1028.23</v>
      </c>
      <c r="J1300" s="1">
        <v>146.88999999999999</v>
      </c>
      <c r="K1300" t="s">
        <v>19</v>
      </c>
      <c r="L1300" t="s">
        <v>26</v>
      </c>
      <c r="M1300" s="2">
        <v>6</v>
      </c>
      <c r="N1300" t="s">
        <v>21</v>
      </c>
    </row>
    <row r="1301" spans="1:14" x14ac:dyDescent="0.3">
      <c r="A1301" t="s">
        <v>1337</v>
      </c>
      <c r="B1301" s="2">
        <v>42</v>
      </c>
      <c r="C1301" t="s">
        <v>23</v>
      </c>
      <c r="D1301" t="s">
        <v>42</v>
      </c>
      <c r="E1301" t="s">
        <v>29</v>
      </c>
      <c r="F1301" s="3">
        <v>45404</v>
      </c>
      <c r="G1301" s="3">
        <v>45675</v>
      </c>
      <c r="H1301" s="2">
        <v>11</v>
      </c>
      <c r="I1301" s="1">
        <v>1027.4000000000001</v>
      </c>
      <c r="J1301" s="1">
        <v>93.4</v>
      </c>
      <c r="K1301" t="s">
        <v>39</v>
      </c>
      <c r="L1301" t="s">
        <v>30</v>
      </c>
      <c r="M1301" s="2">
        <v>7</v>
      </c>
      <c r="N1301" t="s">
        <v>21</v>
      </c>
    </row>
    <row r="1302" spans="1:14" x14ac:dyDescent="0.3">
      <c r="A1302" t="s">
        <v>1338</v>
      </c>
      <c r="B1302" s="2">
        <v>23</v>
      </c>
      <c r="C1302" t="s">
        <v>16</v>
      </c>
      <c r="D1302" t="s">
        <v>50</v>
      </c>
      <c r="E1302" t="s">
        <v>29</v>
      </c>
      <c r="F1302" s="3">
        <v>45584</v>
      </c>
      <c r="G1302" s="3">
        <v>45704</v>
      </c>
      <c r="H1302" s="2">
        <v>9</v>
      </c>
      <c r="I1302" s="1">
        <v>1026.3599999999999</v>
      </c>
      <c r="J1302" s="1">
        <v>114.04</v>
      </c>
      <c r="K1302" t="s">
        <v>35</v>
      </c>
      <c r="L1302" t="s">
        <v>20</v>
      </c>
      <c r="M1302" s="2">
        <v>3</v>
      </c>
      <c r="N1302" t="s">
        <v>21</v>
      </c>
    </row>
    <row r="1303" spans="1:14" x14ac:dyDescent="0.3">
      <c r="A1303" t="s">
        <v>1339</v>
      </c>
      <c r="B1303" s="2">
        <v>29</v>
      </c>
      <c r="C1303" t="s">
        <v>16</v>
      </c>
      <c r="D1303" t="s">
        <v>17</v>
      </c>
      <c r="E1303" t="s">
        <v>38</v>
      </c>
      <c r="F1303" s="3">
        <v>45387</v>
      </c>
      <c r="G1303" s="3">
        <v>45519</v>
      </c>
      <c r="H1303" s="2">
        <v>9</v>
      </c>
      <c r="I1303" s="1">
        <v>1016.82</v>
      </c>
      <c r="J1303" s="1">
        <v>112.98</v>
      </c>
      <c r="K1303" t="s">
        <v>25</v>
      </c>
      <c r="L1303" t="s">
        <v>30</v>
      </c>
      <c r="M1303" s="2">
        <v>4</v>
      </c>
      <c r="N1303" t="s">
        <v>31</v>
      </c>
    </row>
    <row r="1304" spans="1:14" x14ac:dyDescent="0.3">
      <c r="A1304" t="s">
        <v>1340</v>
      </c>
      <c r="B1304" s="2">
        <v>18</v>
      </c>
      <c r="C1304" t="s">
        <v>16</v>
      </c>
      <c r="D1304" t="s">
        <v>24</v>
      </c>
      <c r="E1304" t="s">
        <v>29</v>
      </c>
      <c r="F1304" s="3">
        <v>45618</v>
      </c>
      <c r="G1304" s="3">
        <v>45758</v>
      </c>
      <c r="H1304" s="2">
        <v>14</v>
      </c>
      <c r="I1304" s="1">
        <v>1015</v>
      </c>
      <c r="J1304" s="1">
        <v>72.5</v>
      </c>
      <c r="K1304" t="s">
        <v>25</v>
      </c>
      <c r="L1304" t="s">
        <v>20</v>
      </c>
      <c r="M1304" s="2">
        <v>8</v>
      </c>
      <c r="N1304" t="s">
        <v>21</v>
      </c>
    </row>
    <row r="1305" spans="1:14" x14ac:dyDescent="0.3">
      <c r="A1305" t="s">
        <v>1341</v>
      </c>
      <c r="B1305" s="2">
        <v>29</v>
      </c>
      <c r="C1305" t="s">
        <v>23</v>
      </c>
      <c r="D1305" t="s">
        <v>61</v>
      </c>
      <c r="E1305" t="s">
        <v>29</v>
      </c>
      <c r="F1305" s="3">
        <v>45991</v>
      </c>
      <c r="G1305" s="3">
        <v>46267</v>
      </c>
      <c r="H1305" s="2">
        <v>5</v>
      </c>
      <c r="I1305" s="1">
        <v>1014.95</v>
      </c>
      <c r="J1305" s="1">
        <v>202.99</v>
      </c>
      <c r="K1305" t="s">
        <v>25</v>
      </c>
      <c r="L1305" t="s">
        <v>30</v>
      </c>
      <c r="M1305" s="2">
        <v>1</v>
      </c>
      <c r="N1305" t="s">
        <v>21</v>
      </c>
    </row>
    <row r="1306" spans="1:14" x14ac:dyDescent="0.3">
      <c r="A1306" t="s">
        <v>1342</v>
      </c>
      <c r="B1306" s="2">
        <v>35</v>
      </c>
      <c r="C1306" t="s">
        <v>23</v>
      </c>
      <c r="D1306" t="s">
        <v>17</v>
      </c>
      <c r="E1306" t="s">
        <v>29</v>
      </c>
      <c r="F1306" s="3">
        <v>45771</v>
      </c>
      <c r="G1306" s="3">
        <v>45868</v>
      </c>
      <c r="H1306" s="2">
        <v>25</v>
      </c>
      <c r="I1306" s="1">
        <v>1011.5</v>
      </c>
      <c r="J1306" s="1">
        <v>40.46</v>
      </c>
      <c r="K1306" t="s">
        <v>45</v>
      </c>
      <c r="L1306" t="s">
        <v>30</v>
      </c>
      <c r="M1306" s="2">
        <v>3</v>
      </c>
      <c r="N1306" t="s">
        <v>21</v>
      </c>
    </row>
    <row r="1307" spans="1:14" x14ac:dyDescent="0.3">
      <c r="A1307" t="s">
        <v>1343</v>
      </c>
      <c r="B1307" s="2">
        <v>43</v>
      </c>
      <c r="C1307" t="s">
        <v>23</v>
      </c>
      <c r="D1307" t="s">
        <v>44</v>
      </c>
      <c r="E1307" t="s">
        <v>34</v>
      </c>
      <c r="F1307" s="3">
        <v>45873</v>
      </c>
      <c r="G1307" s="3">
        <v>45971</v>
      </c>
      <c r="H1307" s="2">
        <v>14</v>
      </c>
      <c r="I1307" s="1">
        <v>1009.4</v>
      </c>
      <c r="J1307" s="1">
        <v>72.099999999999994</v>
      </c>
      <c r="K1307" t="s">
        <v>45</v>
      </c>
      <c r="L1307" t="s">
        <v>26</v>
      </c>
      <c r="M1307" s="2">
        <v>7</v>
      </c>
      <c r="N1307" t="s">
        <v>21</v>
      </c>
    </row>
    <row r="1308" spans="1:14" x14ac:dyDescent="0.3">
      <c r="A1308" t="s">
        <v>1344</v>
      </c>
      <c r="B1308" s="2">
        <v>23</v>
      </c>
      <c r="C1308" t="s">
        <v>23</v>
      </c>
      <c r="D1308" t="s">
        <v>44</v>
      </c>
      <c r="E1308" t="s">
        <v>34</v>
      </c>
      <c r="F1308" s="3">
        <v>45969</v>
      </c>
      <c r="G1308" s="3">
        <v>46102</v>
      </c>
      <c r="H1308" s="2">
        <v>8</v>
      </c>
      <c r="I1308" s="1">
        <v>1006.48</v>
      </c>
      <c r="J1308" s="1">
        <v>125.81</v>
      </c>
      <c r="K1308" t="s">
        <v>19</v>
      </c>
      <c r="L1308" t="s">
        <v>30</v>
      </c>
      <c r="M1308" s="2">
        <v>7</v>
      </c>
      <c r="N1308" t="s">
        <v>21</v>
      </c>
    </row>
    <row r="1309" spans="1:14" x14ac:dyDescent="0.3">
      <c r="A1309" t="s">
        <v>1345</v>
      </c>
      <c r="B1309" s="2">
        <v>29</v>
      </c>
      <c r="C1309" t="s">
        <v>23</v>
      </c>
      <c r="D1309" t="s">
        <v>17</v>
      </c>
      <c r="E1309" t="s">
        <v>18</v>
      </c>
      <c r="F1309" s="3">
        <v>45784</v>
      </c>
      <c r="G1309" s="3">
        <v>46037</v>
      </c>
      <c r="H1309" s="2">
        <v>18</v>
      </c>
      <c r="I1309" s="1">
        <v>1004.4</v>
      </c>
      <c r="J1309" s="1">
        <v>55.8</v>
      </c>
      <c r="K1309" t="s">
        <v>45</v>
      </c>
      <c r="L1309" t="s">
        <v>26</v>
      </c>
      <c r="M1309" s="2">
        <v>3</v>
      </c>
      <c r="N1309" t="s">
        <v>21</v>
      </c>
    </row>
    <row r="1310" spans="1:14" x14ac:dyDescent="0.3">
      <c r="A1310" t="s">
        <v>1346</v>
      </c>
      <c r="B1310" s="2">
        <v>50</v>
      </c>
      <c r="C1310" t="s">
        <v>16</v>
      </c>
      <c r="D1310" t="s">
        <v>42</v>
      </c>
      <c r="E1310" t="s">
        <v>38</v>
      </c>
      <c r="F1310" s="3">
        <v>45632</v>
      </c>
      <c r="G1310" s="3">
        <v>45848</v>
      </c>
      <c r="H1310" s="2">
        <v>4</v>
      </c>
      <c r="I1310" s="1">
        <v>1003.32</v>
      </c>
      <c r="J1310" s="1">
        <v>250.83</v>
      </c>
      <c r="K1310" t="s">
        <v>19</v>
      </c>
      <c r="L1310" t="s">
        <v>20</v>
      </c>
      <c r="M1310" s="2">
        <v>9</v>
      </c>
      <c r="N1310" t="s">
        <v>21</v>
      </c>
    </row>
    <row r="1311" spans="1:14" x14ac:dyDescent="0.3">
      <c r="A1311" t="s">
        <v>1347</v>
      </c>
      <c r="B1311" s="2">
        <v>38</v>
      </c>
      <c r="C1311" t="s">
        <v>16</v>
      </c>
      <c r="D1311" t="s">
        <v>44</v>
      </c>
      <c r="E1311" t="s">
        <v>18</v>
      </c>
      <c r="F1311" s="3">
        <v>45436</v>
      </c>
      <c r="G1311" s="3">
        <v>45605</v>
      </c>
      <c r="H1311" s="2">
        <v>24</v>
      </c>
      <c r="I1311" s="1">
        <v>1002.96</v>
      </c>
      <c r="J1311" s="1">
        <v>41.79</v>
      </c>
      <c r="K1311" t="s">
        <v>45</v>
      </c>
      <c r="L1311" t="s">
        <v>26</v>
      </c>
      <c r="M1311" s="2">
        <v>1</v>
      </c>
      <c r="N1311" t="s">
        <v>21</v>
      </c>
    </row>
    <row r="1312" spans="1:14" x14ac:dyDescent="0.3">
      <c r="A1312" t="s">
        <v>1348</v>
      </c>
      <c r="B1312" s="2">
        <v>32</v>
      </c>
      <c r="C1312" t="s">
        <v>16</v>
      </c>
      <c r="D1312" t="s">
        <v>44</v>
      </c>
      <c r="E1312" t="s">
        <v>29</v>
      </c>
      <c r="F1312" s="3">
        <v>45921</v>
      </c>
      <c r="G1312" s="3">
        <v>46071</v>
      </c>
      <c r="H1312" s="2">
        <v>18</v>
      </c>
      <c r="I1312" s="1">
        <v>1002.42</v>
      </c>
      <c r="J1312" s="1">
        <v>55.69</v>
      </c>
      <c r="K1312" t="s">
        <v>39</v>
      </c>
      <c r="L1312" t="s">
        <v>26</v>
      </c>
      <c r="M1312" s="2">
        <v>2</v>
      </c>
      <c r="N1312" t="s">
        <v>21</v>
      </c>
    </row>
    <row r="1313" spans="1:14" x14ac:dyDescent="0.3">
      <c r="A1313" t="s">
        <v>1349</v>
      </c>
      <c r="B1313" s="2">
        <v>48</v>
      </c>
      <c r="C1313" t="s">
        <v>16</v>
      </c>
      <c r="D1313" t="s">
        <v>24</v>
      </c>
      <c r="E1313" t="s">
        <v>18</v>
      </c>
      <c r="F1313" s="3">
        <v>45965</v>
      </c>
      <c r="G1313" s="3">
        <v>46014</v>
      </c>
      <c r="H1313" s="2">
        <v>17</v>
      </c>
      <c r="I1313" s="1">
        <v>997.39</v>
      </c>
      <c r="J1313" s="1">
        <v>58.67</v>
      </c>
      <c r="K1313" t="s">
        <v>25</v>
      </c>
      <c r="L1313" t="s">
        <v>20</v>
      </c>
      <c r="M1313" s="2">
        <v>4</v>
      </c>
      <c r="N1313" t="s">
        <v>21</v>
      </c>
    </row>
    <row r="1314" spans="1:14" x14ac:dyDescent="0.3">
      <c r="A1314" t="s">
        <v>1350</v>
      </c>
      <c r="B1314" s="2">
        <v>25</v>
      </c>
      <c r="C1314" t="s">
        <v>16</v>
      </c>
      <c r="D1314" t="s">
        <v>61</v>
      </c>
      <c r="E1314" t="s">
        <v>18</v>
      </c>
      <c r="F1314" s="3">
        <v>45851</v>
      </c>
      <c r="G1314" s="3">
        <v>45853</v>
      </c>
      <c r="H1314" s="2">
        <v>6</v>
      </c>
      <c r="I1314" s="1">
        <v>996.54</v>
      </c>
      <c r="J1314" s="1">
        <v>166.09</v>
      </c>
      <c r="K1314" t="s">
        <v>19</v>
      </c>
      <c r="L1314" t="s">
        <v>30</v>
      </c>
      <c r="M1314" s="2">
        <v>9</v>
      </c>
      <c r="N1314" t="s">
        <v>21</v>
      </c>
    </row>
    <row r="1315" spans="1:14" x14ac:dyDescent="0.3">
      <c r="A1315" t="s">
        <v>1351</v>
      </c>
      <c r="B1315" s="2">
        <v>63</v>
      </c>
      <c r="C1315" t="s">
        <v>16</v>
      </c>
      <c r="D1315" t="s">
        <v>44</v>
      </c>
      <c r="E1315" t="s">
        <v>38</v>
      </c>
      <c r="F1315" s="3">
        <v>45392</v>
      </c>
      <c r="G1315" s="3">
        <v>45600</v>
      </c>
      <c r="H1315" s="2">
        <v>5</v>
      </c>
      <c r="I1315" s="1">
        <v>995.25</v>
      </c>
      <c r="J1315" s="1">
        <v>199.05</v>
      </c>
      <c r="K1315" t="s">
        <v>45</v>
      </c>
      <c r="L1315" t="s">
        <v>30</v>
      </c>
      <c r="M1315" s="2">
        <v>4</v>
      </c>
      <c r="N1315" t="s">
        <v>21</v>
      </c>
    </row>
    <row r="1316" spans="1:14" x14ac:dyDescent="0.3">
      <c r="A1316" t="s">
        <v>1352</v>
      </c>
      <c r="B1316" s="2">
        <v>28</v>
      </c>
      <c r="C1316" t="s">
        <v>23</v>
      </c>
      <c r="D1316" t="s">
        <v>61</v>
      </c>
      <c r="E1316" t="s">
        <v>38</v>
      </c>
      <c r="F1316" s="3">
        <v>45830</v>
      </c>
      <c r="G1316" s="3">
        <v>45942</v>
      </c>
      <c r="H1316" s="2">
        <v>6</v>
      </c>
      <c r="I1316" s="1">
        <v>994.62000000000012</v>
      </c>
      <c r="J1316" s="1">
        <v>165.77</v>
      </c>
      <c r="K1316" t="s">
        <v>39</v>
      </c>
      <c r="L1316" t="s">
        <v>26</v>
      </c>
      <c r="M1316" s="2">
        <v>4</v>
      </c>
      <c r="N1316" t="s">
        <v>21</v>
      </c>
    </row>
    <row r="1317" spans="1:14" x14ac:dyDescent="0.3">
      <c r="A1317" t="s">
        <v>1353</v>
      </c>
      <c r="B1317" s="2">
        <v>21</v>
      </c>
      <c r="C1317" t="s">
        <v>23</v>
      </c>
      <c r="D1317" t="s">
        <v>44</v>
      </c>
      <c r="E1317" t="s">
        <v>38</v>
      </c>
      <c r="F1317" s="3">
        <v>45714</v>
      </c>
      <c r="G1317" s="3">
        <v>45889</v>
      </c>
      <c r="H1317" s="2">
        <v>25</v>
      </c>
      <c r="I1317" s="1">
        <v>986.99999999999989</v>
      </c>
      <c r="J1317" s="1">
        <v>39.479999999999997</v>
      </c>
      <c r="K1317" t="s">
        <v>25</v>
      </c>
      <c r="L1317" t="s">
        <v>20</v>
      </c>
      <c r="M1317" s="2">
        <v>2</v>
      </c>
      <c r="N1317" t="s">
        <v>21</v>
      </c>
    </row>
    <row r="1318" spans="1:14" x14ac:dyDescent="0.3">
      <c r="A1318" t="s">
        <v>1354</v>
      </c>
      <c r="B1318" s="2">
        <v>62</v>
      </c>
      <c r="C1318" t="s">
        <v>16</v>
      </c>
      <c r="D1318" t="s">
        <v>28</v>
      </c>
      <c r="E1318" t="s">
        <v>29</v>
      </c>
      <c r="F1318" s="3">
        <v>45637</v>
      </c>
      <c r="G1318" s="3">
        <v>45792</v>
      </c>
      <c r="H1318" s="2">
        <v>10</v>
      </c>
      <c r="I1318" s="1">
        <v>985</v>
      </c>
      <c r="J1318" s="1">
        <v>98.5</v>
      </c>
      <c r="K1318" t="s">
        <v>25</v>
      </c>
      <c r="L1318" t="s">
        <v>26</v>
      </c>
      <c r="M1318" s="2">
        <v>8</v>
      </c>
      <c r="N1318" t="s">
        <v>21</v>
      </c>
    </row>
    <row r="1319" spans="1:14" x14ac:dyDescent="0.3">
      <c r="A1319" t="s">
        <v>1355</v>
      </c>
      <c r="B1319" s="2">
        <v>23</v>
      </c>
      <c r="C1319" t="s">
        <v>23</v>
      </c>
      <c r="D1319" t="s">
        <v>61</v>
      </c>
      <c r="E1319" t="s">
        <v>38</v>
      </c>
      <c r="F1319" s="3">
        <v>45676</v>
      </c>
      <c r="G1319" s="3">
        <v>45758</v>
      </c>
      <c r="H1319" s="2">
        <v>24</v>
      </c>
      <c r="I1319" s="1">
        <v>984</v>
      </c>
      <c r="J1319" s="1">
        <v>41</v>
      </c>
      <c r="K1319" t="s">
        <v>39</v>
      </c>
      <c r="L1319" t="s">
        <v>26</v>
      </c>
      <c r="M1319" s="2">
        <v>3</v>
      </c>
      <c r="N1319" t="s">
        <v>21</v>
      </c>
    </row>
    <row r="1320" spans="1:14" x14ac:dyDescent="0.3">
      <c r="A1320" t="s">
        <v>1356</v>
      </c>
      <c r="B1320" s="2">
        <v>51</v>
      </c>
      <c r="C1320" t="s">
        <v>16</v>
      </c>
      <c r="D1320" t="s">
        <v>17</v>
      </c>
      <c r="E1320" t="s">
        <v>18</v>
      </c>
      <c r="F1320" s="3">
        <v>45327</v>
      </c>
      <c r="G1320" s="3">
        <v>45460</v>
      </c>
      <c r="H1320" s="2">
        <v>14</v>
      </c>
      <c r="I1320" s="1">
        <v>983.78</v>
      </c>
      <c r="J1320" s="1">
        <v>70.27</v>
      </c>
      <c r="K1320" t="s">
        <v>45</v>
      </c>
      <c r="L1320" t="s">
        <v>20</v>
      </c>
      <c r="M1320" s="2">
        <v>2</v>
      </c>
      <c r="N1320" t="s">
        <v>21</v>
      </c>
    </row>
    <row r="1321" spans="1:14" x14ac:dyDescent="0.3">
      <c r="A1321" t="s">
        <v>1357</v>
      </c>
      <c r="B1321" s="2">
        <v>18</v>
      </c>
      <c r="C1321" t="s">
        <v>23</v>
      </c>
      <c r="D1321" t="s">
        <v>28</v>
      </c>
      <c r="E1321" t="s">
        <v>18</v>
      </c>
      <c r="F1321" s="3">
        <v>45586</v>
      </c>
      <c r="G1321" s="3">
        <v>45658</v>
      </c>
      <c r="H1321" s="2">
        <v>10</v>
      </c>
      <c r="I1321" s="1">
        <v>982.09999999999991</v>
      </c>
      <c r="J1321" s="1">
        <v>98.21</v>
      </c>
      <c r="K1321" t="s">
        <v>19</v>
      </c>
      <c r="L1321" t="s">
        <v>26</v>
      </c>
      <c r="M1321" s="2">
        <v>6</v>
      </c>
      <c r="N1321" t="s">
        <v>21</v>
      </c>
    </row>
    <row r="1322" spans="1:14" x14ac:dyDescent="0.3">
      <c r="A1322" t="s">
        <v>1358</v>
      </c>
      <c r="B1322" s="2">
        <v>56</v>
      </c>
      <c r="C1322" t="s">
        <v>16</v>
      </c>
      <c r="D1322" t="s">
        <v>61</v>
      </c>
      <c r="E1322" t="s">
        <v>29</v>
      </c>
      <c r="F1322" s="3">
        <v>45899</v>
      </c>
      <c r="G1322" s="3">
        <v>45913</v>
      </c>
      <c r="H1322" s="2">
        <v>6</v>
      </c>
      <c r="I1322" s="1">
        <v>980.52</v>
      </c>
      <c r="J1322" s="1">
        <v>163.41999999999999</v>
      </c>
      <c r="K1322" t="s">
        <v>25</v>
      </c>
      <c r="L1322" t="s">
        <v>20</v>
      </c>
      <c r="M1322" s="2">
        <v>6</v>
      </c>
      <c r="N1322" t="s">
        <v>21</v>
      </c>
    </row>
    <row r="1323" spans="1:14" x14ac:dyDescent="0.3">
      <c r="A1323" t="s">
        <v>1359</v>
      </c>
      <c r="B1323" s="2">
        <v>37</v>
      </c>
      <c r="C1323" t="s">
        <v>23</v>
      </c>
      <c r="D1323" t="s">
        <v>24</v>
      </c>
      <c r="E1323" t="s">
        <v>29</v>
      </c>
      <c r="F1323" s="3">
        <v>45302</v>
      </c>
      <c r="G1323" s="3">
        <v>45323</v>
      </c>
      <c r="H1323" s="2">
        <v>10</v>
      </c>
      <c r="I1323" s="1">
        <v>978.8</v>
      </c>
      <c r="J1323" s="1">
        <v>97.88</v>
      </c>
      <c r="K1323" t="s">
        <v>19</v>
      </c>
      <c r="L1323" t="s">
        <v>30</v>
      </c>
      <c r="M1323" s="2">
        <v>10</v>
      </c>
      <c r="N1323" t="s">
        <v>21</v>
      </c>
    </row>
    <row r="1324" spans="1:14" x14ac:dyDescent="0.3">
      <c r="A1324" t="s">
        <v>1360</v>
      </c>
      <c r="B1324" s="2">
        <v>22</v>
      </c>
      <c r="C1324" t="s">
        <v>16</v>
      </c>
      <c r="D1324" t="s">
        <v>50</v>
      </c>
      <c r="E1324" t="s">
        <v>38</v>
      </c>
      <c r="F1324" s="3">
        <v>45814</v>
      </c>
      <c r="G1324" s="3">
        <v>45888</v>
      </c>
      <c r="H1324" s="2">
        <v>25</v>
      </c>
      <c r="I1324" s="1">
        <v>976</v>
      </c>
      <c r="J1324" s="1">
        <v>39.04</v>
      </c>
      <c r="K1324" t="s">
        <v>45</v>
      </c>
      <c r="L1324" t="s">
        <v>30</v>
      </c>
      <c r="M1324" s="2">
        <v>5</v>
      </c>
      <c r="N1324" t="s">
        <v>21</v>
      </c>
    </row>
    <row r="1325" spans="1:14" x14ac:dyDescent="0.3">
      <c r="A1325" t="s">
        <v>1361</v>
      </c>
      <c r="B1325" s="2">
        <v>29</v>
      </c>
      <c r="C1325" t="s">
        <v>16</v>
      </c>
      <c r="D1325" t="s">
        <v>17</v>
      </c>
      <c r="E1325" t="s">
        <v>29</v>
      </c>
      <c r="F1325" s="3">
        <v>45779</v>
      </c>
      <c r="G1325" s="3">
        <v>45939</v>
      </c>
      <c r="H1325" s="2">
        <v>12</v>
      </c>
      <c r="I1325" s="1">
        <v>974.40000000000009</v>
      </c>
      <c r="J1325" s="1">
        <v>81.2</v>
      </c>
      <c r="K1325" t="s">
        <v>25</v>
      </c>
      <c r="L1325" t="s">
        <v>20</v>
      </c>
      <c r="M1325" s="2">
        <v>4</v>
      </c>
      <c r="N1325" t="s">
        <v>21</v>
      </c>
    </row>
    <row r="1326" spans="1:14" x14ac:dyDescent="0.3">
      <c r="A1326" t="s">
        <v>1362</v>
      </c>
      <c r="B1326" s="2">
        <v>35</v>
      </c>
      <c r="C1326" t="s">
        <v>23</v>
      </c>
      <c r="D1326" t="s">
        <v>42</v>
      </c>
      <c r="E1326" t="s">
        <v>38</v>
      </c>
      <c r="F1326" s="3">
        <v>45600</v>
      </c>
      <c r="G1326" s="3">
        <v>45737</v>
      </c>
      <c r="H1326" s="2">
        <v>16</v>
      </c>
      <c r="I1326" s="1">
        <v>973.76</v>
      </c>
      <c r="J1326" s="1">
        <v>60.86</v>
      </c>
      <c r="K1326" t="s">
        <v>39</v>
      </c>
      <c r="L1326" t="s">
        <v>26</v>
      </c>
      <c r="M1326" s="2">
        <v>5</v>
      </c>
      <c r="N1326" t="s">
        <v>31</v>
      </c>
    </row>
    <row r="1327" spans="1:14" x14ac:dyDescent="0.3">
      <c r="A1327" t="s">
        <v>1363</v>
      </c>
      <c r="B1327" s="2">
        <v>27</v>
      </c>
      <c r="C1327" t="s">
        <v>16</v>
      </c>
      <c r="D1327" t="s">
        <v>28</v>
      </c>
      <c r="E1327" t="s">
        <v>29</v>
      </c>
      <c r="F1327" s="3">
        <v>45362</v>
      </c>
      <c r="G1327" s="3">
        <v>45452</v>
      </c>
      <c r="H1327" s="2">
        <v>5</v>
      </c>
      <c r="I1327" s="1">
        <v>973.65</v>
      </c>
      <c r="J1327" s="1">
        <v>194.73</v>
      </c>
      <c r="K1327" t="s">
        <v>45</v>
      </c>
      <c r="L1327" t="s">
        <v>26</v>
      </c>
      <c r="M1327" s="2">
        <v>2</v>
      </c>
      <c r="N1327" t="s">
        <v>21</v>
      </c>
    </row>
    <row r="1328" spans="1:14" x14ac:dyDescent="0.3">
      <c r="A1328" t="s">
        <v>1364</v>
      </c>
      <c r="B1328" s="2">
        <v>62</v>
      </c>
      <c r="C1328" t="s">
        <v>23</v>
      </c>
      <c r="D1328" t="s">
        <v>61</v>
      </c>
      <c r="E1328" t="s">
        <v>29</v>
      </c>
      <c r="F1328" s="3">
        <v>45421</v>
      </c>
      <c r="G1328" s="3">
        <v>45497</v>
      </c>
      <c r="H1328" s="2">
        <v>24</v>
      </c>
      <c r="I1328" s="1">
        <v>973.44</v>
      </c>
      <c r="J1328" s="1">
        <v>40.56</v>
      </c>
      <c r="K1328" t="s">
        <v>35</v>
      </c>
      <c r="L1328" t="s">
        <v>26</v>
      </c>
      <c r="M1328" s="2">
        <v>7</v>
      </c>
      <c r="N1328" t="s">
        <v>21</v>
      </c>
    </row>
    <row r="1329" spans="1:14" x14ac:dyDescent="0.3">
      <c r="A1329" t="s">
        <v>1365</v>
      </c>
      <c r="B1329" s="2">
        <v>30</v>
      </c>
      <c r="C1329" t="s">
        <v>23</v>
      </c>
      <c r="D1329" t="s">
        <v>50</v>
      </c>
      <c r="E1329" t="s">
        <v>29</v>
      </c>
      <c r="F1329" s="3">
        <v>45354</v>
      </c>
      <c r="G1329" s="3">
        <v>45580</v>
      </c>
      <c r="H1329" s="2">
        <v>6</v>
      </c>
      <c r="I1329" s="1">
        <v>972.72</v>
      </c>
      <c r="J1329" s="1">
        <v>162.12</v>
      </c>
      <c r="K1329" t="s">
        <v>39</v>
      </c>
      <c r="L1329" t="s">
        <v>20</v>
      </c>
      <c r="M1329" s="2">
        <v>2</v>
      </c>
      <c r="N1329" t="s">
        <v>31</v>
      </c>
    </row>
    <row r="1330" spans="1:14" x14ac:dyDescent="0.3">
      <c r="A1330" t="s">
        <v>1366</v>
      </c>
      <c r="B1330" s="2">
        <v>54</v>
      </c>
      <c r="C1330" t="s">
        <v>16</v>
      </c>
      <c r="D1330" t="s">
        <v>44</v>
      </c>
      <c r="E1330" t="s">
        <v>38</v>
      </c>
      <c r="F1330" s="3">
        <v>45818</v>
      </c>
      <c r="G1330" s="3">
        <v>45889</v>
      </c>
      <c r="H1330" s="2">
        <v>15</v>
      </c>
      <c r="I1330" s="1">
        <v>968.69999999999993</v>
      </c>
      <c r="J1330" s="1">
        <v>64.58</v>
      </c>
      <c r="K1330" t="s">
        <v>45</v>
      </c>
      <c r="L1330" t="s">
        <v>30</v>
      </c>
      <c r="M1330" s="2">
        <v>4</v>
      </c>
      <c r="N1330" t="s">
        <v>21</v>
      </c>
    </row>
    <row r="1331" spans="1:14" x14ac:dyDescent="0.3">
      <c r="A1331" t="s">
        <v>1367</v>
      </c>
      <c r="B1331" s="2">
        <v>42</v>
      </c>
      <c r="C1331" t="s">
        <v>23</v>
      </c>
      <c r="D1331" t="s">
        <v>42</v>
      </c>
      <c r="E1331" t="s">
        <v>18</v>
      </c>
      <c r="F1331" s="3">
        <v>45461</v>
      </c>
      <c r="G1331" s="3">
        <v>45521</v>
      </c>
      <c r="H1331" s="2">
        <v>10</v>
      </c>
      <c r="I1331" s="1">
        <v>966.80000000000007</v>
      </c>
      <c r="J1331" s="1">
        <v>96.68</v>
      </c>
      <c r="K1331" t="s">
        <v>25</v>
      </c>
      <c r="L1331" t="s">
        <v>20</v>
      </c>
      <c r="M1331" s="2">
        <v>5</v>
      </c>
      <c r="N1331" t="s">
        <v>21</v>
      </c>
    </row>
    <row r="1332" spans="1:14" x14ac:dyDescent="0.3">
      <c r="A1332" t="s">
        <v>1368</v>
      </c>
      <c r="B1332" s="2">
        <v>42</v>
      </c>
      <c r="C1332" t="s">
        <v>16</v>
      </c>
      <c r="D1332" t="s">
        <v>24</v>
      </c>
      <c r="E1332" t="s">
        <v>38</v>
      </c>
      <c r="F1332" s="3">
        <v>45333</v>
      </c>
      <c r="G1332" s="3">
        <v>45401</v>
      </c>
      <c r="H1332" s="2">
        <v>4</v>
      </c>
      <c r="I1332" s="1">
        <v>966</v>
      </c>
      <c r="J1332" s="1">
        <v>241.5</v>
      </c>
      <c r="K1332" t="s">
        <v>39</v>
      </c>
      <c r="L1332" t="s">
        <v>30</v>
      </c>
      <c r="M1332" s="2">
        <v>1</v>
      </c>
      <c r="N1332" t="s">
        <v>21</v>
      </c>
    </row>
    <row r="1333" spans="1:14" x14ac:dyDescent="0.3">
      <c r="A1333" t="s">
        <v>1369</v>
      </c>
      <c r="B1333" s="2">
        <v>57</v>
      </c>
      <c r="C1333" t="s">
        <v>23</v>
      </c>
      <c r="D1333" t="s">
        <v>44</v>
      </c>
      <c r="E1333" t="s">
        <v>34</v>
      </c>
      <c r="F1333" s="3">
        <v>45577</v>
      </c>
      <c r="G1333" s="3">
        <v>45817</v>
      </c>
      <c r="H1333" s="2">
        <v>6</v>
      </c>
      <c r="I1333" s="1">
        <v>965.22</v>
      </c>
      <c r="J1333" s="1">
        <v>160.87</v>
      </c>
      <c r="K1333" t="s">
        <v>39</v>
      </c>
      <c r="L1333" t="s">
        <v>30</v>
      </c>
      <c r="M1333" s="2">
        <v>2</v>
      </c>
      <c r="N1333" t="s">
        <v>21</v>
      </c>
    </row>
    <row r="1334" spans="1:14" x14ac:dyDescent="0.3">
      <c r="A1334" t="s">
        <v>1370</v>
      </c>
      <c r="B1334" s="2">
        <v>31</v>
      </c>
      <c r="C1334" t="s">
        <v>23</v>
      </c>
      <c r="D1334" t="s">
        <v>17</v>
      </c>
      <c r="E1334" t="s">
        <v>29</v>
      </c>
      <c r="F1334" s="3">
        <v>45560</v>
      </c>
      <c r="G1334" s="3">
        <v>45728</v>
      </c>
      <c r="H1334" s="2">
        <v>4</v>
      </c>
      <c r="I1334" s="1">
        <v>964.72</v>
      </c>
      <c r="J1334" s="1">
        <v>241.18</v>
      </c>
      <c r="K1334" t="s">
        <v>19</v>
      </c>
      <c r="L1334" t="s">
        <v>26</v>
      </c>
      <c r="M1334" s="2">
        <v>9</v>
      </c>
      <c r="N1334" t="s">
        <v>21</v>
      </c>
    </row>
    <row r="1335" spans="1:14" x14ac:dyDescent="0.3">
      <c r="A1335" t="s">
        <v>1371</v>
      </c>
      <c r="B1335" s="2">
        <v>54</v>
      </c>
      <c r="C1335" t="s">
        <v>16</v>
      </c>
      <c r="D1335" t="s">
        <v>50</v>
      </c>
      <c r="E1335" t="s">
        <v>29</v>
      </c>
      <c r="F1335" s="3">
        <v>45494</v>
      </c>
      <c r="G1335" s="3">
        <v>45743</v>
      </c>
      <c r="H1335" s="2">
        <v>6</v>
      </c>
      <c r="I1335" s="1">
        <v>964.37999999999988</v>
      </c>
      <c r="J1335" s="1">
        <v>160.72999999999999</v>
      </c>
      <c r="K1335" t="s">
        <v>39</v>
      </c>
      <c r="L1335" t="s">
        <v>20</v>
      </c>
      <c r="M1335" s="2">
        <v>3</v>
      </c>
      <c r="N1335" t="s">
        <v>31</v>
      </c>
    </row>
    <row r="1336" spans="1:14" x14ac:dyDescent="0.3">
      <c r="A1336" t="s">
        <v>1372</v>
      </c>
      <c r="B1336" s="2">
        <v>35</v>
      </c>
      <c r="C1336" t="s">
        <v>16</v>
      </c>
      <c r="D1336" t="s">
        <v>50</v>
      </c>
      <c r="E1336" t="s">
        <v>34</v>
      </c>
      <c r="F1336" s="3">
        <v>45858</v>
      </c>
      <c r="G1336" s="3">
        <v>46144</v>
      </c>
      <c r="H1336" s="2">
        <v>4</v>
      </c>
      <c r="I1336" s="1">
        <v>963.52</v>
      </c>
      <c r="J1336" s="1">
        <v>240.88</v>
      </c>
      <c r="K1336" t="s">
        <v>25</v>
      </c>
      <c r="L1336" t="s">
        <v>20</v>
      </c>
      <c r="M1336" s="2">
        <v>9</v>
      </c>
      <c r="N1336" t="s">
        <v>21</v>
      </c>
    </row>
    <row r="1337" spans="1:14" x14ac:dyDescent="0.3">
      <c r="A1337" t="s">
        <v>1373</v>
      </c>
      <c r="B1337" s="2">
        <v>57</v>
      </c>
      <c r="C1337" t="s">
        <v>16</v>
      </c>
      <c r="D1337" t="s">
        <v>24</v>
      </c>
      <c r="E1337" t="s">
        <v>38</v>
      </c>
      <c r="F1337" s="3">
        <v>45616</v>
      </c>
      <c r="G1337" s="3">
        <v>45763</v>
      </c>
      <c r="H1337" s="2">
        <v>6</v>
      </c>
      <c r="I1337" s="1">
        <v>963.42</v>
      </c>
      <c r="J1337" s="1">
        <v>160.57</v>
      </c>
      <c r="K1337" t="s">
        <v>45</v>
      </c>
      <c r="L1337" t="s">
        <v>30</v>
      </c>
      <c r="M1337" s="2">
        <v>3</v>
      </c>
      <c r="N1337" t="s">
        <v>21</v>
      </c>
    </row>
    <row r="1338" spans="1:14" x14ac:dyDescent="0.3">
      <c r="A1338" t="s">
        <v>1374</v>
      </c>
      <c r="B1338" s="2">
        <v>38</v>
      </c>
      <c r="C1338" t="s">
        <v>16</v>
      </c>
      <c r="D1338" t="s">
        <v>24</v>
      </c>
      <c r="E1338" t="s">
        <v>29</v>
      </c>
      <c r="F1338" s="3">
        <v>45377</v>
      </c>
      <c r="G1338" s="3">
        <v>45607</v>
      </c>
      <c r="H1338" s="2">
        <v>22</v>
      </c>
      <c r="I1338" s="1">
        <v>962.28000000000009</v>
      </c>
      <c r="J1338" s="1">
        <v>43.74</v>
      </c>
      <c r="K1338" t="s">
        <v>39</v>
      </c>
      <c r="L1338" t="s">
        <v>30</v>
      </c>
      <c r="M1338" s="2">
        <v>2</v>
      </c>
      <c r="N1338" t="s">
        <v>21</v>
      </c>
    </row>
    <row r="1339" spans="1:14" x14ac:dyDescent="0.3">
      <c r="A1339" t="s">
        <v>1375</v>
      </c>
      <c r="B1339" s="2">
        <v>52</v>
      </c>
      <c r="C1339" t="s">
        <v>23</v>
      </c>
      <c r="D1339" t="s">
        <v>28</v>
      </c>
      <c r="E1339" t="s">
        <v>18</v>
      </c>
      <c r="F1339" s="3">
        <v>45839</v>
      </c>
      <c r="G1339" s="3">
        <v>46025</v>
      </c>
      <c r="H1339" s="2">
        <v>4</v>
      </c>
      <c r="I1339" s="1">
        <v>959.76</v>
      </c>
      <c r="J1339" s="1">
        <v>239.94</v>
      </c>
      <c r="K1339" t="s">
        <v>25</v>
      </c>
      <c r="L1339" t="s">
        <v>30</v>
      </c>
      <c r="M1339" s="2">
        <v>6</v>
      </c>
      <c r="N1339" t="s">
        <v>21</v>
      </c>
    </row>
    <row r="1340" spans="1:14" x14ac:dyDescent="0.3">
      <c r="A1340" t="s">
        <v>1376</v>
      </c>
      <c r="B1340" s="2">
        <v>53</v>
      </c>
      <c r="C1340" t="s">
        <v>23</v>
      </c>
      <c r="D1340" t="s">
        <v>42</v>
      </c>
      <c r="E1340" t="s">
        <v>38</v>
      </c>
      <c r="F1340" s="3">
        <v>45336</v>
      </c>
      <c r="G1340" s="3">
        <v>45401</v>
      </c>
      <c r="H1340" s="2">
        <v>7</v>
      </c>
      <c r="I1340" s="1">
        <v>959.69999999999993</v>
      </c>
      <c r="J1340" s="1">
        <v>137.1</v>
      </c>
      <c r="K1340" t="s">
        <v>39</v>
      </c>
      <c r="L1340" t="s">
        <v>26</v>
      </c>
      <c r="M1340" s="2">
        <v>2</v>
      </c>
      <c r="N1340" t="s">
        <v>21</v>
      </c>
    </row>
    <row r="1341" spans="1:14" x14ac:dyDescent="0.3">
      <c r="A1341" t="s">
        <v>1377</v>
      </c>
      <c r="B1341" s="2">
        <v>45</v>
      </c>
      <c r="C1341" t="s">
        <v>16</v>
      </c>
      <c r="D1341" t="s">
        <v>44</v>
      </c>
      <c r="E1341" t="s">
        <v>38</v>
      </c>
      <c r="F1341" s="3">
        <v>45753</v>
      </c>
      <c r="G1341" s="3">
        <v>46004</v>
      </c>
      <c r="H1341" s="2">
        <v>8</v>
      </c>
      <c r="I1341" s="1">
        <v>957.04</v>
      </c>
      <c r="J1341" s="1">
        <v>119.63</v>
      </c>
      <c r="K1341" t="s">
        <v>39</v>
      </c>
      <c r="L1341" t="s">
        <v>20</v>
      </c>
      <c r="M1341" s="2">
        <v>5</v>
      </c>
      <c r="N1341" t="s">
        <v>21</v>
      </c>
    </row>
    <row r="1342" spans="1:14" x14ac:dyDescent="0.3">
      <c r="A1342" t="s">
        <v>1378</v>
      </c>
      <c r="B1342" s="2">
        <v>65</v>
      </c>
      <c r="C1342" t="s">
        <v>23</v>
      </c>
      <c r="D1342" t="s">
        <v>28</v>
      </c>
      <c r="E1342" t="s">
        <v>38</v>
      </c>
      <c r="F1342" s="3">
        <v>45559</v>
      </c>
      <c r="G1342" s="3">
        <v>45824</v>
      </c>
      <c r="H1342" s="2">
        <v>14</v>
      </c>
      <c r="I1342" s="1">
        <v>952.69999999999993</v>
      </c>
      <c r="J1342" s="1">
        <v>68.05</v>
      </c>
      <c r="K1342" t="s">
        <v>25</v>
      </c>
      <c r="L1342" t="s">
        <v>26</v>
      </c>
      <c r="M1342" s="2">
        <v>4</v>
      </c>
      <c r="N1342" t="s">
        <v>21</v>
      </c>
    </row>
    <row r="1343" spans="1:14" x14ac:dyDescent="0.3">
      <c r="A1343" t="s">
        <v>1379</v>
      </c>
      <c r="B1343" s="2">
        <v>27</v>
      </c>
      <c r="C1343" t="s">
        <v>16</v>
      </c>
      <c r="D1343" t="s">
        <v>28</v>
      </c>
      <c r="E1343" t="s">
        <v>34</v>
      </c>
      <c r="F1343" s="3">
        <v>45298</v>
      </c>
      <c r="G1343" s="3">
        <v>45530</v>
      </c>
      <c r="H1343" s="2">
        <v>9</v>
      </c>
      <c r="I1343" s="1">
        <v>952.11</v>
      </c>
      <c r="J1343" s="1">
        <v>105.79</v>
      </c>
      <c r="K1343" t="s">
        <v>45</v>
      </c>
      <c r="L1343" t="s">
        <v>30</v>
      </c>
      <c r="M1343" s="2">
        <v>3</v>
      </c>
      <c r="N1343" t="s">
        <v>21</v>
      </c>
    </row>
    <row r="1344" spans="1:14" x14ac:dyDescent="0.3">
      <c r="A1344" t="s">
        <v>1380</v>
      </c>
      <c r="B1344" s="2">
        <v>53</v>
      </c>
      <c r="C1344" t="s">
        <v>16</v>
      </c>
      <c r="D1344" t="s">
        <v>61</v>
      </c>
      <c r="E1344" t="s">
        <v>34</v>
      </c>
      <c r="F1344" s="3">
        <v>45356</v>
      </c>
      <c r="G1344" s="3">
        <v>45631</v>
      </c>
      <c r="H1344" s="2">
        <v>13</v>
      </c>
      <c r="I1344" s="1">
        <v>951.07999999999993</v>
      </c>
      <c r="J1344" s="1">
        <v>73.16</v>
      </c>
      <c r="K1344" t="s">
        <v>45</v>
      </c>
      <c r="L1344" t="s">
        <v>26</v>
      </c>
      <c r="M1344" s="2">
        <v>6</v>
      </c>
      <c r="N1344" t="s">
        <v>21</v>
      </c>
    </row>
    <row r="1345" spans="1:14" x14ac:dyDescent="0.3">
      <c r="A1345" t="s">
        <v>1381</v>
      </c>
      <c r="B1345" s="2">
        <v>33</v>
      </c>
      <c r="C1345" t="s">
        <v>16</v>
      </c>
      <c r="D1345" t="s">
        <v>61</v>
      </c>
      <c r="E1345" t="s">
        <v>38</v>
      </c>
      <c r="F1345" s="3">
        <v>45528</v>
      </c>
      <c r="G1345" s="3">
        <v>45800</v>
      </c>
      <c r="H1345" s="2">
        <v>13</v>
      </c>
      <c r="I1345" s="1">
        <v>949.65</v>
      </c>
      <c r="J1345" s="1">
        <v>73.05</v>
      </c>
      <c r="K1345" t="s">
        <v>39</v>
      </c>
      <c r="L1345" t="s">
        <v>20</v>
      </c>
      <c r="M1345" s="2">
        <v>10</v>
      </c>
      <c r="N1345" t="s">
        <v>21</v>
      </c>
    </row>
    <row r="1346" spans="1:14" x14ac:dyDescent="0.3">
      <c r="A1346" t="s">
        <v>1382</v>
      </c>
      <c r="B1346" s="2">
        <v>22</v>
      </c>
      <c r="C1346" t="s">
        <v>23</v>
      </c>
      <c r="D1346" t="s">
        <v>44</v>
      </c>
      <c r="E1346" t="s">
        <v>29</v>
      </c>
      <c r="F1346" s="3">
        <v>45658</v>
      </c>
      <c r="G1346" s="3">
        <v>45958</v>
      </c>
      <c r="H1346" s="2">
        <v>4</v>
      </c>
      <c r="I1346" s="1">
        <v>947.6</v>
      </c>
      <c r="J1346" s="1">
        <v>236.9</v>
      </c>
      <c r="K1346" t="s">
        <v>25</v>
      </c>
      <c r="L1346" t="s">
        <v>30</v>
      </c>
      <c r="M1346" s="2">
        <v>10</v>
      </c>
      <c r="N1346" t="s">
        <v>31</v>
      </c>
    </row>
    <row r="1347" spans="1:14" x14ac:dyDescent="0.3">
      <c r="A1347" t="s">
        <v>1383</v>
      </c>
      <c r="B1347" s="2">
        <v>31</v>
      </c>
      <c r="C1347" t="s">
        <v>23</v>
      </c>
      <c r="D1347" t="s">
        <v>24</v>
      </c>
      <c r="E1347" t="s">
        <v>29</v>
      </c>
      <c r="F1347" s="3">
        <v>45804</v>
      </c>
      <c r="G1347" s="3">
        <v>46019</v>
      </c>
      <c r="H1347" s="2">
        <v>5</v>
      </c>
      <c r="I1347" s="1">
        <v>947.6</v>
      </c>
      <c r="J1347" s="1">
        <v>189.52</v>
      </c>
      <c r="K1347" t="s">
        <v>25</v>
      </c>
      <c r="L1347" t="s">
        <v>30</v>
      </c>
      <c r="M1347" s="2">
        <v>1</v>
      </c>
      <c r="N1347" t="s">
        <v>21</v>
      </c>
    </row>
    <row r="1348" spans="1:14" x14ac:dyDescent="0.3">
      <c r="A1348" t="s">
        <v>1384</v>
      </c>
      <c r="B1348" s="2">
        <v>59</v>
      </c>
      <c r="C1348" t="s">
        <v>23</v>
      </c>
      <c r="D1348" t="s">
        <v>17</v>
      </c>
      <c r="E1348" t="s">
        <v>18</v>
      </c>
      <c r="F1348" s="3">
        <v>45419</v>
      </c>
      <c r="G1348" s="3">
        <v>45423</v>
      </c>
      <c r="H1348" s="2">
        <v>11</v>
      </c>
      <c r="I1348" s="1">
        <v>946.66000000000008</v>
      </c>
      <c r="J1348" s="1">
        <v>86.06</v>
      </c>
      <c r="K1348" t="s">
        <v>45</v>
      </c>
      <c r="L1348" t="s">
        <v>26</v>
      </c>
      <c r="M1348" s="2">
        <v>5</v>
      </c>
      <c r="N1348" t="s">
        <v>21</v>
      </c>
    </row>
    <row r="1349" spans="1:14" x14ac:dyDescent="0.3">
      <c r="A1349" t="s">
        <v>1385</v>
      </c>
      <c r="B1349" s="2">
        <v>45</v>
      </c>
      <c r="C1349" t="s">
        <v>23</v>
      </c>
      <c r="D1349" t="s">
        <v>61</v>
      </c>
      <c r="E1349" t="s">
        <v>38</v>
      </c>
      <c r="F1349" s="3">
        <v>45924</v>
      </c>
      <c r="G1349" s="3">
        <v>45949</v>
      </c>
      <c r="H1349" s="2">
        <v>22</v>
      </c>
      <c r="I1349" s="1">
        <v>942.48</v>
      </c>
      <c r="J1349" s="1">
        <v>42.84</v>
      </c>
      <c r="K1349" t="s">
        <v>35</v>
      </c>
      <c r="L1349" t="s">
        <v>26</v>
      </c>
      <c r="M1349" s="2">
        <v>4</v>
      </c>
      <c r="N1349" t="s">
        <v>21</v>
      </c>
    </row>
    <row r="1350" spans="1:14" x14ac:dyDescent="0.3">
      <c r="A1350" t="s">
        <v>1386</v>
      </c>
      <c r="B1350" s="2">
        <v>54</v>
      </c>
      <c r="C1350" t="s">
        <v>23</v>
      </c>
      <c r="D1350" t="s">
        <v>28</v>
      </c>
      <c r="E1350" t="s">
        <v>29</v>
      </c>
      <c r="F1350" s="3">
        <v>45840</v>
      </c>
      <c r="G1350" s="3">
        <v>45949</v>
      </c>
      <c r="H1350" s="2">
        <v>10</v>
      </c>
      <c r="I1350" s="1">
        <v>942.4</v>
      </c>
      <c r="J1350" s="1">
        <v>94.24</v>
      </c>
      <c r="K1350" t="s">
        <v>19</v>
      </c>
      <c r="L1350" t="s">
        <v>20</v>
      </c>
      <c r="M1350" s="2">
        <v>2</v>
      </c>
      <c r="N1350" t="s">
        <v>21</v>
      </c>
    </row>
    <row r="1351" spans="1:14" x14ac:dyDescent="0.3">
      <c r="A1351" t="s">
        <v>1387</v>
      </c>
      <c r="B1351" s="2">
        <v>31</v>
      </c>
      <c r="C1351" t="s">
        <v>16</v>
      </c>
      <c r="D1351" t="s">
        <v>28</v>
      </c>
      <c r="E1351" t="s">
        <v>29</v>
      </c>
      <c r="F1351" s="3">
        <v>45720</v>
      </c>
      <c r="G1351" s="3">
        <v>45964</v>
      </c>
      <c r="H1351" s="2">
        <v>24</v>
      </c>
      <c r="I1351" s="1">
        <v>942</v>
      </c>
      <c r="J1351" s="1">
        <v>39.25</v>
      </c>
      <c r="K1351" t="s">
        <v>45</v>
      </c>
      <c r="L1351" t="s">
        <v>26</v>
      </c>
      <c r="M1351" s="2">
        <v>8</v>
      </c>
      <c r="N1351" t="s">
        <v>21</v>
      </c>
    </row>
    <row r="1352" spans="1:14" x14ac:dyDescent="0.3">
      <c r="A1352" t="s">
        <v>1388</v>
      </c>
      <c r="B1352" s="2">
        <v>58</v>
      </c>
      <c r="C1352" t="s">
        <v>23</v>
      </c>
      <c r="D1352" t="s">
        <v>50</v>
      </c>
      <c r="E1352" t="s">
        <v>34</v>
      </c>
      <c r="F1352" s="3">
        <v>45598</v>
      </c>
      <c r="G1352" s="3">
        <v>45845</v>
      </c>
      <c r="H1352" s="2">
        <v>10</v>
      </c>
      <c r="I1352" s="1">
        <v>941.3</v>
      </c>
      <c r="J1352" s="1">
        <v>94.13</v>
      </c>
      <c r="K1352" t="s">
        <v>19</v>
      </c>
      <c r="L1352" t="s">
        <v>30</v>
      </c>
      <c r="M1352" s="2">
        <v>8</v>
      </c>
      <c r="N1352" t="s">
        <v>31</v>
      </c>
    </row>
    <row r="1353" spans="1:14" x14ac:dyDescent="0.3">
      <c r="A1353" t="s">
        <v>1389</v>
      </c>
      <c r="B1353" s="2">
        <v>40</v>
      </c>
      <c r="C1353" t="s">
        <v>16</v>
      </c>
      <c r="D1353" t="s">
        <v>44</v>
      </c>
      <c r="E1353" t="s">
        <v>18</v>
      </c>
      <c r="F1353" s="3">
        <v>45841</v>
      </c>
      <c r="G1353" s="3">
        <v>45884</v>
      </c>
      <c r="H1353" s="2">
        <v>4</v>
      </c>
      <c r="I1353" s="1">
        <v>941.24</v>
      </c>
      <c r="J1353" s="1">
        <v>235.31</v>
      </c>
      <c r="K1353" t="s">
        <v>19</v>
      </c>
      <c r="L1353" t="s">
        <v>20</v>
      </c>
      <c r="M1353" s="2">
        <v>7</v>
      </c>
      <c r="N1353" t="s">
        <v>21</v>
      </c>
    </row>
    <row r="1354" spans="1:14" x14ac:dyDescent="0.3">
      <c r="A1354" t="s">
        <v>1390</v>
      </c>
      <c r="B1354" s="2">
        <v>62</v>
      </c>
      <c r="C1354" t="s">
        <v>16</v>
      </c>
      <c r="D1354" t="s">
        <v>61</v>
      </c>
      <c r="E1354" t="s">
        <v>34</v>
      </c>
      <c r="F1354" s="3">
        <v>45624</v>
      </c>
      <c r="G1354" s="3">
        <v>45871</v>
      </c>
      <c r="H1354" s="2">
        <v>6</v>
      </c>
      <c r="I1354" s="1">
        <v>940.31999999999994</v>
      </c>
      <c r="J1354" s="1">
        <v>156.72</v>
      </c>
      <c r="K1354" t="s">
        <v>39</v>
      </c>
      <c r="L1354" t="s">
        <v>20</v>
      </c>
      <c r="M1354" s="2">
        <v>10</v>
      </c>
      <c r="N1354" t="s">
        <v>21</v>
      </c>
    </row>
    <row r="1355" spans="1:14" x14ac:dyDescent="0.3">
      <c r="A1355" t="s">
        <v>1391</v>
      </c>
      <c r="B1355" s="2">
        <v>57</v>
      </c>
      <c r="C1355" t="s">
        <v>23</v>
      </c>
      <c r="D1355" t="s">
        <v>24</v>
      </c>
      <c r="E1355" t="s">
        <v>34</v>
      </c>
      <c r="F1355" s="3">
        <v>45710</v>
      </c>
      <c r="G1355" s="3">
        <v>45937</v>
      </c>
      <c r="H1355" s="2">
        <v>15</v>
      </c>
      <c r="I1355" s="1">
        <v>931.65</v>
      </c>
      <c r="J1355" s="1">
        <v>62.11</v>
      </c>
      <c r="K1355" t="s">
        <v>25</v>
      </c>
      <c r="L1355" t="s">
        <v>20</v>
      </c>
      <c r="M1355" s="2">
        <v>8</v>
      </c>
      <c r="N1355" t="s">
        <v>21</v>
      </c>
    </row>
    <row r="1356" spans="1:14" x14ac:dyDescent="0.3">
      <c r="A1356" t="s">
        <v>1392</v>
      </c>
      <c r="B1356" s="2">
        <v>21</v>
      </c>
      <c r="C1356" t="s">
        <v>23</v>
      </c>
      <c r="D1356" t="s">
        <v>24</v>
      </c>
      <c r="E1356" t="s">
        <v>34</v>
      </c>
      <c r="F1356" s="3">
        <v>45521</v>
      </c>
      <c r="G1356" s="3">
        <v>45626</v>
      </c>
      <c r="H1356" s="2">
        <v>13</v>
      </c>
      <c r="I1356" s="1">
        <v>931.32</v>
      </c>
      <c r="J1356" s="1">
        <v>71.64</v>
      </c>
      <c r="K1356" t="s">
        <v>39</v>
      </c>
      <c r="L1356" t="s">
        <v>20</v>
      </c>
      <c r="M1356" s="2">
        <v>6</v>
      </c>
      <c r="N1356" t="s">
        <v>21</v>
      </c>
    </row>
    <row r="1357" spans="1:14" x14ac:dyDescent="0.3">
      <c r="A1357" t="s">
        <v>1393</v>
      </c>
      <c r="B1357" s="2">
        <v>38</v>
      </c>
      <c r="C1357" t="s">
        <v>23</v>
      </c>
      <c r="D1357" t="s">
        <v>50</v>
      </c>
      <c r="E1357" t="s">
        <v>18</v>
      </c>
      <c r="F1357" s="3">
        <v>45878</v>
      </c>
      <c r="G1357" s="3">
        <v>45958</v>
      </c>
      <c r="H1357" s="2">
        <v>5</v>
      </c>
      <c r="I1357" s="1">
        <v>929.55</v>
      </c>
      <c r="J1357" s="1">
        <v>185.91</v>
      </c>
      <c r="K1357" t="s">
        <v>25</v>
      </c>
      <c r="L1357" t="s">
        <v>20</v>
      </c>
      <c r="M1357" s="2">
        <v>6</v>
      </c>
      <c r="N1357" t="s">
        <v>31</v>
      </c>
    </row>
    <row r="1358" spans="1:14" x14ac:dyDescent="0.3">
      <c r="A1358" t="s">
        <v>1394</v>
      </c>
      <c r="B1358" s="2">
        <v>42</v>
      </c>
      <c r="C1358" t="s">
        <v>16</v>
      </c>
      <c r="D1358" t="s">
        <v>61</v>
      </c>
      <c r="E1358" t="s">
        <v>29</v>
      </c>
      <c r="F1358" s="3">
        <v>45963</v>
      </c>
      <c r="G1358" s="3">
        <v>46217</v>
      </c>
      <c r="H1358" s="2">
        <v>10</v>
      </c>
      <c r="I1358" s="1">
        <v>926.4</v>
      </c>
      <c r="J1358" s="1">
        <v>92.64</v>
      </c>
      <c r="K1358" t="s">
        <v>45</v>
      </c>
      <c r="L1358" t="s">
        <v>20</v>
      </c>
      <c r="M1358" s="2">
        <v>4</v>
      </c>
      <c r="N1358" t="s">
        <v>21</v>
      </c>
    </row>
    <row r="1359" spans="1:14" x14ac:dyDescent="0.3">
      <c r="A1359" t="s">
        <v>1395</v>
      </c>
      <c r="B1359" s="2">
        <v>39</v>
      </c>
      <c r="C1359" t="s">
        <v>16</v>
      </c>
      <c r="D1359" t="s">
        <v>42</v>
      </c>
      <c r="E1359" t="s">
        <v>18</v>
      </c>
      <c r="F1359" s="3">
        <v>45706</v>
      </c>
      <c r="G1359" s="3">
        <v>45735</v>
      </c>
      <c r="H1359" s="2">
        <v>13</v>
      </c>
      <c r="I1359" s="1">
        <v>926.25</v>
      </c>
      <c r="J1359" s="1">
        <v>71.25</v>
      </c>
      <c r="K1359" t="s">
        <v>35</v>
      </c>
      <c r="L1359" t="s">
        <v>30</v>
      </c>
      <c r="M1359" s="2">
        <v>8</v>
      </c>
      <c r="N1359" t="s">
        <v>21</v>
      </c>
    </row>
    <row r="1360" spans="1:14" x14ac:dyDescent="0.3">
      <c r="A1360" t="s">
        <v>1396</v>
      </c>
      <c r="B1360" s="2">
        <v>42</v>
      </c>
      <c r="C1360" t="s">
        <v>23</v>
      </c>
      <c r="D1360" t="s">
        <v>61</v>
      </c>
      <c r="E1360" t="s">
        <v>34</v>
      </c>
      <c r="F1360" s="3">
        <v>45777</v>
      </c>
      <c r="G1360" s="3">
        <v>46042</v>
      </c>
      <c r="H1360" s="2">
        <v>15</v>
      </c>
      <c r="I1360" s="1">
        <v>925.5</v>
      </c>
      <c r="J1360" s="1">
        <v>61.7</v>
      </c>
      <c r="K1360" t="s">
        <v>25</v>
      </c>
      <c r="L1360" t="s">
        <v>26</v>
      </c>
      <c r="M1360" s="2">
        <v>10</v>
      </c>
      <c r="N1360" t="s">
        <v>21</v>
      </c>
    </row>
    <row r="1361" spans="1:14" x14ac:dyDescent="0.3">
      <c r="A1361" t="s">
        <v>1397</v>
      </c>
      <c r="B1361" s="2">
        <v>23</v>
      </c>
      <c r="C1361" t="s">
        <v>16</v>
      </c>
      <c r="D1361" t="s">
        <v>61</v>
      </c>
      <c r="E1361" t="s">
        <v>18</v>
      </c>
      <c r="F1361" s="3">
        <v>45507</v>
      </c>
      <c r="G1361" s="3">
        <v>45630</v>
      </c>
      <c r="H1361" s="2">
        <v>15</v>
      </c>
      <c r="I1361" s="1">
        <v>924.6</v>
      </c>
      <c r="J1361" s="1">
        <v>61.64</v>
      </c>
      <c r="K1361" t="s">
        <v>25</v>
      </c>
      <c r="L1361" t="s">
        <v>30</v>
      </c>
      <c r="M1361" s="2">
        <v>8</v>
      </c>
      <c r="N1361" t="s">
        <v>31</v>
      </c>
    </row>
    <row r="1362" spans="1:14" x14ac:dyDescent="0.3">
      <c r="A1362" t="s">
        <v>1398</v>
      </c>
      <c r="B1362" s="2">
        <v>21</v>
      </c>
      <c r="C1362" t="s">
        <v>16</v>
      </c>
      <c r="D1362" t="s">
        <v>42</v>
      </c>
      <c r="E1362" t="s">
        <v>18</v>
      </c>
      <c r="F1362" s="3">
        <v>45706</v>
      </c>
      <c r="G1362" s="3">
        <v>45927</v>
      </c>
      <c r="H1362" s="2">
        <v>15</v>
      </c>
      <c r="I1362" s="1">
        <v>922.80000000000007</v>
      </c>
      <c r="J1362" s="1">
        <v>61.52</v>
      </c>
      <c r="K1362" t="s">
        <v>25</v>
      </c>
      <c r="L1362" t="s">
        <v>20</v>
      </c>
      <c r="M1362" s="2">
        <v>9</v>
      </c>
      <c r="N1362" t="s">
        <v>31</v>
      </c>
    </row>
    <row r="1363" spans="1:14" x14ac:dyDescent="0.3">
      <c r="A1363" t="s">
        <v>1399</v>
      </c>
      <c r="B1363" s="2">
        <v>55</v>
      </c>
      <c r="C1363" t="s">
        <v>23</v>
      </c>
      <c r="D1363" t="s">
        <v>28</v>
      </c>
      <c r="E1363" t="s">
        <v>18</v>
      </c>
      <c r="F1363" s="3">
        <v>45526</v>
      </c>
      <c r="G1363" s="3">
        <v>45771</v>
      </c>
      <c r="H1363" s="2">
        <v>11</v>
      </c>
      <c r="I1363" s="1">
        <v>922.13</v>
      </c>
      <c r="J1363" s="1">
        <v>83.83</v>
      </c>
      <c r="K1363" t="s">
        <v>35</v>
      </c>
      <c r="L1363" t="s">
        <v>20</v>
      </c>
      <c r="M1363" s="2">
        <v>6</v>
      </c>
      <c r="N1363" t="s">
        <v>21</v>
      </c>
    </row>
    <row r="1364" spans="1:14" x14ac:dyDescent="0.3">
      <c r="A1364" t="s">
        <v>1400</v>
      </c>
      <c r="B1364" s="2">
        <v>37</v>
      </c>
      <c r="C1364" t="s">
        <v>23</v>
      </c>
      <c r="D1364" t="s">
        <v>17</v>
      </c>
      <c r="E1364" t="s">
        <v>29</v>
      </c>
      <c r="F1364" s="3">
        <v>45663</v>
      </c>
      <c r="G1364" s="3">
        <v>45820</v>
      </c>
      <c r="H1364" s="2">
        <v>20</v>
      </c>
      <c r="I1364" s="1">
        <v>919.4</v>
      </c>
      <c r="J1364" s="1">
        <v>45.97</v>
      </c>
      <c r="K1364" t="s">
        <v>45</v>
      </c>
      <c r="L1364" t="s">
        <v>20</v>
      </c>
      <c r="M1364" s="2">
        <v>4</v>
      </c>
      <c r="N1364" t="s">
        <v>21</v>
      </c>
    </row>
    <row r="1365" spans="1:14" x14ac:dyDescent="0.3">
      <c r="A1365" t="s">
        <v>1401</v>
      </c>
      <c r="B1365" s="2">
        <v>64</v>
      </c>
      <c r="C1365" t="s">
        <v>16</v>
      </c>
      <c r="D1365" t="s">
        <v>42</v>
      </c>
      <c r="E1365" t="s">
        <v>18</v>
      </c>
      <c r="F1365" s="3">
        <v>45979</v>
      </c>
      <c r="G1365" s="3">
        <v>46110</v>
      </c>
      <c r="H1365" s="2">
        <v>14</v>
      </c>
      <c r="I1365" s="1">
        <v>914.4799999999999</v>
      </c>
      <c r="J1365" s="1">
        <v>65.319999999999993</v>
      </c>
      <c r="K1365" t="s">
        <v>45</v>
      </c>
      <c r="L1365" t="s">
        <v>26</v>
      </c>
      <c r="M1365" s="2">
        <v>9</v>
      </c>
      <c r="N1365" t="s">
        <v>21</v>
      </c>
    </row>
    <row r="1366" spans="1:14" x14ac:dyDescent="0.3">
      <c r="A1366" t="s">
        <v>1402</v>
      </c>
      <c r="B1366" s="2">
        <v>22</v>
      </c>
      <c r="C1366" t="s">
        <v>23</v>
      </c>
      <c r="D1366" t="s">
        <v>44</v>
      </c>
      <c r="E1366" t="s">
        <v>18</v>
      </c>
      <c r="F1366" s="3">
        <v>45568</v>
      </c>
      <c r="G1366" s="3">
        <v>45631</v>
      </c>
      <c r="H1366" s="2">
        <v>18</v>
      </c>
      <c r="I1366" s="1">
        <v>914.4</v>
      </c>
      <c r="J1366" s="1">
        <v>50.8</v>
      </c>
      <c r="K1366" t="s">
        <v>45</v>
      </c>
      <c r="L1366" t="s">
        <v>26</v>
      </c>
      <c r="M1366" s="2">
        <v>5</v>
      </c>
      <c r="N1366" t="s">
        <v>21</v>
      </c>
    </row>
    <row r="1367" spans="1:14" x14ac:dyDescent="0.3">
      <c r="A1367" t="s">
        <v>1403</v>
      </c>
      <c r="B1367" s="2">
        <v>39</v>
      </c>
      <c r="C1367" t="s">
        <v>23</v>
      </c>
      <c r="D1367" t="s">
        <v>50</v>
      </c>
      <c r="E1367" t="s">
        <v>18</v>
      </c>
      <c r="F1367" s="3">
        <v>45499</v>
      </c>
      <c r="G1367" s="3">
        <v>45558</v>
      </c>
      <c r="H1367" s="2">
        <v>20</v>
      </c>
      <c r="I1367" s="1">
        <v>913.40000000000009</v>
      </c>
      <c r="J1367" s="1">
        <v>45.67</v>
      </c>
      <c r="K1367" t="s">
        <v>19</v>
      </c>
      <c r="L1367" t="s">
        <v>20</v>
      </c>
      <c r="M1367" s="2">
        <v>10</v>
      </c>
      <c r="N1367" t="s">
        <v>21</v>
      </c>
    </row>
    <row r="1368" spans="1:14" x14ac:dyDescent="0.3">
      <c r="A1368" t="s">
        <v>1404</v>
      </c>
      <c r="B1368" s="2">
        <v>52</v>
      </c>
      <c r="C1368" t="s">
        <v>23</v>
      </c>
      <c r="D1368" t="s">
        <v>42</v>
      </c>
      <c r="E1368" t="s">
        <v>38</v>
      </c>
      <c r="F1368" s="3">
        <v>45675</v>
      </c>
      <c r="G1368" s="3">
        <v>45832</v>
      </c>
      <c r="H1368" s="2">
        <v>7</v>
      </c>
      <c r="I1368" s="1">
        <v>909.93000000000006</v>
      </c>
      <c r="J1368" s="1">
        <v>129.99</v>
      </c>
      <c r="K1368" t="s">
        <v>39</v>
      </c>
      <c r="L1368" t="s">
        <v>30</v>
      </c>
      <c r="M1368" s="2">
        <v>4</v>
      </c>
      <c r="N1368" t="s">
        <v>21</v>
      </c>
    </row>
    <row r="1369" spans="1:14" x14ac:dyDescent="0.3">
      <c r="A1369" t="s">
        <v>1405</v>
      </c>
      <c r="B1369" s="2">
        <v>65</v>
      </c>
      <c r="C1369" t="s">
        <v>16</v>
      </c>
      <c r="D1369" t="s">
        <v>44</v>
      </c>
      <c r="E1369" t="s">
        <v>29</v>
      </c>
      <c r="F1369" s="3">
        <v>45631</v>
      </c>
      <c r="G1369" s="3">
        <v>45662</v>
      </c>
      <c r="H1369" s="2">
        <v>4</v>
      </c>
      <c r="I1369" s="1">
        <v>909.32</v>
      </c>
      <c r="J1369" s="1">
        <v>227.33</v>
      </c>
      <c r="K1369" t="s">
        <v>19</v>
      </c>
      <c r="L1369" t="s">
        <v>30</v>
      </c>
      <c r="M1369" s="2">
        <v>9</v>
      </c>
      <c r="N1369" t="s">
        <v>21</v>
      </c>
    </row>
    <row r="1370" spans="1:14" x14ac:dyDescent="0.3">
      <c r="A1370" t="s">
        <v>1406</v>
      </c>
      <c r="B1370" s="2">
        <v>57</v>
      </c>
      <c r="C1370" t="s">
        <v>16</v>
      </c>
      <c r="D1370" t="s">
        <v>28</v>
      </c>
      <c r="E1370" t="s">
        <v>34</v>
      </c>
      <c r="F1370" s="3">
        <v>45451</v>
      </c>
      <c r="G1370" s="3">
        <v>45494</v>
      </c>
      <c r="H1370" s="2">
        <v>4</v>
      </c>
      <c r="I1370" s="1">
        <v>908.32</v>
      </c>
      <c r="J1370" s="1">
        <v>227.08</v>
      </c>
      <c r="K1370" t="s">
        <v>39</v>
      </c>
      <c r="L1370" t="s">
        <v>26</v>
      </c>
      <c r="M1370" s="2">
        <v>2</v>
      </c>
      <c r="N1370" t="s">
        <v>21</v>
      </c>
    </row>
    <row r="1371" spans="1:14" x14ac:dyDescent="0.3">
      <c r="A1371" t="s">
        <v>1407</v>
      </c>
      <c r="B1371" s="2">
        <v>20</v>
      </c>
      <c r="C1371" t="s">
        <v>23</v>
      </c>
      <c r="D1371" t="s">
        <v>42</v>
      </c>
      <c r="E1371" t="s">
        <v>18</v>
      </c>
      <c r="F1371" s="3">
        <v>45953</v>
      </c>
      <c r="G1371" s="3">
        <v>46118</v>
      </c>
      <c r="H1371" s="2">
        <v>13</v>
      </c>
      <c r="I1371" s="1">
        <v>907.92000000000007</v>
      </c>
      <c r="J1371" s="1">
        <v>69.84</v>
      </c>
      <c r="K1371" t="s">
        <v>19</v>
      </c>
      <c r="L1371" t="s">
        <v>30</v>
      </c>
      <c r="M1371" s="2">
        <v>3</v>
      </c>
      <c r="N1371" t="s">
        <v>21</v>
      </c>
    </row>
    <row r="1372" spans="1:14" x14ac:dyDescent="0.3">
      <c r="A1372" t="s">
        <v>1408</v>
      </c>
      <c r="B1372" s="2">
        <v>41</v>
      </c>
      <c r="C1372" t="s">
        <v>16</v>
      </c>
      <c r="D1372" t="s">
        <v>17</v>
      </c>
      <c r="E1372" t="s">
        <v>29</v>
      </c>
      <c r="F1372" s="3">
        <v>45830</v>
      </c>
      <c r="G1372" s="3">
        <v>45888</v>
      </c>
      <c r="H1372" s="2">
        <v>24</v>
      </c>
      <c r="I1372" s="1">
        <v>907.19999999999993</v>
      </c>
      <c r="J1372" s="1">
        <v>37.799999999999997</v>
      </c>
      <c r="K1372" t="s">
        <v>19</v>
      </c>
      <c r="L1372" t="s">
        <v>30</v>
      </c>
      <c r="M1372" s="2">
        <v>9</v>
      </c>
      <c r="N1372" t="s">
        <v>21</v>
      </c>
    </row>
    <row r="1373" spans="1:14" x14ac:dyDescent="0.3">
      <c r="A1373" t="s">
        <v>1409</v>
      </c>
      <c r="B1373" s="2">
        <v>50</v>
      </c>
      <c r="C1373" t="s">
        <v>16</v>
      </c>
      <c r="D1373" t="s">
        <v>61</v>
      </c>
      <c r="E1373" t="s">
        <v>29</v>
      </c>
      <c r="F1373" s="3">
        <v>45609</v>
      </c>
      <c r="G1373" s="3">
        <v>45782</v>
      </c>
      <c r="H1373" s="2">
        <v>8</v>
      </c>
      <c r="I1373" s="1">
        <v>906.08</v>
      </c>
      <c r="J1373" s="1">
        <v>113.26</v>
      </c>
      <c r="K1373" t="s">
        <v>45</v>
      </c>
      <c r="L1373" t="s">
        <v>26</v>
      </c>
      <c r="M1373" s="2">
        <v>3</v>
      </c>
      <c r="N1373" t="s">
        <v>31</v>
      </c>
    </row>
    <row r="1374" spans="1:14" x14ac:dyDescent="0.3">
      <c r="A1374" t="s">
        <v>1410</v>
      </c>
      <c r="B1374" s="2">
        <v>44</v>
      </c>
      <c r="C1374" t="s">
        <v>23</v>
      </c>
      <c r="D1374" t="s">
        <v>50</v>
      </c>
      <c r="E1374" t="s">
        <v>34</v>
      </c>
      <c r="F1374" s="3">
        <v>45740</v>
      </c>
      <c r="G1374" s="3">
        <v>45889</v>
      </c>
      <c r="H1374" s="2">
        <v>23</v>
      </c>
      <c r="I1374" s="1">
        <v>905.28</v>
      </c>
      <c r="J1374" s="1">
        <v>39.36</v>
      </c>
      <c r="K1374" t="s">
        <v>25</v>
      </c>
      <c r="L1374" t="s">
        <v>26</v>
      </c>
      <c r="M1374" s="2">
        <v>3</v>
      </c>
      <c r="N1374" t="s">
        <v>21</v>
      </c>
    </row>
    <row r="1375" spans="1:14" x14ac:dyDescent="0.3">
      <c r="A1375" t="s">
        <v>1411</v>
      </c>
      <c r="B1375" s="2">
        <v>61</v>
      </c>
      <c r="C1375" t="s">
        <v>16</v>
      </c>
      <c r="D1375" t="s">
        <v>17</v>
      </c>
      <c r="E1375" t="s">
        <v>34</v>
      </c>
      <c r="F1375" s="3">
        <v>45959</v>
      </c>
      <c r="G1375" s="3">
        <v>46041</v>
      </c>
      <c r="H1375" s="2">
        <v>20</v>
      </c>
      <c r="I1375" s="1">
        <v>902</v>
      </c>
      <c r="J1375" s="1">
        <v>45.1</v>
      </c>
      <c r="K1375" t="s">
        <v>35</v>
      </c>
      <c r="L1375" t="s">
        <v>20</v>
      </c>
      <c r="M1375" s="2">
        <v>1</v>
      </c>
      <c r="N1375" t="s">
        <v>21</v>
      </c>
    </row>
    <row r="1376" spans="1:14" x14ac:dyDescent="0.3">
      <c r="A1376" t="s">
        <v>1412</v>
      </c>
      <c r="B1376" s="2">
        <v>58</v>
      </c>
      <c r="C1376" t="s">
        <v>16</v>
      </c>
      <c r="D1376" t="s">
        <v>44</v>
      </c>
      <c r="E1376" t="s">
        <v>34</v>
      </c>
      <c r="F1376" s="3">
        <v>45838</v>
      </c>
      <c r="G1376" s="3">
        <v>45963</v>
      </c>
      <c r="H1376" s="2">
        <v>6</v>
      </c>
      <c r="I1376" s="1">
        <v>896.58</v>
      </c>
      <c r="J1376" s="1">
        <v>149.43</v>
      </c>
      <c r="K1376" t="s">
        <v>39</v>
      </c>
      <c r="L1376" t="s">
        <v>30</v>
      </c>
      <c r="M1376" s="2">
        <v>1</v>
      </c>
      <c r="N1376" t="s">
        <v>21</v>
      </c>
    </row>
    <row r="1377" spans="1:14" x14ac:dyDescent="0.3">
      <c r="A1377" t="s">
        <v>1413</v>
      </c>
      <c r="B1377" s="2">
        <v>30</v>
      </c>
      <c r="C1377" t="s">
        <v>16</v>
      </c>
      <c r="D1377" t="s">
        <v>17</v>
      </c>
      <c r="E1377" t="s">
        <v>38</v>
      </c>
      <c r="F1377" s="3">
        <v>45693</v>
      </c>
      <c r="G1377" s="3">
        <v>45776</v>
      </c>
      <c r="H1377" s="2">
        <v>5</v>
      </c>
      <c r="I1377" s="1">
        <v>894.5</v>
      </c>
      <c r="J1377" s="1">
        <v>178.9</v>
      </c>
      <c r="K1377" t="s">
        <v>39</v>
      </c>
      <c r="L1377" t="s">
        <v>20</v>
      </c>
      <c r="M1377" s="2">
        <v>1</v>
      </c>
      <c r="N1377" t="s">
        <v>21</v>
      </c>
    </row>
    <row r="1378" spans="1:14" x14ac:dyDescent="0.3">
      <c r="A1378" t="s">
        <v>1414</v>
      </c>
      <c r="B1378" s="2">
        <v>40</v>
      </c>
      <c r="C1378" t="s">
        <v>23</v>
      </c>
      <c r="D1378" t="s">
        <v>17</v>
      </c>
      <c r="E1378" t="s">
        <v>18</v>
      </c>
      <c r="F1378" s="3">
        <v>45682</v>
      </c>
      <c r="G1378" s="3">
        <v>45722</v>
      </c>
      <c r="H1378" s="2">
        <v>25</v>
      </c>
      <c r="I1378" s="1">
        <v>891.49999999999989</v>
      </c>
      <c r="J1378" s="1">
        <v>35.659999999999997</v>
      </c>
      <c r="K1378" t="s">
        <v>25</v>
      </c>
      <c r="L1378" t="s">
        <v>20</v>
      </c>
      <c r="M1378" s="2">
        <v>10</v>
      </c>
      <c r="N1378" t="s">
        <v>21</v>
      </c>
    </row>
    <row r="1379" spans="1:14" x14ac:dyDescent="0.3">
      <c r="A1379" t="s">
        <v>1415</v>
      </c>
      <c r="B1379" s="2">
        <v>18</v>
      </c>
      <c r="C1379" t="s">
        <v>16</v>
      </c>
      <c r="D1379" t="s">
        <v>17</v>
      </c>
      <c r="E1379" t="s">
        <v>38</v>
      </c>
      <c r="F1379" s="3">
        <v>45757</v>
      </c>
      <c r="G1379" s="3">
        <v>45963</v>
      </c>
      <c r="H1379" s="2">
        <v>4</v>
      </c>
      <c r="I1379" s="1">
        <v>891.24</v>
      </c>
      <c r="J1379" s="1">
        <v>222.81</v>
      </c>
      <c r="K1379" t="s">
        <v>39</v>
      </c>
      <c r="L1379" t="s">
        <v>30</v>
      </c>
      <c r="M1379" s="2">
        <v>1</v>
      </c>
      <c r="N1379" t="s">
        <v>31</v>
      </c>
    </row>
    <row r="1380" spans="1:14" x14ac:dyDescent="0.3">
      <c r="A1380" t="s">
        <v>1416</v>
      </c>
      <c r="B1380" s="2">
        <v>53</v>
      </c>
      <c r="C1380" t="s">
        <v>16</v>
      </c>
      <c r="D1380" t="s">
        <v>61</v>
      </c>
      <c r="E1380" t="s">
        <v>38</v>
      </c>
      <c r="F1380" s="3">
        <v>45635</v>
      </c>
      <c r="G1380" s="3">
        <v>45693</v>
      </c>
      <c r="H1380" s="2">
        <v>6</v>
      </c>
      <c r="I1380" s="1">
        <v>890.81999999999994</v>
      </c>
      <c r="J1380" s="1">
        <v>148.47</v>
      </c>
      <c r="K1380" t="s">
        <v>35</v>
      </c>
      <c r="L1380" t="s">
        <v>26</v>
      </c>
      <c r="M1380" s="2">
        <v>7</v>
      </c>
      <c r="N1380" t="s">
        <v>21</v>
      </c>
    </row>
    <row r="1381" spans="1:14" x14ac:dyDescent="0.3">
      <c r="A1381" t="s">
        <v>1417</v>
      </c>
      <c r="B1381" s="2">
        <v>59</v>
      </c>
      <c r="C1381" t="s">
        <v>23</v>
      </c>
      <c r="D1381" t="s">
        <v>28</v>
      </c>
      <c r="E1381" t="s">
        <v>29</v>
      </c>
      <c r="F1381" s="3">
        <v>45842</v>
      </c>
      <c r="G1381" s="3">
        <v>46140</v>
      </c>
      <c r="H1381" s="2">
        <v>4</v>
      </c>
      <c r="I1381" s="1">
        <v>889.32</v>
      </c>
      <c r="J1381" s="1">
        <v>222.33</v>
      </c>
      <c r="K1381" t="s">
        <v>35</v>
      </c>
      <c r="L1381" t="s">
        <v>30</v>
      </c>
      <c r="M1381" s="2">
        <v>6</v>
      </c>
      <c r="N1381" t="s">
        <v>21</v>
      </c>
    </row>
    <row r="1382" spans="1:14" x14ac:dyDescent="0.3">
      <c r="A1382" t="s">
        <v>1418</v>
      </c>
      <c r="B1382" s="2">
        <v>25</v>
      </c>
      <c r="C1382" t="s">
        <v>23</v>
      </c>
      <c r="D1382" t="s">
        <v>61</v>
      </c>
      <c r="E1382" t="s">
        <v>18</v>
      </c>
      <c r="F1382" s="3">
        <v>45328</v>
      </c>
      <c r="G1382" s="3">
        <v>45509</v>
      </c>
      <c r="H1382" s="2">
        <v>6</v>
      </c>
      <c r="I1382" s="1">
        <v>887.16000000000008</v>
      </c>
      <c r="J1382" s="1">
        <v>147.86000000000001</v>
      </c>
      <c r="K1382" t="s">
        <v>19</v>
      </c>
      <c r="L1382" t="s">
        <v>20</v>
      </c>
      <c r="M1382" s="2">
        <v>3</v>
      </c>
      <c r="N1382" t="s">
        <v>21</v>
      </c>
    </row>
    <row r="1383" spans="1:14" x14ac:dyDescent="0.3">
      <c r="A1383" t="s">
        <v>1419</v>
      </c>
      <c r="B1383" s="2">
        <v>59</v>
      </c>
      <c r="C1383" t="s">
        <v>16</v>
      </c>
      <c r="D1383" t="s">
        <v>61</v>
      </c>
      <c r="E1383" t="s">
        <v>38</v>
      </c>
      <c r="F1383" s="3">
        <v>45887</v>
      </c>
      <c r="G1383" s="3">
        <v>46107</v>
      </c>
      <c r="H1383" s="2">
        <v>4</v>
      </c>
      <c r="I1383" s="1">
        <v>886.36</v>
      </c>
      <c r="J1383" s="1">
        <v>221.59</v>
      </c>
      <c r="K1383" t="s">
        <v>39</v>
      </c>
      <c r="L1383" t="s">
        <v>26</v>
      </c>
      <c r="M1383" s="2">
        <v>7</v>
      </c>
      <c r="N1383" t="s">
        <v>21</v>
      </c>
    </row>
    <row r="1384" spans="1:14" x14ac:dyDescent="0.3">
      <c r="A1384" t="s">
        <v>1420</v>
      </c>
      <c r="B1384" s="2">
        <v>18</v>
      </c>
      <c r="C1384" t="s">
        <v>16</v>
      </c>
      <c r="D1384" t="s">
        <v>24</v>
      </c>
      <c r="E1384" t="s">
        <v>34</v>
      </c>
      <c r="F1384" s="3">
        <v>45853</v>
      </c>
      <c r="G1384" s="3">
        <v>45888</v>
      </c>
      <c r="H1384" s="2">
        <v>3</v>
      </c>
      <c r="I1384" s="1">
        <v>885.56999999999994</v>
      </c>
      <c r="J1384" s="1">
        <v>295.19</v>
      </c>
      <c r="K1384" t="s">
        <v>25</v>
      </c>
      <c r="L1384" t="s">
        <v>30</v>
      </c>
      <c r="M1384" s="2">
        <v>8</v>
      </c>
      <c r="N1384" t="s">
        <v>21</v>
      </c>
    </row>
    <row r="1385" spans="1:14" x14ac:dyDescent="0.3">
      <c r="A1385" t="s">
        <v>1421</v>
      </c>
      <c r="B1385" s="2">
        <v>41</v>
      </c>
      <c r="C1385" t="s">
        <v>16</v>
      </c>
      <c r="D1385" t="s">
        <v>61</v>
      </c>
      <c r="E1385" t="s">
        <v>29</v>
      </c>
      <c r="F1385" s="3">
        <v>45500</v>
      </c>
      <c r="G1385" s="3">
        <v>45669</v>
      </c>
      <c r="H1385" s="2">
        <v>21</v>
      </c>
      <c r="I1385" s="1">
        <v>884.94</v>
      </c>
      <c r="J1385" s="1">
        <v>42.14</v>
      </c>
      <c r="K1385" t="s">
        <v>39</v>
      </c>
      <c r="L1385" t="s">
        <v>26</v>
      </c>
      <c r="M1385" s="2">
        <v>7</v>
      </c>
      <c r="N1385" t="s">
        <v>21</v>
      </c>
    </row>
    <row r="1386" spans="1:14" x14ac:dyDescent="0.3">
      <c r="A1386" t="s">
        <v>1422</v>
      </c>
      <c r="B1386" s="2">
        <v>41</v>
      </c>
      <c r="C1386" t="s">
        <v>16</v>
      </c>
      <c r="D1386" t="s">
        <v>17</v>
      </c>
      <c r="E1386" t="s">
        <v>18</v>
      </c>
      <c r="F1386" s="3">
        <v>45554</v>
      </c>
      <c r="G1386" s="3">
        <v>45571</v>
      </c>
      <c r="H1386" s="2">
        <v>3</v>
      </c>
      <c r="I1386" s="1">
        <v>883.14</v>
      </c>
      <c r="J1386" s="1">
        <v>294.38</v>
      </c>
      <c r="K1386" t="s">
        <v>25</v>
      </c>
      <c r="L1386" t="s">
        <v>26</v>
      </c>
      <c r="M1386" s="2">
        <v>1</v>
      </c>
      <c r="N1386" t="s">
        <v>21</v>
      </c>
    </row>
    <row r="1387" spans="1:14" x14ac:dyDescent="0.3">
      <c r="A1387" t="s">
        <v>1423</v>
      </c>
      <c r="B1387" s="2">
        <v>58</v>
      </c>
      <c r="C1387" t="s">
        <v>23</v>
      </c>
      <c r="D1387" t="s">
        <v>24</v>
      </c>
      <c r="E1387" t="s">
        <v>18</v>
      </c>
      <c r="F1387" s="3">
        <v>45809</v>
      </c>
      <c r="G1387" s="3">
        <v>45865</v>
      </c>
      <c r="H1387" s="2">
        <v>24</v>
      </c>
      <c r="I1387" s="1">
        <v>882.96</v>
      </c>
      <c r="J1387" s="1">
        <v>36.79</v>
      </c>
      <c r="K1387" t="s">
        <v>39</v>
      </c>
      <c r="L1387" t="s">
        <v>26</v>
      </c>
      <c r="M1387" s="2">
        <v>5</v>
      </c>
      <c r="N1387" t="s">
        <v>21</v>
      </c>
    </row>
    <row r="1388" spans="1:14" x14ac:dyDescent="0.3">
      <c r="A1388" t="s">
        <v>1424</v>
      </c>
      <c r="B1388" s="2">
        <v>42</v>
      </c>
      <c r="C1388" t="s">
        <v>23</v>
      </c>
      <c r="D1388" t="s">
        <v>28</v>
      </c>
      <c r="E1388" t="s">
        <v>18</v>
      </c>
      <c r="F1388" s="3">
        <v>45884</v>
      </c>
      <c r="G1388" s="3">
        <v>45947</v>
      </c>
      <c r="H1388" s="2">
        <v>3</v>
      </c>
      <c r="I1388" s="1">
        <v>878.61</v>
      </c>
      <c r="J1388" s="1">
        <v>292.87</v>
      </c>
      <c r="K1388" t="s">
        <v>25</v>
      </c>
      <c r="L1388" t="s">
        <v>30</v>
      </c>
      <c r="M1388" s="2">
        <v>8</v>
      </c>
      <c r="N1388" t="s">
        <v>21</v>
      </c>
    </row>
    <row r="1389" spans="1:14" x14ac:dyDescent="0.3">
      <c r="A1389" t="s">
        <v>1425</v>
      </c>
      <c r="B1389" s="2">
        <v>37</v>
      </c>
      <c r="C1389" t="s">
        <v>16</v>
      </c>
      <c r="D1389" t="s">
        <v>44</v>
      </c>
      <c r="E1389" t="s">
        <v>29</v>
      </c>
      <c r="F1389" s="3">
        <v>45975</v>
      </c>
      <c r="G1389" s="3">
        <v>46152</v>
      </c>
      <c r="H1389" s="2">
        <v>23</v>
      </c>
      <c r="I1389" s="1">
        <v>878.14</v>
      </c>
      <c r="J1389" s="1">
        <v>38.18</v>
      </c>
      <c r="K1389" t="s">
        <v>45</v>
      </c>
      <c r="L1389" t="s">
        <v>20</v>
      </c>
      <c r="M1389" s="2">
        <v>4</v>
      </c>
      <c r="N1389" t="s">
        <v>21</v>
      </c>
    </row>
    <row r="1390" spans="1:14" x14ac:dyDescent="0.3">
      <c r="A1390" t="s">
        <v>1426</v>
      </c>
      <c r="B1390" s="2">
        <v>44</v>
      </c>
      <c r="C1390" t="s">
        <v>16</v>
      </c>
      <c r="D1390" t="s">
        <v>50</v>
      </c>
      <c r="E1390" t="s">
        <v>38</v>
      </c>
      <c r="F1390" s="3">
        <v>45920</v>
      </c>
      <c r="G1390" s="3">
        <v>46058</v>
      </c>
      <c r="H1390" s="2">
        <v>16</v>
      </c>
      <c r="I1390" s="1">
        <v>878.08</v>
      </c>
      <c r="J1390" s="1">
        <v>54.88</v>
      </c>
      <c r="K1390" t="s">
        <v>19</v>
      </c>
      <c r="L1390" t="s">
        <v>30</v>
      </c>
      <c r="M1390" s="2">
        <v>3</v>
      </c>
      <c r="N1390" t="s">
        <v>21</v>
      </c>
    </row>
    <row r="1391" spans="1:14" x14ac:dyDescent="0.3">
      <c r="A1391" t="s">
        <v>1427</v>
      </c>
      <c r="B1391" s="2">
        <v>54</v>
      </c>
      <c r="C1391" t="s">
        <v>16</v>
      </c>
      <c r="D1391" t="s">
        <v>42</v>
      </c>
      <c r="E1391" t="s">
        <v>18</v>
      </c>
      <c r="F1391" s="3">
        <v>45905</v>
      </c>
      <c r="G1391" s="3">
        <v>46160</v>
      </c>
      <c r="H1391" s="2">
        <v>4</v>
      </c>
      <c r="I1391" s="1">
        <v>878.04</v>
      </c>
      <c r="J1391" s="1">
        <v>219.51</v>
      </c>
      <c r="K1391" t="s">
        <v>19</v>
      </c>
      <c r="L1391" t="s">
        <v>26</v>
      </c>
      <c r="M1391" s="2">
        <v>7</v>
      </c>
      <c r="N1391" t="s">
        <v>21</v>
      </c>
    </row>
    <row r="1392" spans="1:14" x14ac:dyDescent="0.3">
      <c r="A1392" t="s">
        <v>1428</v>
      </c>
      <c r="B1392" s="2">
        <v>47</v>
      </c>
      <c r="C1392" t="s">
        <v>16</v>
      </c>
      <c r="D1392" t="s">
        <v>24</v>
      </c>
      <c r="E1392" t="s">
        <v>38</v>
      </c>
      <c r="F1392" s="3">
        <v>45978</v>
      </c>
      <c r="G1392" s="3">
        <v>46251</v>
      </c>
      <c r="H1392" s="2">
        <v>3</v>
      </c>
      <c r="I1392" s="1">
        <v>877.89</v>
      </c>
      <c r="J1392" s="1">
        <v>292.63</v>
      </c>
      <c r="K1392" t="s">
        <v>39</v>
      </c>
      <c r="L1392" t="s">
        <v>26</v>
      </c>
      <c r="M1392" s="2">
        <v>5</v>
      </c>
      <c r="N1392" t="s">
        <v>21</v>
      </c>
    </row>
    <row r="1393" spans="1:14" x14ac:dyDescent="0.3">
      <c r="A1393" t="s">
        <v>1429</v>
      </c>
      <c r="B1393" s="2">
        <v>62</v>
      </c>
      <c r="C1393" t="s">
        <v>16</v>
      </c>
      <c r="D1393" t="s">
        <v>42</v>
      </c>
      <c r="E1393" t="s">
        <v>29</v>
      </c>
      <c r="F1393" s="3">
        <v>45671</v>
      </c>
      <c r="G1393" s="3">
        <v>45857</v>
      </c>
      <c r="H1393" s="2">
        <v>8</v>
      </c>
      <c r="I1393" s="1">
        <v>877.12</v>
      </c>
      <c r="J1393" s="1">
        <v>109.64</v>
      </c>
      <c r="K1393" t="s">
        <v>19</v>
      </c>
      <c r="L1393" t="s">
        <v>20</v>
      </c>
      <c r="M1393" s="2">
        <v>3</v>
      </c>
      <c r="N1393" t="s">
        <v>21</v>
      </c>
    </row>
    <row r="1394" spans="1:14" x14ac:dyDescent="0.3">
      <c r="A1394" t="s">
        <v>1430</v>
      </c>
      <c r="B1394" s="2">
        <v>65</v>
      </c>
      <c r="C1394" t="s">
        <v>23</v>
      </c>
      <c r="D1394" t="s">
        <v>42</v>
      </c>
      <c r="E1394" t="s">
        <v>38</v>
      </c>
      <c r="F1394" s="3">
        <v>45868</v>
      </c>
      <c r="G1394" s="3">
        <v>46147</v>
      </c>
      <c r="H1394" s="2">
        <v>7</v>
      </c>
      <c r="I1394" s="1">
        <v>875.14</v>
      </c>
      <c r="J1394" s="1">
        <v>125.02</v>
      </c>
      <c r="K1394" t="s">
        <v>35</v>
      </c>
      <c r="L1394" t="s">
        <v>26</v>
      </c>
      <c r="M1394" s="2">
        <v>1</v>
      </c>
      <c r="N1394" t="s">
        <v>21</v>
      </c>
    </row>
    <row r="1395" spans="1:14" x14ac:dyDescent="0.3">
      <c r="A1395" t="s">
        <v>1431</v>
      </c>
      <c r="B1395" s="2">
        <v>60</v>
      </c>
      <c r="C1395" t="s">
        <v>23</v>
      </c>
      <c r="D1395" t="s">
        <v>17</v>
      </c>
      <c r="E1395" t="s">
        <v>38</v>
      </c>
      <c r="F1395" s="3">
        <v>45302</v>
      </c>
      <c r="G1395" s="3">
        <v>45430</v>
      </c>
      <c r="H1395" s="2">
        <v>4</v>
      </c>
      <c r="I1395" s="1">
        <v>874.2</v>
      </c>
      <c r="J1395" s="1">
        <v>218.55</v>
      </c>
      <c r="K1395" t="s">
        <v>39</v>
      </c>
      <c r="L1395" t="s">
        <v>30</v>
      </c>
      <c r="M1395" s="2">
        <v>9</v>
      </c>
      <c r="N1395" t="s">
        <v>31</v>
      </c>
    </row>
    <row r="1396" spans="1:14" x14ac:dyDescent="0.3">
      <c r="A1396" t="s">
        <v>1432</v>
      </c>
      <c r="B1396" s="2">
        <v>42</v>
      </c>
      <c r="C1396" t="s">
        <v>23</v>
      </c>
      <c r="D1396" t="s">
        <v>42</v>
      </c>
      <c r="E1396" t="s">
        <v>38</v>
      </c>
      <c r="F1396" s="3">
        <v>45901</v>
      </c>
      <c r="G1396" s="3">
        <v>46176</v>
      </c>
      <c r="H1396" s="2">
        <v>5</v>
      </c>
      <c r="I1396" s="1">
        <v>874</v>
      </c>
      <c r="J1396" s="1">
        <v>174.8</v>
      </c>
      <c r="K1396" t="s">
        <v>45</v>
      </c>
      <c r="L1396" t="s">
        <v>26</v>
      </c>
      <c r="M1396" s="2">
        <v>9</v>
      </c>
      <c r="N1396" t="s">
        <v>31</v>
      </c>
    </row>
    <row r="1397" spans="1:14" x14ac:dyDescent="0.3">
      <c r="A1397" t="s">
        <v>1433</v>
      </c>
      <c r="B1397" s="2">
        <v>36</v>
      </c>
      <c r="C1397" t="s">
        <v>16</v>
      </c>
      <c r="D1397" t="s">
        <v>44</v>
      </c>
      <c r="E1397" t="s">
        <v>29</v>
      </c>
      <c r="F1397" s="3">
        <v>45377</v>
      </c>
      <c r="G1397" s="3">
        <v>45528</v>
      </c>
      <c r="H1397" s="2">
        <v>7</v>
      </c>
      <c r="I1397" s="1">
        <v>870.44999999999993</v>
      </c>
      <c r="J1397" s="1">
        <v>124.35</v>
      </c>
      <c r="K1397" t="s">
        <v>19</v>
      </c>
      <c r="L1397" t="s">
        <v>26</v>
      </c>
      <c r="M1397" s="2">
        <v>6</v>
      </c>
      <c r="N1397" t="s">
        <v>21</v>
      </c>
    </row>
    <row r="1398" spans="1:14" x14ac:dyDescent="0.3">
      <c r="A1398" t="s">
        <v>1434</v>
      </c>
      <c r="B1398" s="2">
        <v>57</v>
      </c>
      <c r="C1398" t="s">
        <v>23</v>
      </c>
      <c r="D1398" t="s">
        <v>17</v>
      </c>
      <c r="E1398" t="s">
        <v>38</v>
      </c>
      <c r="F1398" s="3">
        <v>45536</v>
      </c>
      <c r="G1398" s="3">
        <v>45569</v>
      </c>
      <c r="H1398" s="2">
        <v>18</v>
      </c>
      <c r="I1398" s="1">
        <v>869.22</v>
      </c>
      <c r="J1398" s="1">
        <v>48.29</v>
      </c>
      <c r="K1398" t="s">
        <v>39</v>
      </c>
      <c r="L1398" t="s">
        <v>30</v>
      </c>
      <c r="M1398" s="2">
        <v>5</v>
      </c>
      <c r="N1398" t="s">
        <v>21</v>
      </c>
    </row>
    <row r="1399" spans="1:14" x14ac:dyDescent="0.3">
      <c r="A1399" t="s">
        <v>1435</v>
      </c>
      <c r="B1399" s="2">
        <v>31</v>
      </c>
      <c r="C1399" t="s">
        <v>23</v>
      </c>
      <c r="D1399" t="s">
        <v>50</v>
      </c>
      <c r="E1399" t="s">
        <v>34</v>
      </c>
      <c r="F1399" s="3">
        <v>45946</v>
      </c>
      <c r="G1399" s="3">
        <v>45975</v>
      </c>
      <c r="H1399" s="2">
        <v>10</v>
      </c>
      <c r="I1399" s="1">
        <v>868.7</v>
      </c>
      <c r="J1399" s="1">
        <v>86.87</v>
      </c>
      <c r="K1399" t="s">
        <v>19</v>
      </c>
      <c r="L1399" t="s">
        <v>26</v>
      </c>
      <c r="M1399" s="2">
        <v>2</v>
      </c>
      <c r="N1399" t="s">
        <v>21</v>
      </c>
    </row>
    <row r="1400" spans="1:14" x14ac:dyDescent="0.3">
      <c r="A1400" t="s">
        <v>1436</v>
      </c>
      <c r="B1400" s="2">
        <v>39</v>
      </c>
      <c r="C1400" t="s">
        <v>16</v>
      </c>
      <c r="D1400" t="s">
        <v>44</v>
      </c>
      <c r="E1400" t="s">
        <v>29</v>
      </c>
      <c r="F1400" s="3">
        <v>45970</v>
      </c>
      <c r="G1400" s="3">
        <v>46134</v>
      </c>
      <c r="H1400" s="2">
        <v>11</v>
      </c>
      <c r="I1400" s="1">
        <v>868.67</v>
      </c>
      <c r="J1400" s="1">
        <v>78.97</v>
      </c>
      <c r="K1400" t="s">
        <v>39</v>
      </c>
      <c r="L1400" t="s">
        <v>20</v>
      </c>
      <c r="M1400" s="2">
        <v>8</v>
      </c>
      <c r="N1400" t="s">
        <v>21</v>
      </c>
    </row>
    <row r="1401" spans="1:14" x14ac:dyDescent="0.3">
      <c r="A1401" t="s">
        <v>1437</v>
      </c>
      <c r="B1401" s="2">
        <v>55</v>
      </c>
      <c r="C1401" t="s">
        <v>16</v>
      </c>
      <c r="D1401" t="s">
        <v>24</v>
      </c>
      <c r="E1401" t="s">
        <v>18</v>
      </c>
      <c r="F1401" s="3">
        <v>45721</v>
      </c>
      <c r="G1401" s="3">
        <v>45778</v>
      </c>
      <c r="H1401" s="2">
        <v>14</v>
      </c>
      <c r="I1401" s="1">
        <v>866.6</v>
      </c>
      <c r="J1401" s="1">
        <v>61.9</v>
      </c>
      <c r="K1401" t="s">
        <v>45</v>
      </c>
      <c r="L1401" t="s">
        <v>20</v>
      </c>
      <c r="M1401" s="2">
        <v>6</v>
      </c>
      <c r="N1401" t="s">
        <v>21</v>
      </c>
    </row>
    <row r="1402" spans="1:14" x14ac:dyDescent="0.3">
      <c r="A1402" t="s">
        <v>1438</v>
      </c>
      <c r="B1402" s="2">
        <v>25</v>
      </c>
      <c r="C1402" t="s">
        <v>16</v>
      </c>
      <c r="D1402" t="s">
        <v>17</v>
      </c>
      <c r="E1402" t="s">
        <v>18</v>
      </c>
      <c r="F1402" s="3">
        <v>45862</v>
      </c>
      <c r="G1402" s="3">
        <v>45944</v>
      </c>
      <c r="H1402" s="2">
        <v>5</v>
      </c>
      <c r="I1402" s="1">
        <v>865.95</v>
      </c>
      <c r="J1402" s="1">
        <v>173.19</v>
      </c>
      <c r="K1402" t="s">
        <v>19</v>
      </c>
      <c r="L1402" t="s">
        <v>20</v>
      </c>
      <c r="M1402" s="2">
        <v>3</v>
      </c>
      <c r="N1402" t="s">
        <v>21</v>
      </c>
    </row>
    <row r="1403" spans="1:14" x14ac:dyDescent="0.3">
      <c r="A1403" t="s">
        <v>1439</v>
      </c>
      <c r="B1403" s="2">
        <v>54</v>
      </c>
      <c r="C1403" t="s">
        <v>23</v>
      </c>
      <c r="D1403" t="s">
        <v>61</v>
      </c>
      <c r="E1403" t="s">
        <v>18</v>
      </c>
      <c r="F1403" s="3">
        <v>45682</v>
      </c>
      <c r="G1403" s="3">
        <v>45722</v>
      </c>
      <c r="H1403" s="2">
        <v>3</v>
      </c>
      <c r="I1403" s="1">
        <v>865.26</v>
      </c>
      <c r="J1403" s="1">
        <v>288.42</v>
      </c>
      <c r="K1403" t="s">
        <v>19</v>
      </c>
      <c r="L1403" t="s">
        <v>30</v>
      </c>
      <c r="M1403" s="2">
        <v>10</v>
      </c>
      <c r="N1403" t="s">
        <v>21</v>
      </c>
    </row>
    <row r="1404" spans="1:14" x14ac:dyDescent="0.3">
      <c r="A1404" t="s">
        <v>1440</v>
      </c>
      <c r="B1404" s="2">
        <v>46</v>
      </c>
      <c r="C1404" t="s">
        <v>23</v>
      </c>
      <c r="D1404" t="s">
        <v>28</v>
      </c>
      <c r="E1404" t="s">
        <v>29</v>
      </c>
      <c r="F1404" s="3">
        <v>45551</v>
      </c>
      <c r="G1404" s="3">
        <v>45850</v>
      </c>
      <c r="H1404" s="2">
        <v>4</v>
      </c>
      <c r="I1404" s="1">
        <v>862</v>
      </c>
      <c r="J1404" s="1">
        <v>215.5</v>
      </c>
      <c r="K1404" t="s">
        <v>39</v>
      </c>
      <c r="L1404" t="s">
        <v>26</v>
      </c>
      <c r="M1404" s="2">
        <v>10</v>
      </c>
      <c r="N1404" t="s">
        <v>21</v>
      </c>
    </row>
    <row r="1405" spans="1:14" x14ac:dyDescent="0.3">
      <c r="A1405" t="s">
        <v>1441</v>
      </c>
      <c r="B1405" s="2">
        <v>56</v>
      </c>
      <c r="C1405" t="s">
        <v>23</v>
      </c>
      <c r="D1405" t="s">
        <v>24</v>
      </c>
      <c r="E1405" t="s">
        <v>38</v>
      </c>
      <c r="F1405" s="3">
        <v>45707</v>
      </c>
      <c r="G1405" s="3">
        <v>45848</v>
      </c>
      <c r="H1405" s="2">
        <v>3</v>
      </c>
      <c r="I1405" s="1">
        <v>861.03</v>
      </c>
      <c r="J1405" s="1">
        <v>287.01</v>
      </c>
      <c r="K1405" t="s">
        <v>35</v>
      </c>
      <c r="L1405" t="s">
        <v>30</v>
      </c>
      <c r="M1405" s="2">
        <v>5</v>
      </c>
      <c r="N1405" t="s">
        <v>21</v>
      </c>
    </row>
    <row r="1406" spans="1:14" x14ac:dyDescent="0.3">
      <c r="A1406" t="s">
        <v>1442</v>
      </c>
      <c r="B1406" s="2">
        <v>61</v>
      </c>
      <c r="C1406" t="s">
        <v>16</v>
      </c>
      <c r="D1406" t="s">
        <v>28</v>
      </c>
      <c r="E1406" t="s">
        <v>18</v>
      </c>
      <c r="F1406" s="3">
        <v>45369</v>
      </c>
      <c r="G1406" s="3">
        <v>45493</v>
      </c>
      <c r="H1406" s="2">
        <v>4</v>
      </c>
      <c r="I1406" s="1">
        <v>860.88</v>
      </c>
      <c r="J1406" s="1">
        <v>215.22</v>
      </c>
      <c r="K1406" t="s">
        <v>45</v>
      </c>
      <c r="L1406" t="s">
        <v>20</v>
      </c>
      <c r="M1406" s="2">
        <v>7</v>
      </c>
      <c r="N1406" t="s">
        <v>21</v>
      </c>
    </row>
    <row r="1407" spans="1:14" x14ac:dyDescent="0.3">
      <c r="A1407" t="s">
        <v>1443</v>
      </c>
      <c r="B1407" s="2">
        <v>25</v>
      </c>
      <c r="C1407" t="s">
        <v>23</v>
      </c>
      <c r="D1407" t="s">
        <v>24</v>
      </c>
      <c r="E1407" t="s">
        <v>34</v>
      </c>
      <c r="F1407" s="3">
        <v>45767</v>
      </c>
      <c r="G1407" s="3">
        <v>45980</v>
      </c>
      <c r="H1407" s="2">
        <v>14</v>
      </c>
      <c r="I1407" s="1">
        <v>860.86</v>
      </c>
      <c r="J1407" s="1">
        <v>61.49</v>
      </c>
      <c r="K1407" t="s">
        <v>39</v>
      </c>
      <c r="L1407" t="s">
        <v>20</v>
      </c>
      <c r="M1407" s="2">
        <v>10</v>
      </c>
      <c r="N1407" t="s">
        <v>21</v>
      </c>
    </row>
    <row r="1408" spans="1:14" x14ac:dyDescent="0.3">
      <c r="A1408" t="s">
        <v>1444</v>
      </c>
      <c r="B1408" s="2">
        <v>56</v>
      </c>
      <c r="C1408" t="s">
        <v>23</v>
      </c>
      <c r="D1408" t="s">
        <v>50</v>
      </c>
      <c r="E1408" t="s">
        <v>29</v>
      </c>
      <c r="F1408" s="3">
        <v>45653</v>
      </c>
      <c r="G1408" s="3">
        <v>45707</v>
      </c>
      <c r="H1408" s="2">
        <v>3</v>
      </c>
      <c r="I1408" s="1">
        <v>860.49</v>
      </c>
      <c r="J1408" s="1">
        <v>286.83</v>
      </c>
      <c r="K1408" t="s">
        <v>19</v>
      </c>
      <c r="L1408" t="s">
        <v>26</v>
      </c>
      <c r="M1408" s="2">
        <v>4</v>
      </c>
      <c r="N1408" t="s">
        <v>21</v>
      </c>
    </row>
    <row r="1409" spans="1:14" x14ac:dyDescent="0.3">
      <c r="A1409" t="s">
        <v>1445</v>
      </c>
      <c r="B1409" s="2">
        <v>36</v>
      </c>
      <c r="C1409" t="s">
        <v>16</v>
      </c>
      <c r="D1409" t="s">
        <v>28</v>
      </c>
      <c r="E1409" t="s">
        <v>18</v>
      </c>
      <c r="F1409" s="3">
        <v>45945</v>
      </c>
      <c r="G1409" s="3">
        <v>46107</v>
      </c>
      <c r="H1409" s="2">
        <v>8</v>
      </c>
      <c r="I1409" s="1">
        <v>859.04</v>
      </c>
      <c r="J1409" s="1">
        <v>107.38</v>
      </c>
      <c r="K1409" t="s">
        <v>39</v>
      </c>
      <c r="L1409" t="s">
        <v>26</v>
      </c>
      <c r="M1409" s="2">
        <v>3</v>
      </c>
      <c r="N1409" t="s">
        <v>21</v>
      </c>
    </row>
    <row r="1410" spans="1:14" x14ac:dyDescent="0.3">
      <c r="A1410" t="s">
        <v>1446</v>
      </c>
      <c r="B1410" s="2">
        <v>31</v>
      </c>
      <c r="C1410" t="s">
        <v>23</v>
      </c>
      <c r="D1410" t="s">
        <v>61</v>
      </c>
      <c r="E1410" t="s">
        <v>29</v>
      </c>
      <c r="F1410" s="3">
        <v>45366</v>
      </c>
      <c r="G1410" s="3">
        <v>45396</v>
      </c>
      <c r="H1410" s="2">
        <v>6</v>
      </c>
      <c r="I1410" s="1">
        <v>858.54</v>
      </c>
      <c r="J1410" s="1">
        <v>143.09</v>
      </c>
      <c r="K1410" t="s">
        <v>45</v>
      </c>
      <c r="L1410" t="s">
        <v>20</v>
      </c>
      <c r="M1410" s="2">
        <v>6</v>
      </c>
      <c r="N1410" t="s">
        <v>21</v>
      </c>
    </row>
    <row r="1411" spans="1:14" x14ac:dyDescent="0.3">
      <c r="A1411" t="s">
        <v>1447</v>
      </c>
      <c r="B1411" s="2">
        <v>61</v>
      </c>
      <c r="C1411" t="s">
        <v>23</v>
      </c>
      <c r="D1411" t="s">
        <v>50</v>
      </c>
      <c r="E1411" t="s">
        <v>34</v>
      </c>
      <c r="F1411" s="3">
        <v>45397</v>
      </c>
      <c r="G1411" s="3">
        <v>45571</v>
      </c>
      <c r="H1411" s="2">
        <v>13</v>
      </c>
      <c r="I1411" s="1">
        <v>858.5200000000001</v>
      </c>
      <c r="J1411" s="1">
        <v>66.040000000000006</v>
      </c>
      <c r="K1411" t="s">
        <v>35</v>
      </c>
      <c r="L1411" t="s">
        <v>30</v>
      </c>
      <c r="M1411" s="2">
        <v>6</v>
      </c>
      <c r="N1411" t="s">
        <v>31</v>
      </c>
    </row>
    <row r="1412" spans="1:14" x14ac:dyDescent="0.3">
      <c r="A1412" t="s">
        <v>1448</v>
      </c>
      <c r="B1412" s="2">
        <v>44</v>
      </c>
      <c r="C1412" t="s">
        <v>23</v>
      </c>
      <c r="D1412" t="s">
        <v>42</v>
      </c>
      <c r="E1412" t="s">
        <v>38</v>
      </c>
      <c r="F1412" s="3">
        <v>45919</v>
      </c>
      <c r="G1412" s="3">
        <v>46094</v>
      </c>
      <c r="H1412" s="2">
        <v>12</v>
      </c>
      <c r="I1412" s="1">
        <v>858</v>
      </c>
      <c r="J1412" s="1">
        <v>71.5</v>
      </c>
      <c r="K1412" t="s">
        <v>45</v>
      </c>
      <c r="L1412" t="s">
        <v>26</v>
      </c>
      <c r="M1412" s="2">
        <v>3</v>
      </c>
      <c r="N1412" t="s">
        <v>21</v>
      </c>
    </row>
    <row r="1413" spans="1:14" x14ac:dyDescent="0.3">
      <c r="A1413" t="s">
        <v>1449</v>
      </c>
      <c r="B1413" s="2">
        <v>19</v>
      </c>
      <c r="C1413" t="s">
        <v>23</v>
      </c>
      <c r="D1413" t="s">
        <v>42</v>
      </c>
      <c r="E1413" t="s">
        <v>34</v>
      </c>
      <c r="F1413" s="3">
        <v>45717</v>
      </c>
      <c r="G1413" s="3">
        <v>45969</v>
      </c>
      <c r="H1413" s="2">
        <v>10</v>
      </c>
      <c r="I1413" s="1">
        <v>857.2</v>
      </c>
      <c r="J1413" s="1">
        <v>85.72</v>
      </c>
      <c r="K1413" t="s">
        <v>25</v>
      </c>
      <c r="L1413" t="s">
        <v>30</v>
      </c>
      <c r="M1413" s="2">
        <v>9</v>
      </c>
      <c r="N1413" t="s">
        <v>21</v>
      </c>
    </row>
    <row r="1414" spans="1:14" x14ac:dyDescent="0.3">
      <c r="A1414" t="s">
        <v>1450</v>
      </c>
      <c r="B1414" s="2">
        <v>52</v>
      </c>
      <c r="C1414" t="s">
        <v>16</v>
      </c>
      <c r="D1414" t="s">
        <v>44</v>
      </c>
      <c r="E1414" t="s">
        <v>18</v>
      </c>
      <c r="F1414" s="3">
        <v>45620</v>
      </c>
      <c r="G1414" s="3">
        <v>45883</v>
      </c>
      <c r="H1414" s="2">
        <v>3</v>
      </c>
      <c r="I1414" s="1">
        <v>856.5</v>
      </c>
      <c r="J1414" s="1">
        <v>285.5</v>
      </c>
      <c r="K1414" t="s">
        <v>25</v>
      </c>
      <c r="L1414" t="s">
        <v>20</v>
      </c>
      <c r="M1414" s="2">
        <v>4</v>
      </c>
      <c r="N1414" t="s">
        <v>31</v>
      </c>
    </row>
    <row r="1415" spans="1:14" x14ac:dyDescent="0.3">
      <c r="A1415" t="s">
        <v>1451</v>
      </c>
      <c r="B1415" s="2">
        <v>51</v>
      </c>
      <c r="C1415" t="s">
        <v>23</v>
      </c>
      <c r="D1415" t="s">
        <v>50</v>
      </c>
      <c r="E1415" t="s">
        <v>34</v>
      </c>
      <c r="F1415" s="3">
        <v>45796</v>
      </c>
      <c r="G1415" s="3">
        <v>45969</v>
      </c>
      <c r="H1415" s="2">
        <v>15</v>
      </c>
      <c r="I1415" s="1">
        <v>854.09999999999991</v>
      </c>
      <c r="J1415" s="1">
        <v>56.94</v>
      </c>
      <c r="K1415" t="s">
        <v>39</v>
      </c>
      <c r="L1415" t="s">
        <v>26</v>
      </c>
      <c r="M1415" s="2">
        <v>1</v>
      </c>
      <c r="N1415" t="s">
        <v>21</v>
      </c>
    </row>
    <row r="1416" spans="1:14" x14ac:dyDescent="0.3">
      <c r="A1416" t="s">
        <v>1452</v>
      </c>
      <c r="B1416" s="2">
        <v>53</v>
      </c>
      <c r="C1416" t="s">
        <v>16</v>
      </c>
      <c r="D1416" t="s">
        <v>61</v>
      </c>
      <c r="E1416" t="s">
        <v>29</v>
      </c>
      <c r="F1416" s="3">
        <v>45337</v>
      </c>
      <c r="G1416" s="3">
        <v>45549</v>
      </c>
      <c r="H1416" s="2">
        <v>17</v>
      </c>
      <c r="I1416" s="1">
        <v>852.55</v>
      </c>
      <c r="J1416" s="1">
        <v>50.15</v>
      </c>
      <c r="K1416" t="s">
        <v>19</v>
      </c>
      <c r="L1416" t="s">
        <v>26</v>
      </c>
      <c r="M1416" s="2">
        <v>7</v>
      </c>
      <c r="N1416" t="s">
        <v>21</v>
      </c>
    </row>
    <row r="1417" spans="1:14" x14ac:dyDescent="0.3">
      <c r="A1417" t="s">
        <v>1453</v>
      </c>
      <c r="B1417" s="2">
        <v>53</v>
      </c>
      <c r="C1417" t="s">
        <v>23</v>
      </c>
      <c r="D1417" t="s">
        <v>17</v>
      </c>
      <c r="E1417" t="s">
        <v>34</v>
      </c>
      <c r="F1417" s="3">
        <v>45599</v>
      </c>
      <c r="G1417" s="3">
        <v>45877</v>
      </c>
      <c r="H1417" s="2">
        <v>3</v>
      </c>
      <c r="I1417" s="1">
        <v>851.94</v>
      </c>
      <c r="J1417" s="1">
        <v>283.98</v>
      </c>
      <c r="K1417" t="s">
        <v>35</v>
      </c>
      <c r="L1417" t="s">
        <v>30</v>
      </c>
      <c r="M1417" s="2">
        <v>1</v>
      </c>
      <c r="N1417" t="s">
        <v>21</v>
      </c>
    </row>
    <row r="1418" spans="1:14" x14ac:dyDescent="0.3">
      <c r="A1418" t="s">
        <v>1454</v>
      </c>
      <c r="B1418" s="2">
        <v>42</v>
      </c>
      <c r="C1418" t="s">
        <v>23</v>
      </c>
      <c r="D1418" t="s">
        <v>28</v>
      </c>
      <c r="E1418" t="s">
        <v>38</v>
      </c>
      <c r="F1418" s="3">
        <v>45507</v>
      </c>
      <c r="G1418" s="3">
        <v>45535</v>
      </c>
      <c r="H1418" s="2">
        <v>3</v>
      </c>
      <c r="I1418" s="1">
        <v>850.92</v>
      </c>
      <c r="J1418" s="1">
        <v>283.64</v>
      </c>
      <c r="K1418" t="s">
        <v>25</v>
      </c>
      <c r="L1418" t="s">
        <v>30</v>
      </c>
      <c r="M1418" s="2">
        <v>1</v>
      </c>
      <c r="N1418" t="s">
        <v>31</v>
      </c>
    </row>
    <row r="1419" spans="1:14" x14ac:dyDescent="0.3">
      <c r="A1419" t="s">
        <v>1455</v>
      </c>
      <c r="B1419" s="2">
        <v>63</v>
      </c>
      <c r="C1419" t="s">
        <v>23</v>
      </c>
      <c r="D1419" t="s">
        <v>61</v>
      </c>
      <c r="E1419" t="s">
        <v>38</v>
      </c>
      <c r="F1419" s="3">
        <v>45445</v>
      </c>
      <c r="G1419" s="3">
        <v>45602</v>
      </c>
      <c r="H1419" s="2">
        <v>3</v>
      </c>
      <c r="I1419" s="1">
        <v>850.26</v>
      </c>
      <c r="J1419" s="1">
        <v>283.42</v>
      </c>
      <c r="K1419" t="s">
        <v>35</v>
      </c>
      <c r="L1419" t="s">
        <v>20</v>
      </c>
      <c r="M1419" s="2">
        <v>10</v>
      </c>
      <c r="N1419" t="s">
        <v>21</v>
      </c>
    </row>
    <row r="1420" spans="1:14" x14ac:dyDescent="0.3">
      <c r="A1420" t="s">
        <v>1456</v>
      </c>
      <c r="B1420" s="2">
        <v>51</v>
      </c>
      <c r="C1420" t="s">
        <v>16</v>
      </c>
      <c r="D1420" t="s">
        <v>24</v>
      </c>
      <c r="E1420" t="s">
        <v>34</v>
      </c>
      <c r="F1420" s="3">
        <v>45847</v>
      </c>
      <c r="G1420" s="3">
        <v>46130</v>
      </c>
      <c r="H1420" s="2">
        <v>11</v>
      </c>
      <c r="I1420" s="1">
        <v>849.75</v>
      </c>
      <c r="J1420" s="1">
        <v>77.25</v>
      </c>
      <c r="K1420" t="s">
        <v>25</v>
      </c>
      <c r="L1420" t="s">
        <v>30</v>
      </c>
      <c r="M1420" s="2">
        <v>10</v>
      </c>
      <c r="N1420" t="s">
        <v>21</v>
      </c>
    </row>
    <row r="1421" spans="1:14" x14ac:dyDescent="0.3">
      <c r="A1421" t="s">
        <v>1457</v>
      </c>
      <c r="B1421" s="2">
        <v>22</v>
      </c>
      <c r="C1421" t="s">
        <v>16</v>
      </c>
      <c r="D1421" t="s">
        <v>17</v>
      </c>
      <c r="E1421" t="s">
        <v>38</v>
      </c>
      <c r="F1421" s="3">
        <v>45631</v>
      </c>
      <c r="G1421" s="3">
        <v>45849</v>
      </c>
      <c r="H1421" s="2">
        <v>4</v>
      </c>
      <c r="I1421" s="1">
        <v>849.24</v>
      </c>
      <c r="J1421" s="1">
        <v>212.31</v>
      </c>
      <c r="K1421" t="s">
        <v>25</v>
      </c>
      <c r="L1421" t="s">
        <v>30</v>
      </c>
      <c r="M1421" s="2">
        <v>7</v>
      </c>
      <c r="N1421" t="s">
        <v>21</v>
      </c>
    </row>
    <row r="1422" spans="1:14" x14ac:dyDescent="0.3">
      <c r="A1422" t="s">
        <v>1458</v>
      </c>
      <c r="B1422" s="2">
        <v>27</v>
      </c>
      <c r="C1422" t="s">
        <v>16</v>
      </c>
      <c r="D1422" t="s">
        <v>61</v>
      </c>
      <c r="E1422" t="s">
        <v>29</v>
      </c>
      <c r="F1422" s="3">
        <v>45844</v>
      </c>
      <c r="G1422" s="3">
        <v>46073</v>
      </c>
      <c r="H1422" s="2">
        <v>4</v>
      </c>
      <c r="I1422" s="1">
        <v>849.16</v>
      </c>
      <c r="J1422" s="1">
        <v>212.29</v>
      </c>
      <c r="K1422" t="s">
        <v>39</v>
      </c>
      <c r="L1422" t="s">
        <v>20</v>
      </c>
      <c r="M1422" s="2">
        <v>3</v>
      </c>
      <c r="N1422" t="s">
        <v>21</v>
      </c>
    </row>
    <row r="1423" spans="1:14" x14ac:dyDescent="0.3">
      <c r="A1423" t="s">
        <v>1459</v>
      </c>
      <c r="B1423" s="2">
        <v>33</v>
      </c>
      <c r="C1423" t="s">
        <v>16</v>
      </c>
      <c r="D1423" t="s">
        <v>44</v>
      </c>
      <c r="E1423" t="s">
        <v>18</v>
      </c>
      <c r="F1423" s="3">
        <v>45672</v>
      </c>
      <c r="G1423" s="3">
        <v>45776</v>
      </c>
      <c r="H1423" s="2">
        <v>15</v>
      </c>
      <c r="I1423" s="1">
        <v>847.80000000000007</v>
      </c>
      <c r="J1423" s="1">
        <v>56.52</v>
      </c>
      <c r="K1423" t="s">
        <v>45</v>
      </c>
      <c r="L1423" t="s">
        <v>26</v>
      </c>
      <c r="M1423" s="2">
        <v>1</v>
      </c>
      <c r="N1423" t="s">
        <v>21</v>
      </c>
    </row>
    <row r="1424" spans="1:14" x14ac:dyDescent="0.3">
      <c r="A1424" t="s">
        <v>1460</v>
      </c>
      <c r="B1424" s="2">
        <v>41</v>
      </c>
      <c r="C1424" t="s">
        <v>23</v>
      </c>
      <c r="D1424" t="s">
        <v>61</v>
      </c>
      <c r="E1424" t="s">
        <v>38</v>
      </c>
      <c r="F1424" s="3">
        <v>45524</v>
      </c>
      <c r="G1424" s="3">
        <v>45695</v>
      </c>
      <c r="H1424" s="2">
        <v>16</v>
      </c>
      <c r="I1424" s="1">
        <v>843.84</v>
      </c>
      <c r="J1424" s="1">
        <v>52.74</v>
      </c>
      <c r="K1424" t="s">
        <v>25</v>
      </c>
      <c r="L1424" t="s">
        <v>20</v>
      </c>
      <c r="M1424" s="2">
        <v>6</v>
      </c>
      <c r="N1424" t="s">
        <v>21</v>
      </c>
    </row>
    <row r="1425" spans="1:14" x14ac:dyDescent="0.3">
      <c r="A1425" t="s">
        <v>1461</v>
      </c>
      <c r="B1425" s="2">
        <v>25</v>
      </c>
      <c r="C1425" t="s">
        <v>16</v>
      </c>
      <c r="D1425" t="s">
        <v>24</v>
      </c>
      <c r="E1425" t="s">
        <v>18</v>
      </c>
      <c r="F1425" s="3">
        <v>45823</v>
      </c>
      <c r="G1425" s="3">
        <v>46044</v>
      </c>
      <c r="H1425" s="2">
        <v>4</v>
      </c>
      <c r="I1425" s="1">
        <v>842.88</v>
      </c>
      <c r="J1425" s="1">
        <v>210.72</v>
      </c>
      <c r="K1425" t="s">
        <v>39</v>
      </c>
      <c r="L1425" t="s">
        <v>20</v>
      </c>
      <c r="M1425" s="2">
        <v>5</v>
      </c>
      <c r="N1425" t="s">
        <v>21</v>
      </c>
    </row>
    <row r="1426" spans="1:14" x14ac:dyDescent="0.3">
      <c r="A1426" t="s">
        <v>1462</v>
      </c>
      <c r="B1426" s="2">
        <v>41</v>
      </c>
      <c r="C1426" t="s">
        <v>23</v>
      </c>
      <c r="D1426" t="s">
        <v>17</v>
      </c>
      <c r="E1426" t="s">
        <v>29</v>
      </c>
      <c r="F1426" s="3">
        <v>45963</v>
      </c>
      <c r="G1426" s="3">
        <v>46041</v>
      </c>
      <c r="H1426" s="2">
        <v>17</v>
      </c>
      <c r="I1426" s="1">
        <v>842.86</v>
      </c>
      <c r="J1426" s="1">
        <v>49.58</v>
      </c>
      <c r="K1426" t="s">
        <v>35</v>
      </c>
      <c r="L1426" t="s">
        <v>30</v>
      </c>
      <c r="M1426" s="2">
        <v>2</v>
      </c>
      <c r="N1426" t="s">
        <v>31</v>
      </c>
    </row>
    <row r="1427" spans="1:14" x14ac:dyDescent="0.3">
      <c r="A1427" t="s">
        <v>1463</v>
      </c>
      <c r="B1427" s="2">
        <v>18</v>
      </c>
      <c r="C1427" t="s">
        <v>16</v>
      </c>
      <c r="D1427" t="s">
        <v>17</v>
      </c>
      <c r="E1427" t="s">
        <v>34</v>
      </c>
      <c r="F1427" s="3">
        <v>45487</v>
      </c>
      <c r="G1427" s="3">
        <v>45682</v>
      </c>
      <c r="H1427" s="2">
        <v>12</v>
      </c>
      <c r="I1427" s="1">
        <v>841.44</v>
      </c>
      <c r="J1427" s="1">
        <v>70.12</v>
      </c>
      <c r="K1427" t="s">
        <v>19</v>
      </c>
      <c r="L1427" t="s">
        <v>30</v>
      </c>
      <c r="M1427" s="2">
        <v>1</v>
      </c>
      <c r="N1427" t="s">
        <v>21</v>
      </c>
    </row>
    <row r="1428" spans="1:14" x14ac:dyDescent="0.3">
      <c r="A1428" t="s">
        <v>1464</v>
      </c>
      <c r="B1428" s="2">
        <v>51</v>
      </c>
      <c r="C1428" t="s">
        <v>23</v>
      </c>
      <c r="D1428" t="s">
        <v>28</v>
      </c>
      <c r="E1428" t="s">
        <v>29</v>
      </c>
      <c r="F1428" s="3">
        <v>45333</v>
      </c>
      <c r="G1428" s="3">
        <v>45392</v>
      </c>
      <c r="H1428" s="2">
        <v>8</v>
      </c>
      <c r="I1428" s="1">
        <v>840.96</v>
      </c>
      <c r="J1428" s="1">
        <v>105.12</v>
      </c>
      <c r="K1428" t="s">
        <v>45</v>
      </c>
      <c r="L1428" t="s">
        <v>26</v>
      </c>
      <c r="M1428" s="2">
        <v>4</v>
      </c>
      <c r="N1428" t="s">
        <v>21</v>
      </c>
    </row>
    <row r="1429" spans="1:14" x14ac:dyDescent="0.3">
      <c r="A1429" t="s">
        <v>1465</v>
      </c>
      <c r="B1429" s="2">
        <v>58</v>
      </c>
      <c r="C1429" t="s">
        <v>16</v>
      </c>
      <c r="D1429" t="s">
        <v>61</v>
      </c>
      <c r="E1429" t="s">
        <v>38</v>
      </c>
      <c r="F1429" s="3">
        <v>45564</v>
      </c>
      <c r="G1429" s="3">
        <v>45641</v>
      </c>
      <c r="H1429" s="2">
        <v>4</v>
      </c>
      <c r="I1429" s="1">
        <v>840.68</v>
      </c>
      <c r="J1429" s="1">
        <v>210.17</v>
      </c>
      <c r="K1429" t="s">
        <v>19</v>
      </c>
      <c r="L1429" t="s">
        <v>20</v>
      </c>
      <c r="M1429" s="2">
        <v>10</v>
      </c>
      <c r="N1429" t="s">
        <v>21</v>
      </c>
    </row>
    <row r="1430" spans="1:14" x14ac:dyDescent="0.3">
      <c r="A1430" t="s">
        <v>1466</v>
      </c>
      <c r="B1430" s="2">
        <v>29</v>
      </c>
      <c r="C1430" t="s">
        <v>23</v>
      </c>
      <c r="D1430" t="s">
        <v>50</v>
      </c>
      <c r="E1430" t="s">
        <v>34</v>
      </c>
      <c r="F1430" s="3">
        <v>45336</v>
      </c>
      <c r="G1430" s="3">
        <v>45413</v>
      </c>
      <c r="H1430" s="2">
        <v>6</v>
      </c>
      <c r="I1430" s="1">
        <v>840.12000000000012</v>
      </c>
      <c r="J1430" s="1">
        <v>140.02000000000001</v>
      </c>
      <c r="K1430" t="s">
        <v>19</v>
      </c>
      <c r="L1430" t="s">
        <v>26</v>
      </c>
      <c r="M1430" s="2">
        <v>6</v>
      </c>
      <c r="N1430" t="s">
        <v>21</v>
      </c>
    </row>
    <row r="1431" spans="1:14" x14ac:dyDescent="0.3">
      <c r="A1431" t="s">
        <v>1467</v>
      </c>
      <c r="B1431" s="2">
        <v>40</v>
      </c>
      <c r="C1431" t="s">
        <v>16</v>
      </c>
      <c r="D1431" t="s">
        <v>42</v>
      </c>
      <c r="E1431" t="s">
        <v>34</v>
      </c>
      <c r="F1431" s="3">
        <v>45881</v>
      </c>
      <c r="G1431" s="3">
        <v>45926</v>
      </c>
      <c r="H1431" s="2">
        <v>4</v>
      </c>
      <c r="I1431" s="1">
        <v>832.36</v>
      </c>
      <c r="J1431" s="1">
        <v>208.09</v>
      </c>
      <c r="K1431" t="s">
        <v>19</v>
      </c>
      <c r="L1431" t="s">
        <v>20</v>
      </c>
      <c r="M1431" s="2">
        <v>1</v>
      </c>
      <c r="N1431" t="s">
        <v>21</v>
      </c>
    </row>
    <row r="1432" spans="1:14" x14ac:dyDescent="0.3">
      <c r="A1432" t="s">
        <v>1468</v>
      </c>
      <c r="B1432" s="2">
        <v>45</v>
      </c>
      <c r="C1432" t="s">
        <v>16</v>
      </c>
      <c r="D1432" t="s">
        <v>50</v>
      </c>
      <c r="E1432" t="s">
        <v>38</v>
      </c>
      <c r="F1432" s="3">
        <v>45942</v>
      </c>
      <c r="G1432" s="3">
        <v>46130</v>
      </c>
      <c r="H1432" s="2">
        <v>23</v>
      </c>
      <c r="I1432" s="1">
        <v>831.68</v>
      </c>
      <c r="J1432" s="1">
        <v>36.159999999999997</v>
      </c>
      <c r="K1432" t="s">
        <v>39</v>
      </c>
      <c r="L1432" t="s">
        <v>26</v>
      </c>
      <c r="M1432" s="2">
        <v>1</v>
      </c>
      <c r="N1432" t="s">
        <v>21</v>
      </c>
    </row>
    <row r="1433" spans="1:14" x14ac:dyDescent="0.3">
      <c r="A1433" t="s">
        <v>1469</v>
      </c>
      <c r="B1433" s="2">
        <v>24</v>
      </c>
      <c r="C1433" t="s">
        <v>23</v>
      </c>
      <c r="D1433" t="s">
        <v>61</v>
      </c>
      <c r="E1433" t="s">
        <v>18</v>
      </c>
      <c r="F1433" s="3">
        <v>45880</v>
      </c>
      <c r="G1433" s="3">
        <v>45945</v>
      </c>
      <c r="H1433" s="2">
        <v>17</v>
      </c>
      <c r="I1433" s="1">
        <v>829.94</v>
      </c>
      <c r="J1433" s="1">
        <v>48.82</v>
      </c>
      <c r="K1433" t="s">
        <v>45</v>
      </c>
      <c r="L1433" t="s">
        <v>20</v>
      </c>
      <c r="M1433" s="2">
        <v>8</v>
      </c>
      <c r="N1433" t="s">
        <v>21</v>
      </c>
    </row>
    <row r="1434" spans="1:14" x14ac:dyDescent="0.3">
      <c r="A1434" t="s">
        <v>1470</v>
      </c>
      <c r="B1434" s="2">
        <v>60</v>
      </c>
      <c r="C1434" t="s">
        <v>23</v>
      </c>
      <c r="D1434" t="s">
        <v>61</v>
      </c>
      <c r="E1434" t="s">
        <v>34</v>
      </c>
      <c r="F1434" s="3">
        <v>45483</v>
      </c>
      <c r="G1434" s="3">
        <v>45670</v>
      </c>
      <c r="H1434" s="2">
        <v>11</v>
      </c>
      <c r="I1434" s="1">
        <v>826.98</v>
      </c>
      <c r="J1434" s="1">
        <v>75.180000000000007</v>
      </c>
      <c r="K1434" t="s">
        <v>19</v>
      </c>
      <c r="L1434" t="s">
        <v>26</v>
      </c>
      <c r="M1434" s="2">
        <v>10</v>
      </c>
      <c r="N1434" t="s">
        <v>31</v>
      </c>
    </row>
    <row r="1435" spans="1:14" x14ac:dyDescent="0.3">
      <c r="A1435" t="s">
        <v>1471</v>
      </c>
      <c r="B1435" s="2">
        <v>37</v>
      </c>
      <c r="C1435" t="s">
        <v>23</v>
      </c>
      <c r="D1435" t="s">
        <v>24</v>
      </c>
      <c r="E1435" t="s">
        <v>29</v>
      </c>
      <c r="F1435" s="3">
        <v>45973</v>
      </c>
      <c r="G1435" s="3">
        <v>46189</v>
      </c>
      <c r="H1435" s="2">
        <v>24</v>
      </c>
      <c r="I1435" s="1">
        <v>825.83999999999992</v>
      </c>
      <c r="J1435" s="1">
        <v>34.409999999999997</v>
      </c>
      <c r="K1435" t="s">
        <v>25</v>
      </c>
      <c r="L1435" t="s">
        <v>20</v>
      </c>
      <c r="M1435" s="2">
        <v>8</v>
      </c>
      <c r="N1435" t="s">
        <v>21</v>
      </c>
    </row>
    <row r="1436" spans="1:14" x14ac:dyDescent="0.3">
      <c r="A1436" t="s">
        <v>1472</v>
      </c>
      <c r="B1436" s="2">
        <v>42</v>
      </c>
      <c r="C1436" t="s">
        <v>23</v>
      </c>
      <c r="D1436" t="s">
        <v>50</v>
      </c>
      <c r="E1436" t="s">
        <v>29</v>
      </c>
      <c r="F1436" s="3">
        <v>45883</v>
      </c>
      <c r="G1436" s="3">
        <v>45999</v>
      </c>
      <c r="H1436" s="2">
        <v>24</v>
      </c>
      <c r="I1436" s="1">
        <v>825.12000000000012</v>
      </c>
      <c r="J1436" s="1">
        <v>34.380000000000003</v>
      </c>
      <c r="K1436" t="s">
        <v>39</v>
      </c>
      <c r="L1436" t="s">
        <v>20</v>
      </c>
      <c r="M1436" s="2">
        <v>2</v>
      </c>
      <c r="N1436" t="s">
        <v>21</v>
      </c>
    </row>
    <row r="1437" spans="1:14" x14ac:dyDescent="0.3">
      <c r="A1437" t="s">
        <v>1473</v>
      </c>
      <c r="B1437" s="2">
        <v>48</v>
      </c>
      <c r="C1437" t="s">
        <v>16</v>
      </c>
      <c r="D1437" t="s">
        <v>44</v>
      </c>
      <c r="E1437" t="s">
        <v>38</v>
      </c>
      <c r="F1437" s="3">
        <v>45596</v>
      </c>
      <c r="G1437" s="3">
        <v>45680</v>
      </c>
      <c r="H1437" s="2">
        <v>7</v>
      </c>
      <c r="I1437" s="1">
        <v>824.6</v>
      </c>
      <c r="J1437" s="1">
        <v>117.8</v>
      </c>
      <c r="K1437" t="s">
        <v>45</v>
      </c>
      <c r="L1437" t="s">
        <v>20</v>
      </c>
      <c r="M1437" s="2">
        <v>10</v>
      </c>
      <c r="N1437" t="s">
        <v>21</v>
      </c>
    </row>
    <row r="1438" spans="1:14" x14ac:dyDescent="0.3">
      <c r="A1438" t="s">
        <v>1474</v>
      </c>
      <c r="B1438" s="2">
        <v>27</v>
      </c>
      <c r="C1438" t="s">
        <v>16</v>
      </c>
      <c r="D1438" t="s">
        <v>42</v>
      </c>
      <c r="E1438" t="s">
        <v>18</v>
      </c>
      <c r="F1438" s="3">
        <v>45788</v>
      </c>
      <c r="G1438" s="3">
        <v>46022</v>
      </c>
      <c r="H1438" s="2">
        <v>16</v>
      </c>
      <c r="I1438" s="1">
        <v>824</v>
      </c>
      <c r="J1438" s="1">
        <v>51.5</v>
      </c>
      <c r="K1438" t="s">
        <v>25</v>
      </c>
      <c r="L1438" t="s">
        <v>26</v>
      </c>
      <c r="M1438" s="2">
        <v>3</v>
      </c>
      <c r="N1438" t="s">
        <v>21</v>
      </c>
    </row>
    <row r="1439" spans="1:14" x14ac:dyDescent="0.3">
      <c r="A1439" t="s">
        <v>1475</v>
      </c>
      <c r="B1439" s="2">
        <v>63</v>
      </c>
      <c r="C1439" t="s">
        <v>16</v>
      </c>
      <c r="D1439" t="s">
        <v>17</v>
      </c>
      <c r="E1439" t="s">
        <v>38</v>
      </c>
      <c r="F1439" s="3">
        <v>45778</v>
      </c>
      <c r="G1439" s="3">
        <v>45907</v>
      </c>
      <c r="H1439" s="2">
        <v>18</v>
      </c>
      <c r="I1439" s="1">
        <v>823.86</v>
      </c>
      <c r="J1439" s="1">
        <v>45.77</v>
      </c>
      <c r="K1439" t="s">
        <v>45</v>
      </c>
      <c r="L1439" t="s">
        <v>30</v>
      </c>
      <c r="M1439" s="2">
        <v>10</v>
      </c>
      <c r="N1439" t="s">
        <v>21</v>
      </c>
    </row>
    <row r="1440" spans="1:14" x14ac:dyDescent="0.3">
      <c r="A1440" t="s">
        <v>1476</v>
      </c>
      <c r="B1440" s="2">
        <v>20</v>
      </c>
      <c r="C1440" t="s">
        <v>23</v>
      </c>
      <c r="D1440" t="s">
        <v>50</v>
      </c>
      <c r="E1440" t="s">
        <v>18</v>
      </c>
      <c r="F1440" s="3">
        <v>45787</v>
      </c>
      <c r="G1440" s="3">
        <v>45856</v>
      </c>
      <c r="H1440" s="2">
        <v>13</v>
      </c>
      <c r="I1440" s="1">
        <v>823.29</v>
      </c>
      <c r="J1440" s="1">
        <v>63.33</v>
      </c>
      <c r="K1440" t="s">
        <v>19</v>
      </c>
      <c r="L1440" t="s">
        <v>20</v>
      </c>
      <c r="M1440" s="2">
        <v>8</v>
      </c>
      <c r="N1440" t="s">
        <v>21</v>
      </c>
    </row>
    <row r="1441" spans="1:14" x14ac:dyDescent="0.3">
      <c r="A1441" t="s">
        <v>1477</v>
      </c>
      <c r="B1441" s="2">
        <v>43</v>
      </c>
      <c r="C1441" t="s">
        <v>16</v>
      </c>
      <c r="D1441" t="s">
        <v>44</v>
      </c>
      <c r="E1441" t="s">
        <v>34</v>
      </c>
      <c r="F1441" s="3">
        <v>45498</v>
      </c>
      <c r="G1441" s="3">
        <v>45629</v>
      </c>
      <c r="H1441" s="2">
        <v>11</v>
      </c>
      <c r="I1441" s="1">
        <v>823.02</v>
      </c>
      <c r="J1441" s="1">
        <v>74.819999999999993</v>
      </c>
      <c r="K1441" t="s">
        <v>35</v>
      </c>
      <c r="L1441" t="s">
        <v>30</v>
      </c>
      <c r="M1441" s="2">
        <v>8</v>
      </c>
      <c r="N1441" t="s">
        <v>21</v>
      </c>
    </row>
    <row r="1442" spans="1:14" x14ac:dyDescent="0.3">
      <c r="A1442" t="s">
        <v>1478</v>
      </c>
      <c r="B1442" s="2">
        <v>60</v>
      </c>
      <c r="C1442" t="s">
        <v>23</v>
      </c>
      <c r="D1442" t="s">
        <v>42</v>
      </c>
      <c r="E1442" t="s">
        <v>34</v>
      </c>
      <c r="F1442" s="3">
        <v>45371</v>
      </c>
      <c r="G1442" s="3">
        <v>45397</v>
      </c>
      <c r="H1442" s="2">
        <v>5</v>
      </c>
      <c r="I1442" s="1">
        <v>816.4</v>
      </c>
      <c r="J1442" s="1">
        <v>163.28</v>
      </c>
      <c r="K1442" t="s">
        <v>19</v>
      </c>
      <c r="L1442" t="s">
        <v>30</v>
      </c>
      <c r="M1442" s="2">
        <v>4</v>
      </c>
      <c r="N1442" t="s">
        <v>21</v>
      </c>
    </row>
    <row r="1443" spans="1:14" x14ac:dyDescent="0.3">
      <c r="A1443" t="s">
        <v>1479</v>
      </c>
      <c r="B1443" s="2">
        <v>23</v>
      </c>
      <c r="C1443" t="s">
        <v>16</v>
      </c>
      <c r="D1443" t="s">
        <v>61</v>
      </c>
      <c r="E1443" t="s">
        <v>29</v>
      </c>
      <c r="F1443" s="3">
        <v>45880</v>
      </c>
      <c r="G1443" s="3">
        <v>46050</v>
      </c>
      <c r="H1443" s="2">
        <v>21</v>
      </c>
      <c r="I1443" s="1">
        <v>814.59</v>
      </c>
      <c r="J1443" s="1">
        <v>38.79</v>
      </c>
      <c r="K1443" t="s">
        <v>19</v>
      </c>
      <c r="L1443" t="s">
        <v>30</v>
      </c>
      <c r="M1443" s="2">
        <v>10</v>
      </c>
      <c r="N1443" t="s">
        <v>31</v>
      </c>
    </row>
    <row r="1444" spans="1:14" x14ac:dyDescent="0.3">
      <c r="A1444" t="s">
        <v>1480</v>
      </c>
      <c r="B1444" s="2">
        <v>39</v>
      </c>
      <c r="C1444" t="s">
        <v>16</v>
      </c>
      <c r="D1444" t="s">
        <v>61</v>
      </c>
      <c r="E1444" t="s">
        <v>29</v>
      </c>
      <c r="F1444" s="3">
        <v>45740</v>
      </c>
      <c r="G1444" s="3">
        <v>46004</v>
      </c>
      <c r="H1444" s="2">
        <v>15</v>
      </c>
      <c r="I1444" s="1">
        <v>808.2</v>
      </c>
      <c r="J1444" s="1">
        <v>53.88</v>
      </c>
      <c r="K1444" t="s">
        <v>19</v>
      </c>
      <c r="L1444" t="s">
        <v>30</v>
      </c>
      <c r="M1444" s="2">
        <v>1</v>
      </c>
      <c r="N1444" t="s">
        <v>21</v>
      </c>
    </row>
    <row r="1445" spans="1:14" x14ac:dyDescent="0.3">
      <c r="A1445" t="s">
        <v>1481</v>
      </c>
      <c r="B1445" s="2">
        <v>47</v>
      </c>
      <c r="C1445" t="s">
        <v>16</v>
      </c>
      <c r="D1445" t="s">
        <v>44</v>
      </c>
      <c r="E1445" t="s">
        <v>18</v>
      </c>
      <c r="F1445" s="3">
        <v>45718</v>
      </c>
      <c r="G1445" s="3">
        <v>45801</v>
      </c>
      <c r="H1445" s="2">
        <v>5</v>
      </c>
      <c r="I1445" s="1">
        <v>808.1</v>
      </c>
      <c r="J1445" s="1">
        <v>161.62</v>
      </c>
      <c r="K1445" t="s">
        <v>25</v>
      </c>
      <c r="L1445" t="s">
        <v>26</v>
      </c>
      <c r="M1445" s="2">
        <v>8</v>
      </c>
      <c r="N1445" t="s">
        <v>21</v>
      </c>
    </row>
    <row r="1446" spans="1:14" x14ac:dyDescent="0.3">
      <c r="A1446" t="s">
        <v>1482</v>
      </c>
      <c r="B1446" s="2">
        <v>46</v>
      </c>
      <c r="C1446" t="s">
        <v>16</v>
      </c>
      <c r="D1446" t="s">
        <v>28</v>
      </c>
      <c r="E1446" t="s">
        <v>38</v>
      </c>
      <c r="F1446" s="3">
        <v>45796</v>
      </c>
      <c r="G1446" s="3">
        <v>45910</v>
      </c>
      <c r="H1446" s="2">
        <v>21</v>
      </c>
      <c r="I1446" s="1">
        <v>802.82999999999993</v>
      </c>
      <c r="J1446" s="1">
        <v>38.229999999999997</v>
      </c>
      <c r="K1446" t="s">
        <v>35</v>
      </c>
      <c r="L1446" t="s">
        <v>20</v>
      </c>
      <c r="M1446" s="2">
        <v>9</v>
      </c>
      <c r="N1446" t="s">
        <v>21</v>
      </c>
    </row>
    <row r="1447" spans="1:14" x14ac:dyDescent="0.3">
      <c r="A1447" t="s">
        <v>1483</v>
      </c>
      <c r="B1447" s="2">
        <v>63</v>
      </c>
      <c r="C1447" t="s">
        <v>23</v>
      </c>
      <c r="D1447" t="s">
        <v>44</v>
      </c>
      <c r="E1447" t="s">
        <v>18</v>
      </c>
      <c r="F1447" s="3">
        <v>45768</v>
      </c>
      <c r="G1447" s="3">
        <v>45925</v>
      </c>
      <c r="H1447" s="2">
        <v>6</v>
      </c>
      <c r="I1447" s="1">
        <v>801.12000000000012</v>
      </c>
      <c r="J1447" s="1">
        <v>133.52000000000001</v>
      </c>
      <c r="K1447" t="s">
        <v>45</v>
      </c>
      <c r="L1447" t="s">
        <v>26</v>
      </c>
      <c r="M1447" s="2">
        <v>10</v>
      </c>
      <c r="N1447" t="s">
        <v>21</v>
      </c>
    </row>
    <row r="1448" spans="1:14" x14ac:dyDescent="0.3">
      <c r="A1448" t="s">
        <v>1484</v>
      </c>
      <c r="B1448" s="2">
        <v>43</v>
      </c>
      <c r="C1448" t="s">
        <v>16</v>
      </c>
      <c r="D1448" t="s">
        <v>42</v>
      </c>
      <c r="E1448" t="s">
        <v>38</v>
      </c>
      <c r="F1448" s="3">
        <v>45354</v>
      </c>
      <c r="G1448" s="3">
        <v>45423</v>
      </c>
      <c r="H1448" s="2">
        <v>10</v>
      </c>
      <c r="I1448" s="1">
        <v>794.09999999999991</v>
      </c>
      <c r="J1448" s="1">
        <v>79.41</v>
      </c>
      <c r="K1448" t="s">
        <v>25</v>
      </c>
      <c r="L1448" t="s">
        <v>26</v>
      </c>
      <c r="M1448" s="2">
        <v>7</v>
      </c>
      <c r="N1448" t="s">
        <v>21</v>
      </c>
    </row>
    <row r="1449" spans="1:14" x14ac:dyDescent="0.3">
      <c r="A1449" t="s">
        <v>1485</v>
      </c>
      <c r="B1449" s="2">
        <v>60</v>
      </c>
      <c r="C1449" t="s">
        <v>23</v>
      </c>
      <c r="D1449" t="s">
        <v>50</v>
      </c>
      <c r="E1449" t="s">
        <v>38</v>
      </c>
      <c r="F1449" s="3">
        <v>45470</v>
      </c>
      <c r="G1449" s="3">
        <v>45675</v>
      </c>
      <c r="H1449" s="2">
        <v>22</v>
      </c>
      <c r="I1449" s="1">
        <v>793.09999999999991</v>
      </c>
      <c r="J1449" s="1">
        <v>36.049999999999997</v>
      </c>
      <c r="K1449" t="s">
        <v>45</v>
      </c>
      <c r="L1449" t="s">
        <v>26</v>
      </c>
      <c r="M1449" s="2">
        <v>2</v>
      </c>
      <c r="N1449" t="s">
        <v>21</v>
      </c>
    </row>
    <row r="1450" spans="1:14" x14ac:dyDescent="0.3">
      <c r="A1450" t="s">
        <v>1486</v>
      </c>
      <c r="B1450" s="2">
        <v>43</v>
      </c>
      <c r="C1450" t="s">
        <v>16</v>
      </c>
      <c r="D1450" t="s">
        <v>50</v>
      </c>
      <c r="E1450" t="s">
        <v>34</v>
      </c>
      <c r="F1450" s="3">
        <v>45528</v>
      </c>
      <c r="G1450" s="3">
        <v>45655</v>
      </c>
      <c r="H1450" s="2">
        <v>24</v>
      </c>
      <c r="I1450" s="1">
        <v>792.96</v>
      </c>
      <c r="J1450" s="1">
        <v>33.04</v>
      </c>
      <c r="K1450" t="s">
        <v>39</v>
      </c>
      <c r="L1450" t="s">
        <v>20</v>
      </c>
      <c r="M1450" s="2">
        <v>1</v>
      </c>
      <c r="N1450" t="s">
        <v>31</v>
      </c>
    </row>
    <row r="1451" spans="1:14" x14ac:dyDescent="0.3">
      <c r="A1451" t="s">
        <v>1487</v>
      </c>
      <c r="B1451" s="2">
        <v>22</v>
      </c>
      <c r="C1451" t="s">
        <v>16</v>
      </c>
      <c r="D1451" t="s">
        <v>61</v>
      </c>
      <c r="E1451" t="s">
        <v>18</v>
      </c>
      <c r="F1451" s="3">
        <v>45635</v>
      </c>
      <c r="G1451" s="3">
        <v>45649</v>
      </c>
      <c r="H1451" s="2">
        <v>8</v>
      </c>
      <c r="I1451" s="1">
        <v>792.16</v>
      </c>
      <c r="J1451" s="1">
        <v>99.02</v>
      </c>
      <c r="K1451" t="s">
        <v>45</v>
      </c>
      <c r="L1451" t="s">
        <v>30</v>
      </c>
      <c r="M1451" s="2">
        <v>9</v>
      </c>
      <c r="N1451" t="s">
        <v>21</v>
      </c>
    </row>
    <row r="1452" spans="1:14" x14ac:dyDescent="0.3">
      <c r="A1452" t="s">
        <v>1488</v>
      </c>
      <c r="B1452" s="2">
        <v>42</v>
      </c>
      <c r="C1452" t="s">
        <v>16</v>
      </c>
      <c r="D1452" t="s">
        <v>17</v>
      </c>
      <c r="E1452" t="s">
        <v>18</v>
      </c>
      <c r="F1452" s="3">
        <v>45730</v>
      </c>
      <c r="G1452" s="3">
        <v>45952</v>
      </c>
      <c r="H1452" s="2">
        <v>24</v>
      </c>
      <c r="I1452" s="1">
        <v>791.52</v>
      </c>
      <c r="J1452" s="1">
        <v>32.979999999999997</v>
      </c>
      <c r="K1452" t="s">
        <v>39</v>
      </c>
      <c r="L1452" t="s">
        <v>30</v>
      </c>
      <c r="M1452" s="2">
        <v>1</v>
      </c>
      <c r="N1452" t="s">
        <v>21</v>
      </c>
    </row>
    <row r="1453" spans="1:14" x14ac:dyDescent="0.3">
      <c r="A1453" t="s">
        <v>1489</v>
      </c>
      <c r="B1453" s="2">
        <v>39</v>
      </c>
      <c r="C1453" t="s">
        <v>23</v>
      </c>
      <c r="D1453" t="s">
        <v>61</v>
      </c>
      <c r="E1453" t="s">
        <v>34</v>
      </c>
      <c r="F1453" s="3">
        <v>45597</v>
      </c>
      <c r="G1453" s="3">
        <v>45682</v>
      </c>
      <c r="H1453" s="2">
        <v>5</v>
      </c>
      <c r="I1453" s="1">
        <v>789.80000000000007</v>
      </c>
      <c r="J1453" s="1">
        <v>157.96</v>
      </c>
      <c r="K1453" t="s">
        <v>19</v>
      </c>
      <c r="L1453" t="s">
        <v>26</v>
      </c>
      <c r="M1453" s="2">
        <v>6</v>
      </c>
      <c r="N1453" t="s">
        <v>21</v>
      </c>
    </row>
    <row r="1454" spans="1:14" x14ac:dyDescent="0.3">
      <c r="A1454" t="s">
        <v>1490</v>
      </c>
      <c r="B1454" s="2">
        <v>30</v>
      </c>
      <c r="C1454" t="s">
        <v>23</v>
      </c>
      <c r="D1454" t="s">
        <v>28</v>
      </c>
      <c r="E1454" t="s">
        <v>29</v>
      </c>
      <c r="F1454" s="3">
        <v>45401</v>
      </c>
      <c r="G1454" s="3">
        <v>45413</v>
      </c>
      <c r="H1454" s="2">
        <v>13</v>
      </c>
      <c r="I1454" s="1">
        <v>788.97</v>
      </c>
      <c r="J1454" s="1">
        <v>60.69</v>
      </c>
      <c r="K1454" t="s">
        <v>45</v>
      </c>
      <c r="L1454" t="s">
        <v>20</v>
      </c>
      <c r="M1454" s="2">
        <v>5</v>
      </c>
      <c r="N1454" t="s">
        <v>21</v>
      </c>
    </row>
    <row r="1455" spans="1:14" x14ac:dyDescent="0.3">
      <c r="A1455" t="s">
        <v>1491</v>
      </c>
      <c r="B1455" s="2">
        <v>21</v>
      </c>
      <c r="C1455" t="s">
        <v>23</v>
      </c>
      <c r="D1455" t="s">
        <v>42</v>
      </c>
      <c r="E1455" t="s">
        <v>38</v>
      </c>
      <c r="F1455" s="3">
        <v>45334</v>
      </c>
      <c r="G1455" s="3">
        <v>45400</v>
      </c>
      <c r="H1455" s="2">
        <v>17</v>
      </c>
      <c r="I1455" s="1">
        <v>785.23</v>
      </c>
      <c r="J1455" s="1">
        <v>46.19</v>
      </c>
      <c r="K1455" t="s">
        <v>25</v>
      </c>
      <c r="L1455" t="s">
        <v>30</v>
      </c>
      <c r="M1455" s="2">
        <v>1</v>
      </c>
      <c r="N1455" t="s">
        <v>21</v>
      </c>
    </row>
    <row r="1456" spans="1:14" x14ac:dyDescent="0.3">
      <c r="A1456" t="s">
        <v>1492</v>
      </c>
      <c r="B1456" s="2">
        <v>52</v>
      </c>
      <c r="C1456" t="s">
        <v>23</v>
      </c>
      <c r="D1456" t="s">
        <v>44</v>
      </c>
      <c r="E1456" t="s">
        <v>34</v>
      </c>
      <c r="F1456" s="3">
        <v>45530</v>
      </c>
      <c r="G1456" s="3">
        <v>45548</v>
      </c>
      <c r="H1456" s="2">
        <v>3</v>
      </c>
      <c r="I1456" s="1">
        <v>783.96</v>
      </c>
      <c r="J1456" s="1">
        <v>261.32</v>
      </c>
      <c r="K1456" t="s">
        <v>25</v>
      </c>
      <c r="L1456" t="s">
        <v>26</v>
      </c>
      <c r="M1456" s="2">
        <v>3</v>
      </c>
      <c r="N1456" t="s">
        <v>21</v>
      </c>
    </row>
    <row r="1457" spans="1:14" x14ac:dyDescent="0.3">
      <c r="A1457" t="s">
        <v>1493</v>
      </c>
      <c r="B1457" s="2">
        <v>28</v>
      </c>
      <c r="C1457" t="s">
        <v>23</v>
      </c>
      <c r="D1457" t="s">
        <v>28</v>
      </c>
      <c r="E1457" t="s">
        <v>34</v>
      </c>
      <c r="F1457" s="3">
        <v>45682</v>
      </c>
      <c r="G1457" s="3">
        <v>45812</v>
      </c>
      <c r="H1457" s="2">
        <v>4</v>
      </c>
      <c r="I1457" s="1">
        <v>782.12</v>
      </c>
      <c r="J1457" s="1">
        <v>195.53</v>
      </c>
      <c r="K1457" t="s">
        <v>25</v>
      </c>
      <c r="L1457" t="s">
        <v>20</v>
      </c>
      <c r="M1457" s="2">
        <v>2</v>
      </c>
      <c r="N1457" t="s">
        <v>21</v>
      </c>
    </row>
    <row r="1458" spans="1:14" x14ac:dyDescent="0.3">
      <c r="A1458" t="s">
        <v>1494</v>
      </c>
      <c r="B1458" s="2">
        <v>27</v>
      </c>
      <c r="C1458" t="s">
        <v>16</v>
      </c>
      <c r="D1458" t="s">
        <v>61</v>
      </c>
      <c r="E1458" t="s">
        <v>34</v>
      </c>
      <c r="F1458" s="3">
        <v>45484</v>
      </c>
      <c r="G1458" s="3">
        <v>45503</v>
      </c>
      <c r="H1458" s="2">
        <v>10</v>
      </c>
      <c r="I1458" s="1">
        <v>782</v>
      </c>
      <c r="J1458" s="1">
        <v>78.2</v>
      </c>
      <c r="K1458" t="s">
        <v>39</v>
      </c>
      <c r="L1458" t="s">
        <v>30</v>
      </c>
      <c r="M1458" s="2">
        <v>3</v>
      </c>
      <c r="N1458" t="s">
        <v>21</v>
      </c>
    </row>
    <row r="1459" spans="1:14" x14ac:dyDescent="0.3">
      <c r="A1459" t="s">
        <v>1495</v>
      </c>
      <c r="B1459" s="2">
        <v>64</v>
      </c>
      <c r="C1459" t="s">
        <v>16</v>
      </c>
      <c r="D1459" t="s">
        <v>24</v>
      </c>
      <c r="E1459" t="s">
        <v>34</v>
      </c>
      <c r="F1459" s="3">
        <v>45329</v>
      </c>
      <c r="G1459" s="3">
        <v>45341</v>
      </c>
      <c r="H1459" s="2">
        <v>5</v>
      </c>
      <c r="I1459" s="1">
        <v>777.4</v>
      </c>
      <c r="J1459" s="1">
        <v>155.47999999999999</v>
      </c>
      <c r="K1459" t="s">
        <v>25</v>
      </c>
      <c r="L1459" t="s">
        <v>26</v>
      </c>
      <c r="M1459" s="2">
        <v>8</v>
      </c>
      <c r="N1459" t="s">
        <v>21</v>
      </c>
    </row>
    <row r="1460" spans="1:14" x14ac:dyDescent="0.3">
      <c r="A1460" t="s">
        <v>1496</v>
      </c>
      <c r="B1460" s="2">
        <v>48</v>
      </c>
      <c r="C1460" t="s">
        <v>23</v>
      </c>
      <c r="D1460" t="s">
        <v>50</v>
      </c>
      <c r="E1460" t="s">
        <v>18</v>
      </c>
      <c r="F1460" s="3">
        <v>45414</v>
      </c>
      <c r="G1460" s="3">
        <v>45676</v>
      </c>
      <c r="H1460" s="2">
        <v>19</v>
      </c>
      <c r="I1460" s="1">
        <v>776.34</v>
      </c>
      <c r="J1460" s="1">
        <v>40.86</v>
      </c>
      <c r="K1460" t="s">
        <v>25</v>
      </c>
      <c r="L1460" t="s">
        <v>20</v>
      </c>
      <c r="M1460" s="2">
        <v>6</v>
      </c>
      <c r="N1460" t="s">
        <v>21</v>
      </c>
    </row>
    <row r="1461" spans="1:14" x14ac:dyDescent="0.3">
      <c r="A1461" t="s">
        <v>1497</v>
      </c>
      <c r="B1461" s="2">
        <v>46</v>
      </c>
      <c r="C1461" t="s">
        <v>16</v>
      </c>
      <c r="D1461" t="s">
        <v>42</v>
      </c>
      <c r="E1461" t="s">
        <v>34</v>
      </c>
      <c r="F1461" s="3">
        <v>45379</v>
      </c>
      <c r="G1461" s="3">
        <v>45482</v>
      </c>
      <c r="H1461" s="2">
        <v>5</v>
      </c>
      <c r="I1461" s="1">
        <v>772.6</v>
      </c>
      <c r="J1461" s="1">
        <v>154.52000000000001</v>
      </c>
      <c r="K1461" t="s">
        <v>35</v>
      </c>
      <c r="L1461" t="s">
        <v>30</v>
      </c>
      <c r="M1461" s="2">
        <v>4</v>
      </c>
      <c r="N1461" t="s">
        <v>21</v>
      </c>
    </row>
    <row r="1462" spans="1:14" x14ac:dyDescent="0.3">
      <c r="A1462" t="s">
        <v>1498</v>
      </c>
      <c r="B1462" s="2">
        <v>33</v>
      </c>
      <c r="C1462" t="s">
        <v>16</v>
      </c>
      <c r="D1462" t="s">
        <v>44</v>
      </c>
      <c r="E1462" t="s">
        <v>29</v>
      </c>
      <c r="F1462" s="3">
        <v>45570</v>
      </c>
      <c r="G1462" s="3">
        <v>45640</v>
      </c>
      <c r="H1462" s="2">
        <v>4</v>
      </c>
      <c r="I1462" s="1">
        <v>769.56</v>
      </c>
      <c r="J1462" s="1">
        <v>192.39</v>
      </c>
      <c r="K1462" t="s">
        <v>25</v>
      </c>
      <c r="L1462" t="s">
        <v>30</v>
      </c>
      <c r="M1462" s="2">
        <v>2</v>
      </c>
      <c r="N1462" t="s">
        <v>21</v>
      </c>
    </row>
    <row r="1463" spans="1:14" x14ac:dyDescent="0.3">
      <c r="A1463" t="s">
        <v>1499</v>
      </c>
      <c r="B1463" s="2">
        <v>56</v>
      </c>
      <c r="C1463" t="s">
        <v>23</v>
      </c>
      <c r="D1463" t="s">
        <v>17</v>
      </c>
      <c r="E1463" t="s">
        <v>38</v>
      </c>
      <c r="F1463" s="3">
        <v>45518</v>
      </c>
      <c r="G1463" s="3">
        <v>45630</v>
      </c>
      <c r="H1463" s="2">
        <v>5</v>
      </c>
      <c r="I1463" s="1">
        <v>769.44999999999993</v>
      </c>
      <c r="J1463" s="1">
        <v>153.88999999999999</v>
      </c>
      <c r="K1463" t="s">
        <v>19</v>
      </c>
      <c r="L1463" t="s">
        <v>20</v>
      </c>
      <c r="M1463" s="2">
        <v>4</v>
      </c>
      <c r="N1463" t="s">
        <v>21</v>
      </c>
    </row>
    <row r="1464" spans="1:14" x14ac:dyDescent="0.3">
      <c r="A1464" t="s">
        <v>1500</v>
      </c>
      <c r="B1464" s="2">
        <v>43</v>
      </c>
      <c r="C1464" t="s">
        <v>16</v>
      </c>
      <c r="D1464" t="s">
        <v>50</v>
      </c>
      <c r="E1464" t="s">
        <v>34</v>
      </c>
      <c r="F1464" s="3">
        <v>45748</v>
      </c>
      <c r="G1464" s="3">
        <v>46042</v>
      </c>
      <c r="H1464" s="2">
        <v>17</v>
      </c>
      <c r="I1464" s="1">
        <v>768.74</v>
      </c>
      <c r="J1464" s="1">
        <v>45.22</v>
      </c>
      <c r="K1464" t="s">
        <v>39</v>
      </c>
      <c r="L1464" t="s">
        <v>26</v>
      </c>
      <c r="M1464" s="2">
        <v>10</v>
      </c>
      <c r="N1464" t="s">
        <v>21</v>
      </c>
    </row>
    <row r="1465" spans="1:14" x14ac:dyDescent="0.3">
      <c r="A1465" t="s">
        <v>1501</v>
      </c>
      <c r="B1465" s="2">
        <v>34</v>
      </c>
      <c r="C1465" t="s">
        <v>16</v>
      </c>
      <c r="D1465" t="s">
        <v>61</v>
      </c>
      <c r="E1465" t="s">
        <v>18</v>
      </c>
      <c r="F1465" s="3">
        <v>45417</v>
      </c>
      <c r="G1465" s="3">
        <v>45441</v>
      </c>
      <c r="H1465" s="2">
        <v>8</v>
      </c>
      <c r="I1465" s="1">
        <v>767.92</v>
      </c>
      <c r="J1465" s="1">
        <v>95.99</v>
      </c>
      <c r="K1465" t="s">
        <v>35</v>
      </c>
      <c r="L1465" t="s">
        <v>26</v>
      </c>
      <c r="M1465" s="2">
        <v>5</v>
      </c>
      <c r="N1465" t="s">
        <v>21</v>
      </c>
    </row>
    <row r="1466" spans="1:14" x14ac:dyDescent="0.3">
      <c r="A1466" t="s">
        <v>1502</v>
      </c>
      <c r="B1466" s="2">
        <v>20</v>
      </c>
      <c r="C1466" t="s">
        <v>23</v>
      </c>
      <c r="D1466" t="s">
        <v>42</v>
      </c>
      <c r="E1466" t="s">
        <v>38</v>
      </c>
      <c r="F1466" s="3">
        <v>45760</v>
      </c>
      <c r="G1466" s="3">
        <v>45778</v>
      </c>
      <c r="H1466" s="2">
        <v>10</v>
      </c>
      <c r="I1466" s="1">
        <v>764.5</v>
      </c>
      <c r="J1466" s="1">
        <v>76.45</v>
      </c>
      <c r="K1466" t="s">
        <v>19</v>
      </c>
      <c r="L1466" t="s">
        <v>26</v>
      </c>
      <c r="M1466" s="2">
        <v>5</v>
      </c>
      <c r="N1466" t="s">
        <v>21</v>
      </c>
    </row>
    <row r="1467" spans="1:14" x14ac:dyDescent="0.3">
      <c r="A1467" t="s">
        <v>1503</v>
      </c>
      <c r="B1467" s="2">
        <v>45</v>
      </c>
      <c r="C1467" t="s">
        <v>16</v>
      </c>
      <c r="D1467" t="s">
        <v>50</v>
      </c>
      <c r="E1467" t="s">
        <v>18</v>
      </c>
      <c r="F1467" s="3">
        <v>45966</v>
      </c>
      <c r="G1467" s="3">
        <v>46058</v>
      </c>
      <c r="H1467" s="2">
        <v>4</v>
      </c>
      <c r="I1467" s="1">
        <v>763.76</v>
      </c>
      <c r="J1467" s="1">
        <v>190.94</v>
      </c>
      <c r="K1467" t="s">
        <v>25</v>
      </c>
      <c r="L1467" t="s">
        <v>30</v>
      </c>
      <c r="M1467" s="2">
        <v>1</v>
      </c>
      <c r="N1467" t="s">
        <v>21</v>
      </c>
    </row>
    <row r="1468" spans="1:14" x14ac:dyDescent="0.3">
      <c r="A1468" t="s">
        <v>1504</v>
      </c>
      <c r="B1468" s="2">
        <v>54</v>
      </c>
      <c r="C1468" t="s">
        <v>16</v>
      </c>
      <c r="D1468" t="s">
        <v>61</v>
      </c>
      <c r="E1468" t="s">
        <v>38</v>
      </c>
      <c r="F1468" s="3">
        <v>45498</v>
      </c>
      <c r="G1468" s="3">
        <v>45514</v>
      </c>
      <c r="H1468" s="2">
        <v>8</v>
      </c>
      <c r="I1468" s="1">
        <v>762.96</v>
      </c>
      <c r="J1468" s="1">
        <v>95.37</v>
      </c>
      <c r="K1468" t="s">
        <v>39</v>
      </c>
      <c r="L1468" t="s">
        <v>30</v>
      </c>
      <c r="M1468" s="2">
        <v>6</v>
      </c>
      <c r="N1468" t="s">
        <v>21</v>
      </c>
    </row>
    <row r="1469" spans="1:14" x14ac:dyDescent="0.3">
      <c r="A1469" t="s">
        <v>1505</v>
      </c>
      <c r="B1469" s="2">
        <v>27</v>
      </c>
      <c r="C1469" t="s">
        <v>23</v>
      </c>
      <c r="D1469" t="s">
        <v>61</v>
      </c>
      <c r="E1469" t="s">
        <v>18</v>
      </c>
      <c r="F1469" s="3">
        <v>45986</v>
      </c>
      <c r="G1469" s="3">
        <v>45999</v>
      </c>
      <c r="H1469" s="2">
        <v>6</v>
      </c>
      <c r="I1469" s="1">
        <v>762.84</v>
      </c>
      <c r="J1469" s="1">
        <v>127.14</v>
      </c>
      <c r="K1469" t="s">
        <v>39</v>
      </c>
      <c r="L1469" t="s">
        <v>20</v>
      </c>
      <c r="M1469" s="2">
        <v>9</v>
      </c>
      <c r="N1469" t="s">
        <v>21</v>
      </c>
    </row>
    <row r="1470" spans="1:14" x14ac:dyDescent="0.3">
      <c r="A1470" t="s">
        <v>1506</v>
      </c>
      <c r="B1470" s="2">
        <v>38</v>
      </c>
      <c r="C1470" t="s">
        <v>16</v>
      </c>
      <c r="D1470" t="s">
        <v>44</v>
      </c>
      <c r="E1470" t="s">
        <v>29</v>
      </c>
      <c r="F1470" s="3">
        <v>45569</v>
      </c>
      <c r="G1470" s="3">
        <v>45725</v>
      </c>
      <c r="H1470" s="2">
        <v>9</v>
      </c>
      <c r="I1470" s="1">
        <v>760.94999999999993</v>
      </c>
      <c r="J1470" s="1">
        <v>84.55</v>
      </c>
      <c r="K1470" t="s">
        <v>25</v>
      </c>
      <c r="L1470" t="s">
        <v>30</v>
      </c>
      <c r="M1470" s="2">
        <v>8</v>
      </c>
      <c r="N1470" t="s">
        <v>21</v>
      </c>
    </row>
    <row r="1471" spans="1:14" x14ac:dyDescent="0.3">
      <c r="A1471" t="s">
        <v>1507</v>
      </c>
      <c r="B1471" s="2">
        <v>49</v>
      </c>
      <c r="C1471" t="s">
        <v>23</v>
      </c>
      <c r="D1471" t="s">
        <v>42</v>
      </c>
      <c r="E1471" t="s">
        <v>29</v>
      </c>
      <c r="F1471" s="3">
        <v>45616</v>
      </c>
      <c r="G1471" s="3">
        <v>45828</v>
      </c>
      <c r="H1471" s="2">
        <v>8</v>
      </c>
      <c r="I1471" s="1">
        <v>760.32</v>
      </c>
      <c r="J1471" s="1">
        <v>95.04</v>
      </c>
      <c r="K1471" t="s">
        <v>25</v>
      </c>
      <c r="L1471" t="s">
        <v>26</v>
      </c>
      <c r="M1471" s="2">
        <v>10</v>
      </c>
      <c r="N1471" t="s">
        <v>21</v>
      </c>
    </row>
    <row r="1472" spans="1:14" x14ac:dyDescent="0.3">
      <c r="A1472" t="s">
        <v>1508</v>
      </c>
      <c r="B1472" s="2">
        <v>62</v>
      </c>
      <c r="C1472" t="s">
        <v>23</v>
      </c>
      <c r="D1472" t="s">
        <v>28</v>
      </c>
      <c r="E1472" t="s">
        <v>38</v>
      </c>
      <c r="F1472" s="3">
        <v>45986</v>
      </c>
      <c r="G1472" s="3">
        <v>46054</v>
      </c>
      <c r="H1472" s="2">
        <v>11</v>
      </c>
      <c r="I1472" s="1">
        <v>759.99</v>
      </c>
      <c r="J1472" s="1">
        <v>69.09</v>
      </c>
      <c r="K1472" t="s">
        <v>39</v>
      </c>
      <c r="L1472" t="s">
        <v>26</v>
      </c>
      <c r="M1472" s="2">
        <v>1</v>
      </c>
      <c r="N1472" t="s">
        <v>21</v>
      </c>
    </row>
    <row r="1473" spans="1:14" x14ac:dyDescent="0.3">
      <c r="A1473" t="s">
        <v>1509</v>
      </c>
      <c r="B1473" s="2">
        <v>49</v>
      </c>
      <c r="C1473" t="s">
        <v>23</v>
      </c>
      <c r="D1473" t="s">
        <v>61</v>
      </c>
      <c r="E1473" t="s">
        <v>18</v>
      </c>
      <c r="F1473" s="3">
        <v>45865</v>
      </c>
      <c r="G1473" s="3">
        <v>46158</v>
      </c>
      <c r="H1473" s="2">
        <v>5</v>
      </c>
      <c r="I1473" s="1">
        <v>757.05</v>
      </c>
      <c r="J1473" s="1">
        <v>151.41</v>
      </c>
      <c r="K1473" t="s">
        <v>45</v>
      </c>
      <c r="L1473" t="s">
        <v>20</v>
      </c>
      <c r="M1473" s="2">
        <v>5</v>
      </c>
      <c r="N1473" t="s">
        <v>31</v>
      </c>
    </row>
    <row r="1474" spans="1:14" x14ac:dyDescent="0.3">
      <c r="A1474" t="s">
        <v>1510</v>
      </c>
      <c r="B1474" s="2">
        <v>51</v>
      </c>
      <c r="C1474" t="s">
        <v>23</v>
      </c>
      <c r="D1474" t="s">
        <v>44</v>
      </c>
      <c r="E1474" t="s">
        <v>38</v>
      </c>
      <c r="F1474" s="3">
        <v>45335</v>
      </c>
      <c r="G1474" s="3">
        <v>45369</v>
      </c>
      <c r="H1474" s="2">
        <v>13</v>
      </c>
      <c r="I1474" s="1">
        <v>754.65</v>
      </c>
      <c r="J1474" s="1">
        <v>58.05</v>
      </c>
      <c r="K1474" t="s">
        <v>19</v>
      </c>
      <c r="L1474" t="s">
        <v>20</v>
      </c>
      <c r="M1474" s="2">
        <v>7</v>
      </c>
      <c r="N1474" t="s">
        <v>21</v>
      </c>
    </row>
    <row r="1475" spans="1:14" x14ac:dyDescent="0.3">
      <c r="A1475" t="s">
        <v>1511</v>
      </c>
      <c r="B1475" s="2">
        <v>43</v>
      </c>
      <c r="C1475" t="s">
        <v>23</v>
      </c>
      <c r="D1475" t="s">
        <v>61</v>
      </c>
      <c r="E1475" t="s">
        <v>18</v>
      </c>
      <c r="F1475" s="3">
        <v>45895</v>
      </c>
      <c r="G1475" s="3">
        <v>46043</v>
      </c>
      <c r="H1475" s="2">
        <v>5</v>
      </c>
      <c r="I1475" s="1">
        <v>750.6</v>
      </c>
      <c r="J1475" s="1">
        <v>150.12</v>
      </c>
      <c r="K1475" t="s">
        <v>25</v>
      </c>
      <c r="L1475" t="s">
        <v>20</v>
      </c>
      <c r="M1475" s="2">
        <v>3</v>
      </c>
      <c r="N1475" t="s">
        <v>21</v>
      </c>
    </row>
    <row r="1476" spans="1:14" x14ac:dyDescent="0.3">
      <c r="A1476" t="s">
        <v>1512</v>
      </c>
      <c r="B1476" s="2">
        <v>18</v>
      </c>
      <c r="C1476" t="s">
        <v>16</v>
      </c>
      <c r="D1476" t="s">
        <v>50</v>
      </c>
      <c r="E1476" t="s">
        <v>34</v>
      </c>
      <c r="F1476" s="3">
        <v>45652</v>
      </c>
      <c r="G1476" s="3">
        <v>45821</v>
      </c>
      <c r="H1476" s="2">
        <v>7</v>
      </c>
      <c r="I1476" s="1">
        <v>748.30000000000007</v>
      </c>
      <c r="J1476" s="1">
        <v>106.9</v>
      </c>
      <c r="K1476" t="s">
        <v>39</v>
      </c>
      <c r="L1476" t="s">
        <v>30</v>
      </c>
      <c r="M1476" s="2">
        <v>9</v>
      </c>
      <c r="N1476" t="s">
        <v>21</v>
      </c>
    </row>
    <row r="1477" spans="1:14" x14ac:dyDescent="0.3">
      <c r="A1477" t="s">
        <v>1513</v>
      </c>
      <c r="B1477" s="2">
        <v>47</v>
      </c>
      <c r="C1477" t="s">
        <v>23</v>
      </c>
      <c r="D1477" t="s">
        <v>61</v>
      </c>
      <c r="E1477" t="s">
        <v>18</v>
      </c>
      <c r="F1477" s="3">
        <v>45591</v>
      </c>
      <c r="G1477" s="3">
        <v>45607</v>
      </c>
      <c r="H1477" s="2">
        <v>9</v>
      </c>
      <c r="I1477" s="1">
        <v>746.64</v>
      </c>
      <c r="J1477" s="1">
        <v>82.96</v>
      </c>
      <c r="K1477" t="s">
        <v>19</v>
      </c>
      <c r="L1477" t="s">
        <v>30</v>
      </c>
      <c r="M1477" s="2">
        <v>5</v>
      </c>
      <c r="N1477" t="s">
        <v>21</v>
      </c>
    </row>
    <row r="1478" spans="1:14" x14ac:dyDescent="0.3">
      <c r="A1478" t="s">
        <v>1514</v>
      </c>
      <c r="B1478" s="2">
        <v>65</v>
      </c>
      <c r="C1478" t="s">
        <v>23</v>
      </c>
      <c r="D1478" t="s">
        <v>61</v>
      </c>
      <c r="E1478" t="s">
        <v>18</v>
      </c>
      <c r="F1478" s="3">
        <v>45837</v>
      </c>
      <c r="G1478" s="3">
        <v>46018</v>
      </c>
      <c r="H1478" s="2">
        <v>13</v>
      </c>
      <c r="I1478" s="1">
        <v>744.25</v>
      </c>
      <c r="J1478" s="1">
        <v>57.25</v>
      </c>
      <c r="K1478" t="s">
        <v>45</v>
      </c>
      <c r="L1478" t="s">
        <v>30</v>
      </c>
      <c r="M1478" s="2">
        <v>8</v>
      </c>
      <c r="N1478" t="s">
        <v>21</v>
      </c>
    </row>
    <row r="1479" spans="1:14" x14ac:dyDescent="0.3">
      <c r="A1479" t="s">
        <v>1515</v>
      </c>
      <c r="B1479" s="2">
        <v>44</v>
      </c>
      <c r="C1479" t="s">
        <v>16</v>
      </c>
      <c r="D1479" t="s">
        <v>61</v>
      </c>
      <c r="E1479" t="s">
        <v>38</v>
      </c>
      <c r="F1479" s="3">
        <v>45447</v>
      </c>
      <c r="G1479" s="3">
        <v>45530</v>
      </c>
      <c r="H1479" s="2">
        <v>14</v>
      </c>
      <c r="I1479" s="1">
        <v>744.24</v>
      </c>
      <c r="J1479" s="1">
        <v>53.16</v>
      </c>
      <c r="K1479" t="s">
        <v>45</v>
      </c>
      <c r="L1479" t="s">
        <v>20</v>
      </c>
      <c r="M1479" s="2">
        <v>4</v>
      </c>
      <c r="N1479" t="s">
        <v>21</v>
      </c>
    </row>
    <row r="1480" spans="1:14" x14ac:dyDescent="0.3">
      <c r="A1480" t="s">
        <v>1516</v>
      </c>
      <c r="B1480" s="2">
        <v>20</v>
      </c>
      <c r="C1480" t="s">
        <v>16</v>
      </c>
      <c r="D1480" t="s">
        <v>24</v>
      </c>
      <c r="E1480" t="s">
        <v>18</v>
      </c>
      <c r="F1480" s="3">
        <v>45533</v>
      </c>
      <c r="G1480" s="3">
        <v>45648</v>
      </c>
      <c r="H1480" s="2">
        <v>8</v>
      </c>
      <c r="I1480" s="1">
        <v>744.08</v>
      </c>
      <c r="J1480" s="1">
        <v>93.01</v>
      </c>
      <c r="K1480" t="s">
        <v>45</v>
      </c>
      <c r="L1480" t="s">
        <v>20</v>
      </c>
      <c r="M1480" s="2">
        <v>9</v>
      </c>
      <c r="N1480" t="s">
        <v>21</v>
      </c>
    </row>
    <row r="1481" spans="1:14" x14ac:dyDescent="0.3">
      <c r="A1481" t="s">
        <v>1517</v>
      </c>
      <c r="B1481" s="2">
        <v>18</v>
      </c>
      <c r="C1481" t="s">
        <v>16</v>
      </c>
      <c r="D1481" t="s">
        <v>44</v>
      </c>
      <c r="E1481" t="s">
        <v>29</v>
      </c>
      <c r="F1481" s="3">
        <v>45539</v>
      </c>
      <c r="G1481" s="3">
        <v>45797</v>
      </c>
      <c r="H1481" s="2">
        <v>19</v>
      </c>
      <c r="I1481" s="1">
        <v>743.47</v>
      </c>
      <c r="J1481" s="1">
        <v>39.130000000000003</v>
      </c>
      <c r="K1481" t="s">
        <v>45</v>
      </c>
      <c r="L1481" t="s">
        <v>30</v>
      </c>
      <c r="M1481" s="2">
        <v>9</v>
      </c>
      <c r="N1481" t="s">
        <v>21</v>
      </c>
    </row>
    <row r="1482" spans="1:14" x14ac:dyDescent="0.3">
      <c r="A1482" t="s">
        <v>1518</v>
      </c>
      <c r="B1482" s="2">
        <v>56</v>
      </c>
      <c r="C1482" t="s">
        <v>23</v>
      </c>
      <c r="D1482" t="s">
        <v>44</v>
      </c>
      <c r="E1482" t="s">
        <v>29</v>
      </c>
      <c r="F1482" s="3">
        <v>45691</v>
      </c>
      <c r="G1482" s="3">
        <v>45897</v>
      </c>
      <c r="H1482" s="2">
        <v>4</v>
      </c>
      <c r="I1482" s="1">
        <v>743.24</v>
      </c>
      <c r="J1482" s="1">
        <v>185.81</v>
      </c>
      <c r="K1482" t="s">
        <v>39</v>
      </c>
      <c r="L1482" t="s">
        <v>26</v>
      </c>
      <c r="M1482" s="2">
        <v>7</v>
      </c>
      <c r="N1482" t="s">
        <v>21</v>
      </c>
    </row>
    <row r="1483" spans="1:14" x14ac:dyDescent="0.3">
      <c r="A1483" t="s">
        <v>1519</v>
      </c>
      <c r="B1483" s="2">
        <v>24</v>
      </c>
      <c r="C1483" t="s">
        <v>16</v>
      </c>
      <c r="D1483" t="s">
        <v>50</v>
      </c>
      <c r="E1483" t="s">
        <v>18</v>
      </c>
      <c r="F1483" s="3">
        <v>45803</v>
      </c>
      <c r="G1483" s="3">
        <v>46093</v>
      </c>
      <c r="H1483" s="2">
        <v>6</v>
      </c>
      <c r="I1483" s="1">
        <v>737.7</v>
      </c>
      <c r="J1483" s="1">
        <v>122.95</v>
      </c>
      <c r="K1483" t="s">
        <v>39</v>
      </c>
      <c r="L1483" t="s">
        <v>30</v>
      </c>
      <c r="M1483" s="2">
        <v>4</v>
      </c>
      <c r="N1483" t="s">
        <v>21</v>
      </c>
    </row>
    <row r="1484" spans="1:14" x14ac:dyDescent="0.3">
      <c r="A1484" t="s">
        <v>1520</v>
      </c>
      <c r="B1484" s="2">
        <v>35</v>
      </c>
      <c r="C1484" t="s">
        <v>16</v>
      </c>
      <c r="D1484" t="s">
        <v>50</v>
      </c>
      <c r="E1484" t="s">
        <v>34</v>
      </c>
      <c r="F1484" s="3">
        <v>45527</v>
      </c>
      <c r="G1484" s="3">
        <v>45633</v>
      </c>
      <c r="H1484" s="2">
        <v>7</v>
      </c>
      <c r="I1484" s="1">
        <v>733.74</v>
      </c>
      <c r="J1484" s="1">
        <v>104.82</v>
      </c>
      <c r="K1484" t="s">
        <v>39</v>
      </c>
      <c r="L1484" t="s">
        <v>30</v>
      </c>
      <c r="M1484" s="2">
        <v>8</v>
      </c>
      <c r="N1484" t="s">
        <v>21</v>
      </c>
    </row>
    <row r="1485" spans="1:14" x14ac:dyDescent="0.3">
      <c r="A1485" t="s">
        <v>1521</v>
      </c>
      <c r="B1485" s="2">
        <v>62</v>
      </c>
      <c r="C1485" t="s">
        <v>23</v>
      </c>
      <c r="D1485" t="s">
        <v>28</v>
      </c>
      <c r="E1485" t="s">
        <v>18</v>
      </c>
      <c r="F1485" s="3">
        <v>45719</v>
      </c>
      <c r="G1485" s="3">
        <v>45860</v>
      </c>
      <c r="H1485" s="2">
        <v>10</v>
      </c>
      <c r="I1485" s="1">
        <v>733.6</v>
      </c>
      <c r="J1485" s="1">
        <v>73.36</v>
      </c>
      <c r="K1485" t="s">
        <v>35</v>
      </c>
      <c r="L1485" t="s">
        <v>26</v>
      </c>
      <c r="M1485" s="2">
        <v>10</v>
      </c>
      <c r="N1485" t="s">
        <v>21</v>
      </c>
    </row>
    <row r="1486" spans="1:14" x14ac:dyDescent="0.3">
      <c r="A1486" t="s">
        <v>1522</v>
      </c>
      <c r="B1486" s="2">
        <v>19</v>
      </c>
      <c r="C1486" t="s">
        <v>23</v>
      </c>
      <c r="D1486" t="s">
        <v>42</v>
      </c>
      <c r="E1486" t="s">
        <v>18</v>
      </c>
      <c r="F1486" s="3">
        <v>45458</v>
      </c>
      <c r="G1486" s="3">
        <v>45689</v>
      </c>
      <c r="H1486" s="2">
        <v>3</v>
      </c>
      <c r="I1486" s="1">
        <v>731.31000000000006</v>
      </c>
      <c r="J1486" s="1">
        <v>243.77</v>
      </c>
      <c r="K1486" t="s">
        <v>39</v>
      </c>
      <c r="L1486" t="s">
        <v>26</v>
      </c>
      <c r="M1486" s="2">
        <v>3</v>
      </c>
      <c r="N1486" t="s">
        <v>31</v>
      </c>
    </row>
    <row r="1487" spans="1:14" x14ac:dyDescent="0.3">
      <c r="A1487" t="s">
        <v>1523</v>
      </c>
      <c r="B1487" s="2">
        <v>23</v>
      </c>
      <c r="C1487" t="s">
        <v>16</v>
      </c>
      <c r="D1487" t="s">
        <v>44</v>
      </c>
      <c r="E1487" t="s">
        <v>34</v>
      </c>
      <c r="F1487" s="3">
        <v>45786</v>
      </c>
      <c r="G1487" s="3">
        <v>45974</v>
      </c>
      <c r="H1487" s="2">
        <v>4</v>
      </c>
      <c r="I1487" s="1">
        <v>729.88</v>
      </c>
      <c r="J1487" s="1">
        <v>182.47</v>
      </c>
      <c r="K1487" t="s">
        <v>35</v>
      </c>
      <c r="L1487" t="s">
        <v>20</v>
      </c>
      <c r="M1487" s="2">
        <v>2</v>
      </c>
      <c r="N1487" t="s">
        <v>21</v>
      </c>
    </row>
    <row r="1488" spans="1:14" x14ac:dyDescent="0.3">
      <c r="A1488" t="s">
        <v>1524</v>
      </c>
      <c r="B1488" s="2">
        <v>37</v>
      </c>
      <c r="C1488" t="s">
        <v>23</v>
      </c>
      <c r="D1488" t="s">
        <v>17</v>
      </c>
      <c r="E1488" t="s">
        <v>38</v>
      </c>
      <c r="F1488" s="3">
        <v>45907</v>
      </c>
      <c r="G1488" s="3">
        <v>45911</v>
      </c>
      <c r="H1488" s="2">
        <v>8</v>
      </c>
      <c r="I1488" s="1">
        <v>725.36</v>
      </c>
      <c r="J1488" s="1">
        <v>90.67</v>
      </c>
      <c r="K1488" t="s">
        <v>45</v>
      </c>
      <c r="L1488" t="s">
        <v>26</v>
      </c>
      <c r="M1488" s="2">
        <v>5</v>
      </c>
      <c r="N1488" t="s">
        <v>21</v>
      </c>
    </row>
    <row r="1489" spans="1:14" x14ac:dyDescent="0.3">
      <c r="A1489" t="s">
        <v>1525</v>
      </c>
      <c r="B1489" s="2">
        <v>65</v>
      </c>
      <c r="C1489" t="s">
        <v>16</v>
      </c>
      <c r="D1489" t="s">
        <v>50</v>
      </c>
      <c r="E1489" t="s">
        <v>29</v>
      </c>
      <c r="F1489" s="3">
        <v>45903</v>
      </c>
      <c r="G1489" s="3">
        <v>46104</v>
      </c>
      <c r="H1489" s="2">
        <v>18</v>
      </c>
      <c r="I1489" s="1">
        <v>721.08</v>
      </c>
      <c r="J1489" s="1">
        <v>40.06</v>
      </c>
      <c r="K1489" t="s">
        <v>25</v>
      </c>
      <c r="L1489" t="s">
        <v>26</v>
      </c>
      <c r="M1489" s="2">
        <v>6</v>
      </c>
      <c r="N1489" t="s">
        <v>21</v>
      </c>
    </row>
    <row r="1490" spans="1:14" x14ac:dyDescent="0.3">
      <c r="A1490" t="s">
        <v>1526</v>
      </c>
      <c r="B1490" s="2">
        <v>25</v>
      </c>
      <c r="C1490" t="s">
        <v>23</v>
      </c>
      <c r="D1490" t="s">
        <v>61</v>
      </c>
      <c r="E1490" t="s">
        <v>29</v>
      </c>
      <c r="F1490" s="3">
        <v>45759</v>
      </c>
      <c r="G1490" s="3">
        <v>45846</v>
      </c>
      <c r="H1490" s="2">
        <v>19</v>
      </c>
      <c r="I1490" s="1">
        <v>720.29</v>
      </c>
      <c r="J1490" s="1">
        <v>37.909999999999997</v>
      </c>
      <c r="K1490" t="s">
        <v>39</v>
      </c>
      <c r="L1490" t="s">
        <v>30</v>
      </c>
      <c r="M1490" s="2">
        <v>7</v>
      </c>
      <c r="N1490" t="s">
        <v>21</v>
      </c>
    </row>
    <row r="1491" spans="1:14" x14ac:dyDescent="0.3">
      <c r="A1491" t="s">
        <v>1527</v>
      </c>
      <c r="B1491" s="2">
        <v>25</v>
      </c>
      <c r="C1491" t="s">
        <v>23</v>
      </c>
      <c r="D1491" t="s">
        <v>42</v>
      </c>
      <c r="E1491" t="s">
        <v>18</v>
      </c>
      <c r="F1491" s="3">
        <v>45611</v>
      </c>
      <c r="G1491" s="3">
        <v>45815</v>
      </c>
      <c r="H1491" s="2">
        <v>20</v>
      </c>
      <c r="I1491" s="1">
        <v>717.2</v>
      </c>
      <c r="J1491" s="1">
        <v>35.86</v>
      </c>
      <c r="K1491" t="s">
        <v>39</v>
      </c>
      <c r="L1491" t="s">
        <v>26</v>
      </c>
      <c r="M1491" s="2">
        <v>7</v>
      </c>
      <c r="N1491" t="s">
        <v>21</v>
      </c>
    </row>
    <row r="1492" spans="1:14" x14ac:dyDescent="0.3">
      <c r="A1492" t="s">
        <v>1528</v>
      </c>
      <c r="B1492" s="2">
        <v>50</v>
      </c>
      <c r="C1492" t="s">
        <v>23</v>
      </c>
      <c r="D1492" t="s">
        <v>61</v>
      </c>
      <c r="E1492" t="s">
        <v>34</v>
      </c>
      <c r="F1492" s="3">
        <v>45796</v>
      </c>
      <c r="G1492" s="3">
        <v>46034</v>
      </c>
      <c r="H1492" s="2">
        <v>7</v>
      </c>
      <c r="I1492" s="1">
        <v>715.4</v>
      </c>
      <c r="J1492" s="1">
        <v>102.2</v>
      </c>
      <c r="K1492" t="s">
        <v>19</v>
      </c>
      <c r="L1492" t="s">
        <v>20</v>
      </c>
      <c r="M1492" s="2">
        <v>1</v>
      </c>
      <c r="N1492" t="s">
        <v>21</v>
      </c>
    </row>
    <row r="1493" spans="1:14" x14ac:dyDescent="0.3">
      <c r="A1493" t="s">
        <v>1529</v>
      </c>
      <c r="B1493" s="2">
        <v>42</v>
      </c>
      <c r="C1493" t="s">
        <v>23</v>
      </c>
      <c r="D1493" t="s">
        <v>17</v>
      </c>
      <c r="E1493" t="s">
        <v>38</v>
      </c>
      <c r="F1493" s="3">
        <v>45408</v>
      </c>
      <c r="G1493" s="3">
        <v>45483</v>
      </c>
      <c r="H1493" s="2">
        <v>15</v>
      </c>
      <c r="I1493" s="1">
        <v>707.7</v>
      </c>
      <c r="J1493" s="1">
        <v>47.18</v>
      </c>
      <c r="K1493" t="s">
        <v>25</v>
      </c>
      <c r="L1493" t="s">
        <v>30</v>
      </c>
      <c r="M1493" s="2">
        <v>10</v>
      </c>
      <c r="N1493" t="s">
        <v>31</v>
      </c>
    </row>
    <row r="1494" spans="1:14" x14ac:dyDescent="0.3">
      <c r="A1494" t="s">
        <v>1530</v>
      </c>
      <c r="B1494" s="2">
        <v>27</v>
      </c>
      <c r="C1494" t="s">
        <v>23</v>
      </c>
      <c r="D1494" t="s">
        <v>50</v>
      </c>
      <c r="E1494" t="s">
        <v>38</v>
      </c>
      <c r="F1494" s="3">
        <v>45888</v>
      </c>
      <c r="G1494" s="3">
        <v>46099</v>
      </c>
      <c r="H1494" s="2">
        <v>4</v>
      </c>
      <c r="I1494" s="1">
        <v>706.84</v>
      </c>
      <c r="J1494" s="1">
        <v>176.71</v>
      </c>
      <c r="K1494" t="s">
        <v>39</v>
      </c>
      <c r="L1494" t="s">
        <v>26</v>
      </c>
      <c r="M1494" s="2">
        <v>1</v>
      </c>
      <c r="N1494" t="s">
        <v>21</v>
      </c>
    </row>
    <row r="1495" spans="1:14" x14ac:dyDescent="0.3">
      <c r="A1495" t="s">
        <v>1531</v>
      </c>
      <c r="B1495" s="2">
        <v>48</v>
      </c>
      <c r="C1495" t="s">
        <v>23</v>
      </c>
      <c r="D1495" t="s">
        <v>24</v>
      </c>
      <c r="E1495" t="s">
        <v>18</v>
      </c>
      <c r="F1495" s="3">
        <v>45354</v>
      </c>
      <c r="G1495" s="3">
        <v>45460</v>
      </c>
      <c r="H1495" s="2">
        <v>8</v>
      </c>
      <c r="I1495" s="1">
        <v>706.4</v>
      </c>
      <c r="J1495" s="1">
        <v>88.3</v>
      </c>
      <c r="K1495" t="s">
        <v>45</v>
      </c>
      <c r="L1495" t="s">
        <v>20</v>
      </c>
      <c r="M1495" s="2">
        <v>2</v>
      </c>
      <c r="N1495" t="s">
        <v>21</v>
      </c>
    </row>
    <row r="1496" spans="1:14" x14ac:dyDescent="0.3">
      <c r="A1496" t="s">
        <v>1532</v>
      </c>
      <c r="B1496" s="2">
        <v>40</v>
      </c>
      <c r="C1496" t="s">
        <v>23</v>
      </c>
      <c r="D1496" t="s">
        <v>28</v>
      </c>
      <c r="E1496" t="s">
        <v>29</v>
      </c>
      <c r="F1496" s="3">
        <v>45314</v>
      </c>
      <c r="G1496" s="3">
        <v>45358</v>
      </c>
      <c r="H1496" s="2">
        <v>5</v>
      </c>
      <c r="I1496" s="1">
        <v>704.25</v>
      </c>
      <c r="J1496" s="1">
        <v>140.85</v>
      </c>
      <c r="K1496" t="s">
        <v>35</v>
      </c>
      <c r="L1496" t="s">
        <v>30</v>
      </c>
      <c r="M1496" s="2">
        <v>5</v>
      </c>
      <c r="N1496" t="s">
        <v>21</v>
      </c>
    </row>
    <row r="1497" spans="1:14" x14ac:dyDescent="0.3">
      <c r="A1497" t="s">
        <v>1533</v>
      </c>
      <c r="B1497" s="2">
        <v>27</v>
      </c>
      <c r="C1497" t="s">
        <v>16</v>
      </c>
      <c r="D1497" t="s">
        <v>50</v>
      </c>
      <c r="E1497" t="s">
        <v>34</v>
      </c>
      <c r="F1497" s="3">
        <v>45580</v>
      </c>
      <c r="G1497" s="3">
        <v>45828</v>
      </c>
      <c r="H1497" s="2">
        <v>3</v>
      </c>
      <c r="I1497" s="1">
        <v>699.15000000000009</v>
      </c>
      <c r="J1497" s="1">
        <v>233.05</v>
      </c>
      <c r="K1497" t="s">
        <v>39</v>
      </c>
      <c r="L1497" t="s">
        <v>26</v>
      </c>
      <c r="M1497" s="2">
        <v>4</v>
      </c>
      <c r="N1497" t="s">
        <v>21</v>
      </c>
    </row>
    <row r="1498" spans="1:14" x14ac:dyDescent="0.3">
      <c r="A1498" t="s">
        <v>1534</v>
      </c>
      <c r="B1498" s="2">
        <v>57</v>
      </c>
      <c r="C1498" t="s">
        <v>16</v>
      </c>
      <c r="D1498" t="s">
        <v>17</v>
      </c>
      <c r="E1498" t="s">
        <v>38</v>
      </c>
      <c r="F1498" s="3">
        <v>45868</v>
      </c>
      <c r="G1498" s="3">
        <v>46084</v>
      </c>
      <c r="H1498" s="2">
        <v>3</v>
      </c>
      <c r="I1498" s="1">
        <v>695.46</v>
      </c>
      <c r="J1498" s="1">
        <v>231.82</v>
      </c>
      <c r="K1498" t="s">
        <v>39</v>
      </c>
      <c r="L1498" t="s">
        <v>30</v>
      </c>
      <c r="M1498" s="2">
        <v>9</v>
      </c>
      <c r="N1498" t="s">
        <v>21</v>
      </c>
    </row>
    <row r="1499" spans="1:14" x14ac:dyDescent="0.3">
      <c r="A1499" t="s">
        <v>1535</v>
      </c>
      <c r="B1499" s="2">
        <v>27</v>
      </c>
      <c r="C1499" t="s">
        <v>16</v>
      </c>
      <c r="D1499" t="s">
        <v>28</v>
      </c>
      <c r="E1499" t="s">
        <v>38</v>
      </c>
      <c r="F1499" s="3">
        <v>45813</v>
      </c>
      <c r="G1499" s="3">
        <v>46065</v>
      </c>
      <c r="H1499" s="2">
        <v>3</v>
      </c>
      <c r="I1499" s="1">
        <v>694.86</v>
      </c>
      <c r="J1499" s="1">
        <v>231.62</v>
      </c>
      <c r="K1499" t="s">
        <v>19</v>
      </c>
      <c r="L1499" t="s">
        <v>30</v>
      </c>
      <c r="M1499" s="2">
        <v>7</v>
      </c>
      <c r="N1499" t="s">
        <v>21</v>
      </c>
    </row>
    <row r="1500" spans="1:14" x14ac:dyDescent="0.3">
      <c r="A1500" t="s">
        <v>1536</v>
      </c>
      <c r="B1500" s="2">
        <v>32</v>
      </c>
      <c r="C1500" t="s">
        <v>16</v>
      </c>
      <c r="D1500" t="s">
        <v>42</v>
      </c>
      <c r="E1500" t="s">
        <v>18</v>
      </c>
      <c r="F1500" s="3">
        <v>45788</v>
      </c>
      <c r="G1500" s="3">
        <v>45937</v>
      </c>
      <c r="H1500" s="2">
        <v>23</v>
      </c>
      <c r="I1500" s="1">
        <v>692.30000000000007</v>
      </c>
      <c r="J1500" s="1">
        <v>30.1</v>
      </c>
      <c r="K1500" t="s">
        <v>19</v>
      </c>
      <c r="L1500" t="s">
        <v>20</v>
      </c>
      <c r="M1500" s="2">
        <v>10</v>
      </c>
      <c r="N1500" t="s">
        <v>21</v>
      </c>
    </row>
    <row r="1501" spans="1:14" x14ac:dyDescent="0.3">
      <c r="A1501" t="s">
        <v>1537</v>
      </c>
      <c r="B1501" s="2">
        <v>65</v>
      </c>
      <c r="C1501" t="s">
        <v>16</v>
      </c>
      <c r="D1501" t="s">
        <v>42</v>
      </c>
      <c r="E1501" t="s">
        <v>38</v>
      </c>
      <c r="F1501" s="3">
        <v>45529</v>
      </c>
      <c r="G1501" s="3">
        <v>45576</v>
      </c>
      <c r="H1501" s="2">
        <v>20</v>
      </c>
      <c r="I1501" s="1">
        <v>692</v>
      </c>
      <c r="J1501" s="1">
        <v>34.6</v>
      </c>
      <c r="K1501" t="s">
        <v>35</v>
      </c>
      <c r="L1501" t="s">
        <v>30</v>
      </c>
      <c r="M1501" s="2">
        <v>4</v>
      </c>
      <c r="N1501" t="s">
        <v>21</v>
      </c>
    </row>
    <row r="1502" spans="1:14" x14ac:dyDescent="0.3">
      <c r="A1502" t="s">
        <v>1538</v>
      </c>
      <c r="B1502" s="2">
        <v>57</v>
      </c>
      <c r="C1502" t="s">
        <v>23</v>
      </c>
      <c r="D1502" t="s">
        <v>28</v>
      </c>
      <c r="E1502" t="s">
        <v>38</v>
      </c>
      <c r="F1502" s="3">
        <v>45560</v>
      </c>
      <c r="G1502" s="3">
        <v>45670</v>
      </c>
      <c r="H1502" s="2">
        <v>25</v>
      </c>
      <c r="I1502" s="1">
        <v>691.5</v>
      </c>
      <c r="J1502" s="1">
        <v>27.66</v>
      </c>
      <c r="K1502" t="s">
        <v>39</v>
      </c>
      <c r="L1502" t="s">
        <v>30</v>
      </c>
      <c r="M1502" s="2">
        <v>9</v>
      </c>
      <c r="N1502" t="s">
        <v>21</v>
      </c>
    </row>
    <row r="1503" spans="1:14" x14ac:dyDescent="0.3">
      <c r="A1503" t="s">
        <v>1539</v>
      </c>
      <c r="B1503" s="2">
        <v>53</v>
      </c>
      <c r="C1503" t="s">
        <v>16</v>
      </c>
      <c r="D1503" t="s">
        <v>61</v>
      </c>
      <c r="E1503" t="s">
        <v>34</v>
      </c>
      <c r="F1503" s="3">
        <v>45860</v>
      </c>
      <c r="G1503" s="3">
        <v>46122</v>
      </c>
      <c r="H1503" s="2">
        <v>14</v>
      </c>
      <c r="I1503" s="1">
        <v>684.88</v>
      </c>
      <c r="J1503" s="1">
        <v>48.92</v>
      </c>
      <c r="K1503" t="s">
        <v>35</v>
      </c>
      <c r="L1503" t="s">
        <v>30</v>
      </c>
      <c r="M1503" s="2">
        <v>5</v>
      </c>
      <c r="N1503" t="s">
        <v>31</v>
      </c>
    </row>
    <row r="1504" spans="1:14" x14ac:dyDescent="0.3">
      <c r="A1504" t="s">
        <v>1540</v>
      </c>
      <c r="B1504" s="2">
        <v>38</v>
      </c>
      <c r="C1504" t="s">
        <v>23</v>
      </c>
      <c r="D1504" t="s">
        <v>50</v>
      </c>
      <c r="E1504" t="s">
        <v>29</v>
      </c>
      <c r="F1504" s="3">
        <v>45876</v>
      </c>
      <c r="G1504" s="3">
        <v>46012</v>
      </c>
      <c r="H1504" s="2">
        <v>8</v>
      </c>
      <c r="I1504" s="1">
        <v>682.56</v>
      </c>
      <c r="J1504" s="1">
        <v>85.32</v>
      </c>
      <c r="K1504" t="s">
        <v>19</v>
      </c>
      <c r="L1504" t="s">
        <v>20</v>
      </c>
      <c r="M1504" s="2">
        <v>10</v>
      </c>
      <c r="N1504" t="s">
        <v>31</v>
      </c>
    </row>
    <row r="1505" spans="1:14" x14ac:dyDescent="0.3">
      <c r="A1505" t="s">
        <v>1541</v>
      </c>
      <c r="B1505" s="2">
        <v>31</v>
      </c>
      <c r="C1505" t="s">
        <v>23</v>
      </c>
      <c r="D1505" t="s">
        <v>44</v>
      </c>
      <c r="E1505" t="s">
        <v>18</v>
      </c>
      <c r="F1505" s="3">
        <v>45474</v>
      </c>
      <c r="G1505" s="3">
        <v>45584</v>
      </c>
      <c r="H1505" s="2">
        <v>23</v>
      </c>
      <c r="I1505" s="1">
        <v>681.72</v>
      </c>
      <c r="J1505" s="1">
        <v>29.64</v>
      </c>
      <c r="K1505" t="s">
        <v>19</v>
      </c>
      <c r="L1505" t="s">
        <v>20</v>
      </c>
      <c r="M1505" s="2">
        <v>2</v>
      </c>
      <c r="N1505" t="s">
        <v>21</v>
      </c>
    </row>
    <row r="1506" spans="1:14" x14ac:dyDescent="0.3">
      <c r="A1506" t="s">
        <v>1542</v>
      </c>
      <c r="B1506" s="2">
        <v>62</v>
      </c>
      <c r="C1506" t="s">
        <v>16</v>
      </c>
      <c r="D1506" t="s">
        <v>42</v>
      </c>
      <c r="E1506" t="s">
        <v>34</v>
      </c>
      <c r="F1506" s="3">
        <v>45508</v>
      </c>
      <c r="G1506" s="3">
        <v>45545</v>
      </c>
      <c r="H1506" s="2">
        <v>5</v>
      </c>
      <c r="I1506" s="1">
        <v>681.05000000000007</v>
      </c>
      <c r="J1506" s="1">
        <v>136.21</v>
      </c>
      <c r="K1506" t="s">
        <v>35</v>
      </c>
      <c r="L1506" t="s">
        <v>30</v>
      </c>
      <c r="M1506" s="2">
        <v>10</v>
      </c>
      <c r="N1506" t="s">
        <v>21</v>
      </c>
    </row>
    <row r="1507" spans="1:14" x14ac:dyDescent="0.3">
      <c r="A1507" t="s">
        <v>1543</v>
      </c>
      <c r="B1507" s="2">
        <v>44</v>
      </c>
      <c r="C1507" t="s">
        <v>23</v>
      </c>
      <c r="D1507" t="s">
        <v>24</v>
      </c>
      <c r="E1507" t="s">
        <v>38</v>
      </c>
      <c r="F1507" s="3">
        <v>45882</v>
      </c>
      <c r="G1507" s="3">
        <v>46043</v>
      </c>
      <c r="H1507" s="2">
        <v>18</v>
      </c>
      <c r="I1507" s="1">
        <v>680.04</v>
      </c>
      <c r="J1507" s="1">
        <v>37.78</v>
      </c>
      <c r="K1507" t="s">
        <v>19</v>
      </c>
      <c r="L1507" t="s">
        <v>20</v>
      </c>
      <c r="M1507" s="2">
        <v>6</v>
      </c>
      <c r="N1507" t="s">
        <v>21</v>
      </c>
    </row>
    <row r="1508" spans="1:14" x14ac:dyDescent="0.3">
      <c r="A1508" t="s">
        <v>1544</v>
      </c>
      <c r="B1508" s="2">
        <v>39</v>
      </c>
      <c r="C1508" t="s">
        <v>23</v>
      </c>
      <c r="D1508" t="s">
        <v>24</v>
      </c>
      <c r="E1508" t="s">
        <v>34</v>
      </c>
      <c r="F1508" s="3">
        <v>45707</v>
      </c>
      <c r="G1508" s="3">
        <v>45928</v>
      </c>
      <c r="H1508" s="2">
        <v>5</v>
      </c>
      <c r="I1508" s="1">
        <v>679.9</v>
      </c>
      <c r="J1508" s="1">
        <v>135.97999999999999</v>
      </c>
      <c r="K1508" t="s">
        <v>25</v>
      </c>
      <c r="L1508" t="s">
        <v>26</v>
      </c>
      <c r="M1508" s="2">
        <v>8</v>
      </c>
      <c r="N1508" t="s">
        <v>21</v>
      </c>
    </row>
    <row r="1509" spans="1:14" x14ac:dyDescent="0.3">
      <c r="A1509" t="s">
        <v>1545</v>
      </c>
      <c r="B1509" s="2">
        <v>32</v>
      </c>
      <c r="C1509" t="s">
        <v>23</v>
      </c>
      <c r="D1509" t="s">
        <v>44</v>
      </c>
      <c r="E1509" t="s">
        <v>18</v>
      </c>
      <c r="F1509" s="3">
        <v>45739</v>
      </c>
      <c r="G1509" s="3">
        <v>45768</v>
      </c>
      <c r="H1509" s="2">
        <v>8</v>
      </c>
      <c r="I1509" s="1">
        <v>679.76</v>
      </c>
      <c r="J1509" s="1">
        <v>84.97</v>
      </c>
      <c r="K1509" t="s">
        <v>39</v>
      </c>
      <c r="L1509" t="s">
        <v>20</v>
      </c>
      <c r="M1509" s="2">
        <v>4</v>
      </c>
      <c r="N1509" t="s">
        <v>21</v>
      </c>
    </row>
    <row r="1510" spans="1:14" x14ac:dyDescent="0.3">
      <c r="A1510" t="s">
        <v>1546</v>
      </c>
      <c r="B1510" s="2">
        <v>40</v>
      </c>
      <c r="C1510" t="s">
        <v>23</v>
      </c>
      <c r="D1510" t="s">
        <v>61</v>
      </c>
      <c r="E1510" t="s">
        <v>18</v>
      </c>
      <c r="F1510" s="3">
        <v>45333</v>
      </c>
      <c r="G1510" s="3">
        <v>45443</v>
      </c>
      <c r="H1510" s="2">
        <v>11</v>
      </c>
      <c r="I1510" s="1">
        <v>676.83</v>
      </c>
      <c r="J1510" s="1">
        <v>61.53</v>
      </c>
      <c r="K1510" t="s">
        <v>45</v>
      </c>
      <c r="L1510" t="s">
        <v>26</v>
      </c>
      <c r="M1510" s="2">
        <v>3</v>
      </c>
      <c r="N1510" t="s">
        <v>21</v>
      </c>
    </row>
    <row r="1511" spans="1:14" x14ac:dyDescent="0.3">
      <c r="A1511" t="s">
        <v>1547</v>
      </c>
      <c r="B1511" s="2">
        <v>36</v>
      </c>
      <c r="C1511" t="s">
        <v>23</v>
      </c>
      <c r="D1511" t="s">
        <v>28</v>
      </c>
      <c r="E1511" t="s">
        <v>18</v>
      </c>
      <c r="F1511" s="3">
        <v>45620</v>
      </c>
      <c r="G1511" s="3">
        <v>45673</v>
      </c>
      <c r="H1511" s="2">
        <v>6</v>
      </c>
      <c r="I1511" s="1">
        <v>674.09999999999991</v>
      </c>
      <c r="J1511" s="1">
        <v>112.35</v>
      </c>
      <c r="K1511" t="s">
        <v>35</v>
      </c>
      <c r="L1511" t="s">
        <v>30</v>
      </c>
      <c r="M1511" s="2">
        <v>6</v>
      </c>
      <c r="N1511" t="s">
        <v>21</v>
      </c>
    </row>
    <row r="1512" spans="1:14" x14ac:dyDescent="0.3">
      <c r="A1512" t="s">
        <v>1548</v>
      </c>
      <c r="B1512" s="2">
        <v>36</v>
      </c>
      <c r="C1512" t="s">
        <v>23</v>
      </c>
      <c r="D1512" t="s">
        <v>61</v>
      </c>
      <c r="E1512" t="s">
        <v>18</v>
      </c>
      <c r="F1512" s="3">
        <v>45894</v>
      </c>
      <c r="G1512" s="3">
        <v>46144</v>
      </c>
      <c r="H1512" s="2">
        <v>4</v>
      </c>
      <c r="I1512" s="1">
        <v>672.44</v>
      </c>
      <c r="J1512" s="1">
        <v>168.11</v>
      </c>
      <c r="K1512" t="s">
        <v>39</v>
      </c>
      <c r="L1512" t="s">
        <v>30</v>
      </c>
      <c r="M1512" s="2">
        <v>6</v>
      </c>
      <c r="N1512" t="s">
        <v>21</v>
      </c>
    </row>
    <row r="1513" spans="1:14" x14ac:dyDescent="0.3">
      <c r="A1513" t="s">
        <v>1549</v>
      </c>
      <c r="B1513" s="2">
        <v>53</v>
      </c>
      <c r="C1513" t="s">
        <v>16</v>
      </c>
      <c r="D1513" t="s">
        <v>28</v>
      </c>
      <c r="E1513" t="s">
        <v>29</v>
      </c>
      <c r="F1513" s="3">
        <v>45988</v>
      </c>
      <c r="G1513" s="3">
        <v>46252</v>
      </c>
      <c r="H1513" s="2">
        <v>12</v>
      </c>
      <c r="I1513" s="1">
        <v>671.16</v>
      </c>
      <c r="J1513" s="1">
        <v>55.93</v>
      </c>
      <c r="K1513" t="s">
        <v>35</v>
      </c>
      <c r="L1513" t="s">
        <v>20</v>
      </c>
      <c r="M1513" s="2">
        <v>1</v>
      </c>
      <c r="N1513" t="s">
        <v>21</v>
      </c>
    </row>
    <row r="1514" spans="1:14" x14ac:dyDescent="0.3">
      <c r="A1514" t="s">
        <v>1550</v>
      </c>
      <c r="B1514" s="2">
        <v>21</v>
      </c>
      <c r="C1514" t="s">
        <v>23</v>
      </c>
      <c r="D1514" t="s">
        <v>24</v>
      </c>
      <c r="E1514" t="s">
        <v>29</v>
      </c>
      <c r="F1514" s="3">
        <v>45683</v>
      </c>
      <c r="G1514" s="3">
        <v>45952</v>
      </c>
      <c r="H1514" s="2">
        <v>14</v>
      </c>
      <c r="I1514" s="1">
        <v>668.92000000000007</v>
      </c>
      <c r="J1514" s="1">
        <v>47.78</v>
      </c>
      <c r="K1514" t="s">
        <v>19</v>
      </c>
      <c r="L1514" t="s">
        <v>26</v>
      </c>
      <c r="M1514" s="2">
        <v>8</v>
      </c>
      <c r="N1514" t="s">
        <v>21</v>
      </c>
    </row>
    <row r="1515" spans="1:14" x14ac:dyDescent="0.3">
      <c r="A1515" t="s">
        <v>1551</v>
      </c>
      <c r="B1515" s="2">
        <v>48</v>
      </c>
      <c r="C1515" t="s">
        <v>16</v>
      </c>
      <c r="D1515" t="s">
        <v>61</v>
      </c>
      <c r="E1515" t="s">
        <v>38</v>
      </c>
      <c r="F1515" s="3">
        <v>45444</v>
      </c>
      <c r="G1515" s="3">
        <v>45647</v>
      </c>
      <c r="H1515" s="2">
        <v>8</v>
      </c>
      <c r="I1515" s="1">
        <v>668.32</v>
      </c>
      <c r="J1515" s="1">
        <v>83.54</v>
      </c>
      <c r="K1515" t="s">
        <v>35</v>
      </c>
      <c r="L1515" t="s">
        <v>26</v>
      </c>
      <c r="M1515" s="2">
        <v>2</v>
      </c>
      <c r="N1515" t="s">
        <v>21</v>
      </c>
    </row>
    <row r="1516" spans="1:14" x14ac:dyDescent="0.3">
      <c r="A1516" t="s">
        <v>1552</v>
      </c>
      <c r="B1516" s="2">
        <v>54</v>
      </c>
      <c r="C1516" t="s">
        <v>23</v>
      </c>
      <c r="D1516" t="s">
        <v>24</v>
      </c>
      <c r="E1516" t="s">
        <v>38</v>
      </c>
      <c r="F1516" s="3">
        <v>45886</v>
      </c>
      <c r="G1516" s="3">
        <v>46148</v>
      </c>
      <c r="H1516" s="2">
        <v>12</v>
      </c>
      <c r="I1516" s="1">
        <v>667.68000000000006</v>
      </c>
      <c r="J1516" s="1">
        <v>55.64</v>
      </c>
      <c r="K1516" t="s">
        <v>25</v>
      </c>
      <c r="L1516" t="s">
        <v>26</v>
      </c>
      <c r="M1516" s="2">
        <v>1</v>
      </c>
      <c r="N1516" t="s">
        <v>21</v>
      </c>
    </row>
    <row r="1517" spans="1:14" x14ac:dyDescent="0.3">
      <c r="A1517" t="s">
        <v>1553</v>
      </c>
      <c r="B1517" s="2">
        <v>51</v>
      </c>
      <c r="C1517" t="s">
        <v>16</v>
      </c>
      <c r="D1517" t="s">
        <v>42</v>
      </c>
      <c r="E1517" t="s">
        <v>29</v>
      </c>
      <c r="F1517" s="3">
        <v>45814</v>
      </c>
      <c r="G1517" s="3">
        <v>45820</v>
      </c>
      <c r="H1517" s="2">
        <v>4</v>
      </c>
      <c r="I1517" s="1">
        <v>667.52</v>
      </c>
      <c r="J1517" s="1">
        <v>166.88</v>
      </c>
      <c r="K1517" t="s">
        <v>45</v>
      </c>
      <c r="L1517" t="s">
        <v>30</v>
      </c>
      <c r="M1517" s="2">
        <v>8</v>
      </c>
      <c r="N1517" t="s">
        <v>21</v>
      </c>
    </row>
    <row r="1518" spans="1:14" x14ac:dyDescent="0.3">
      <c r="A1518" t="s">
        <v>1554</v>
      </c>
      <c r="B1518" s="2">
        <v>55</v>
      </c>
      <c r="C1518" t="s">
        <v>16</v>
      </c>
      <c r="D1518" t="s">
        <v>17</v>
      </c>
      <c r="E1518" t="s">
        <v>38</v>
      </c>
      <c r="F1518" s="3">
        <v>45953</v>
      </c>
      <c r="G1518" s="3">
        <v>46184</v>
      </c>
      <c r="H1518" s="2">
        <v>3</v>
      </c>
      <c r="I1518" s="1">
        <v>667.02</v>
      </c>
      <c r="J1518" s="1">
        <v>222.34</v>
      </c>
      <c r="K1518" t="s">
        <v>45</v>
      </c>
      <c r="L1518" t="s">
        <v>26</v>
      </c>
      <c r="M1518" s="2">
        <v>1</v>
      </c>
      <c r="N1518" t="s">
        <v>31</v>
      </c>
    </row>
    <row r="1519" spans="1:14" x14ac:dyDescent="0.3">
      <c r="A1519" t="s">
        <v>1555</v>
      </c>
      <c r="B1519" s="2">
        <v>55</v>
      </c>
      <c r="C1519" t="s">
        <v>23</v>
      </c>
      <c r="D1519" t="s">
        <v>61</v>
      </c>
      <c r="E1519" t="s">
        <v>34</v>
      </c>
      <c r="F1519" s="3">
        <v>45662</v>
      </c>
      <c r="G1519" s="3">
        <v>45743</v>
      </c>
      <c r="H1519" s="2">
        <v>6</v>
      </c>
      <c r="I1519" s="1">
        <v>662.22</v>
      </c>
      <c r="J1519" s="1">
        <v>110.37</v>
      </c>
      <c r="K1519" t="s">
        <v>19</v>
      </c>
      <c r="L1519" t="s">
        <v>20</v>
      </c>
      <c r="M1519" s="2">
        <v>3</v>
      </c>
      <c r="N1519" t="s">
        <v>31</v>
      </c>
    </row>
    <row r="1520" spans="1:14" x14ac:dyDescent="0.3">
      <c r="A1520" t="s">
        <v>1556</v>
      </c>
      <c r="B1520" s="2">
        <v>18</v>
      </c>
      <c r="C1520" t="s">
        <v>16</v>
      </c>
      <c r="D1520" t="s">
        <v>24</v>
      </c>
      <c r="E1520" t="s">
        <v>34</v>
      </c>
      <c r="F1520" s="3">
        <v>45529</v>
      </c>
      <c r="G1520" s="3">
        <v>45615</v>
      </c>
      <c r="H1520" s="2">
        <v>22</v>
      </c>
      <c r="I1520" s="1">
        <v>662.2</v>
      </c>
      <c r="J1520" s="1">
        <v>30.1</v>
      </c>
      <c r="K1520" t="s">
        <v>35</v>
      </c>
      <c r="L1520" t="s">
        <v>26</v>
      </c>
      <c r="M1520" s="2">
        <v>7</v>
      </c>
      <c r="N1520" t="s">
        <v>21</v>
      </c>
    </row>
    <row r="1521" spans="1:14" x14ac:dyDescent="0.3">
      <c r="A1521" t="s">
        <v>1557</v>
      </c>
      <c r="B1521" s="2">
        <v>26</v>
      </c>
      <c r="C1521" t="s">
        <v>16</v>
      </c>
      <c r="D1521" t="s">
        <v>61</v>
      </c>
      <c r="E1521" t="s">
        <v>34</v>
      </c>
      <c r="F1521" s="3">
        <v>45379</v>
      </c>
      <c r="G1521" s="3">
        <v>45426</v>
      </c>
      <c r="H1521" s="2">
        <v>14</v>
      </c>
      <c r="I1521" s="1">
        <v>658.56</v>
      </c>
      <c r="J1521" s="1">
        <v>47.04</v>
      </c>
      <c r="K1521" t="s">
        <v>39</v>
      </c>
      <c r="L1521" t="s">
        <v>26</v>
      </c>
      <c r="M1521" s="2">
        <v>6</v>
      </c>
      <c r="N1521" t="s">
        <v>21</v>
      </c>
    </row>
    <row r="1522" spans="1:14" x14ac:dyDescent="0.3">
      <c r="A1522" t="s">
        <v>1558</v>
      </c>
      <c r="B1522" s="2">
        <v>32</v>
      </c>
      <c r="C1522" t="s">
        <v>23</v>
      </c>
      <c r="D1522" t="s">
        <v>24</v>
      </c>
      <c r="E1522" t="s">
        <v>38</v>
      </c>
      <c r="F1522" s="3">
        <v>45671</v>
      </c>
      <c r="G1522" s="3">
        <v>45824</v>
      </c>
      <c r="H1522" s="2">
        <v>3</v>
      </c>
      <c r="I1522" s="1">
        <v>655.53</v>
      </c>
      <c r="J1522" s="1">
        <v>218.51</v>
      </c>
      <c r="K1522" t="s">
        <v>19</v>
      </c>
      <c r="L1522" t="s">
        <v>26</v>
      </c>
      <c r="M1522" s="2">
        <v>2</v>
      </c>
      <c r="N1522" t="s">
        <v>21</v>
      </c>
    </row>
    <row r="1523" spans="1:14" x14ac:dyDescent="0.3">
      <c r="A1523" t="s">
        <v>1559</v>
      </c>
      <c r="B1523" s="2">
        <v>57</v>
      </c>
      <c r="C1523" t="s">
        <v>16</v>
      </c>
      <c r="D1523" t="s">
        <v>42</v>
      </c>
      <c r="E1523" t="s">
        <v>18</v>
      </c>
      <c r="F1523" s="3">
        <v>45341</v>
      </c>
      <c r="G1523" s="3">
        <v>45458</v>
      </c>
      <c r="H1523" s="2">
        <v>3</v>
      </c>
      <c r="I1523" s="1">
        <v>653.97</v>
      </c>
      <c r="J1523" s="1">
        <v>217.99</v>
      </c>
      <c r="K1523" t="s">
        <v>19</v>
      </c>
      <c r="L1523" t="s">
        <v>26</v>
      </c>
      <c r="M1523" s="2">
        <v>8</v>
      </c>
      <c r="N1523" t="s">
        <v>31</v>
      </c>
    </row>
    <row r="1524" spans="1:14" x14ac:dyDescent="0.3">
      <c r="A1524" t="s">
        <v>1560</v>
      </c>
      <c r="B1524" s="2">
        <v>28</v>
      </c>
      <c r="C1524" t="s">
        <v>16</v>
      </c>
      <c r="D1524" t="s">
        <v>42</v>
      </c>
      <c r="E1524" t="s">
        <v>34</v>
      </c>
      <c r="F1524" s="3">
        <v>45689</v>
      </c>
      <c r="G1524" s="3">
        <v>45819</v>
      </c>
      <c r="H1524" s="2">
        <v>8</v>
      </c>
      <c r="I1524" s="1">
        <v>653.52</v>
      </c>
      <c r="J1524" s="1">
        <v>81.69</v>
      </c>
      <c r="K1524" t="s">
        <v>25</v>
      </c>
      <c r="L1524" t="s">
        <v>30</v>
      </c>
      <c r="M1524" s="2">
        <v>2</v>
      </c>
      <c r="N1524" t="s">
        <v>21</v>
      </c>
    </row>
    <row r="1525" spans="1:14" x14ac:dyDescent="0.3">
      <c r="A1525" t="s">
        <v>1561</v>
      </c>
      <c r="B1525" s="2">
        <v>38</v>
      </c>
      <c r="C1525" t="s">
        <v>23</v>
      </c>
      <c r="D1525" t="s">
        <v>28</v>
      </c>
      <c r="E1525" t="s">
        <v>34</v>
      </c>
      <c r="F1525" s="3">
        <v>45400</v>
      </c>
      <c r="G1525" s="3">
        <v>45622</v>
      </c>
      <c r="H1525" s="2">
        <v>23</v>
      </c>
      <c r="I1525" s="1">
        <v>648.14</v>
      </c>
      <c r="J1525" s="1">
        <v>28.18</v>
      </c>
      <c r="K1525" t="s">
        <v>25</v>
      </c>
      <c r="L1525" t="s">
        <v>20</v>
      </c>
      <c r="M1525" s="2">
        <v>5</v>
      </c>
      <c r="N1525" t="s">
        <v>21</v>
      </c>
    </row>
    <row r="1526" spans="1:14" x14ac:dyDescent="0.3">
      <c r="A1526" t="s">
        <v>1562</v>
      </c>
      <c r="B1526" s="2">
        <v>23</v>
      </c>
      <c r="C1526" t="s">
        <v>23</v>
      </c>
      <c r="D1526" t="s">
        <v>24</v>
      </c>
      <c r="E1526" t="s">
        <v>34</v>
      </c>
      <c r="F1526" s="3">
        <v>45391</v>
      </c>
      <c r="G1526" s="3">
        <v>45516</v>
      </c>
      <c r="H1526" s="2">
        <v>15</v>
      </c>
      <c r="I1526" s="1">
        <v>646.35</v>
      </c>
      <c r="J1526" s="1">
        <v>43.09</v>
      </c>
      <c r="K1526" t="s">
        <v>45</v>
      </c>
      <c r="L1526" t="s">
        <v>26</v>
      </c>
      <c r="M1526" s="2">
        <v>9</v>
      </c>
      <c r="N1526" t="s">
        <v>31</v>
      </c>
    </row>
    <row r="1527" spans="1:14" x14ac:dyDescent="0.3">
      <c r="A1527" t="s">
        <v>1563</v>
      </c>
      <c r="B1527" s="2">
        <v>54</v>
      </c>
      <c r="C1527" t="s">
        <v>16</v>
      </c>
      <c r="D1527" t="s">
        <v>17</v>
      </c>
      <c r="E1527" t="s">
        <v>38</v>
      </c>
      <c r="F1527" s="3">
        <v>45731</v>
      </c>
      <c r="G1527" s="3">
        <v>45870</v>
      </c>
      <c r="H1527" s="2">
        <v>17</v>
      </c>
      <c r="I1527" s="1">
        <v>643.96</v>
      </c>
      <c r="J1527" s="1">
        <v>37.880000000000003</v>
      </c>
      <c r="K1527" t="s">
        <v>19</v>
      </c>
      <c r="L1527" t="s">
        <v>26</v>
      </c>
      <c r="M1527" s="2">
        <v>1</v>
      </c>
      <c r="N1527" t="s">
        <v>21</v>
      </c>
    </row>
    <row r="1528" spans="1:14" x14ac:dyDescent="0.3">
      <c r="A1528" t="s">
        <v>1564</v>
      </c>
      <c r="B1528" s="2">
        <v>38</v>
      </c>
      <c r="C1528" t="s">
        <v>16</v>
      </c>
      <c r="D1528" t="s">
        <v>50</v>
      </c>
      <c r="E1528" t="s">
        <v>29</v>
      </c>
      <c r="F1528" s="3">
        <v>45848</v>
      </c>
      <c r="G1528" s="3">
        <v>46136</v>
      </c>
      <c r="H1528" s="2">
        <v>22</v>
      </c>
      <c r="I1528" s="1">
        <v>642.62</v>
      </c>
      <c r="J1528" s="1">
        <v>29.21</v>
      </c>
      <c r="K1528" t="s">
        <v>35</v>
      </c>
      <c r="L1528" t="s">
        <v>30</v>
      </c>
      <c r="M1528" s="2">
        <v>5</v>
      </c>
      <c r="N1528" t="s">
        <v>21</v>
      </c>
    </row>
    <row r="1529" spans="1:14" x14ac:dyDescent="0.3">
      <c r="A1529" t="s">
        <v>1565</v>
      </c>
      <c r="B1529" s="2">
        <v>46</v>
      </c>
      <c r="C1529" t="s">
        <v>23</v>
      </c>
      <c r="D1529" t="s">
        <v>24</v>
      </c>
      <c r="E1529" t="s">
        <v>38</v>
      </c>
      <c r="F1529" s="3">
        <v>45817</v>
      </c>
      <c r="G1529" s="3">
        <v>45892</v>
      </c>
      <c r="H1529" s="2">
        <v>14</v>
      </c>
      <c r="I1529" s="1">
        <v>639.52</v>
      </c>
      <c r="J1529" s="1">
        <v>45.68</v>
      </c>
      <c r="K1529" t="s">
        <v>39</v>
      </c>
      <c r="L1529" t="s">
        <v>26</v>
      </c>
      <c r="M1529" s="2">
        <v>9</v>
      </c>
      <c r="N1529" t="s">
        <v>21</v>
      </c>
    </row>
    <row r="1530" spans="1:14" x14ac:dyDescent="0.3">
      <c r="A1530" t="s">
        <v>1566</v>
      </c>
      <c r="B1530" s="2">
        <v>58</v>
      </c>
      <c r="C1530" t="s">
        <v>23</v>
      </c>
      <c r="D1530" t="s">
        <v>24</v>
      </c>
      <c r="E1530" t="s">
        <v>38</v>
      </c>
      <c r="F1530" s="3">
        <v>45959</v>
      </c>
      <c r="G1530" s="3">
        <v>46185</v>
      </c>
      <c r="H1530" s="2">
        <v>9</v>
      </c>
      <c r="I1530" s="1">
        <v>637.37999999999988</v>
      </c>
      <c r="J1530" s="1">
        <v>70.819999999999993</v>
      </c>
      <c r="K1530" t="s">
        <v>45</v>
      </c>
      <c r="L1530" t="s">
        <v>26</v>
      </c>
      <c r="M1530" s="2">
        <v>6</v>
      </c>
      <c r="N1530" t="s">
        <v>21</v>
      </c>
    </row>
    <row r="1531" spans="1:14" x14ac:dyDescent="0.3">
      <c r="A1531" t="s">
        <v>1567</v>
      </c>
      <c r="B1531" s="2">
        <v>58</v>
      </c>
      <c r="C1531" t="s">
        <v>16</v>
      </c>
      <c r="D1531" t="s">
        <v>24</v>
      </c>
      <c r="E1531" t="s">
        <v>34</v>
      </c>
      <c r="F1531" s="3">
        <v>45453</v>
      </c>
      <c r="G1531" s="3">
        <v>45708</v>
      </c>
      <c r="H1531" s="2">
        <v>3</v>
      </c>
      <c r="I1531" s="1">
        <v>636.18000000000006</v>
      </c>
      <c r="J1531" s="1">
        <v>212.06</v>
      </c>
      <c r="K1531" t="s">
        <v>25</v>
      </c>
      <c r="L1531" t="s">
        <v>20</v>
      </c>
      <c r="M1531" s="2">
        <v>9</v>
      </c>
      <c r="N1531" t="s">
        <v>21</v>
      </c>
    </row>
    <row r="1532" spans="1:14" x14ac:dyDescent="0.3">
      <c r="A1532" t="s">
        <v>1568</v>
      </c>
      <c r="B1532" s="2">
        <v>59</v>
      </c>
      <c r="C1532" t="s">
        <v>16</v>
      </c>
      <c r="D1532" t="s">
        <v>44</v>
      </c>
      <c r="E1532" t="s">
        <v>38</v>
      </c>
      <c r="F1532" s="3">
        <v>45626</v>
      </c>
      <c r="G1532" s="3">
        <v>45858</v>
      </c>
      <c r="H1532" s="2">
        <v>23</v>
      </c>
      <c r="I1532" s="1">
        <v>636.17999999999995</v>
      </c>
      <c r="J1532" s="1">
        <v>27.66</v>
      </c>
      <c r="K1532" t="s">
        <v>25</v>
      </c>
      <c r="L1532" t="s">
        <v>30</v>
      </c>
      <c r="M1532" s="2">
        <v>7</v>
      </c>
      <c r="N1532" t="s">
        <v>31</v>
      </c>
    </row>
    <row r="1533" spans="1:14" x14ac:dyDescent="0.3">
      <c r="A1533" t="s">
        <v>1569</v>
      </c>
      <c r="B1533" s="2">
        <v>36</v>
      </c>
      <c r="C1533" t="s">
        <v>16</v>
      </c>
      <c r="D1533" t="s">
        <v>17</v>
      </c>
      <c r="E1533" t="s">
        <v>34</v>
      </c>
      <c r="F1533" s="3">
        <v>45453</v>
      </c>
      <c r="G1533" s="3">
        <v>45716</v>
      </c>
      <c r="H1533" s="2">
        <v>4</v>
      </c>
      <c r="I1533" s="1">
        <v>636</v>
      </c>
      <c r="J1533" s="1">
        <v>159</v>
      </c>
      <c r="K1533" t="s">
        <v>25</v>
      </c>
      <c r="L1533" t="s">
        <v>20</v>
      </c>
      <c r="M1533" s="2">
        <v>8</v>
      </c>
      <c r="N1533" t="s">
        <v>21</v>
      </c>
    </row>
    <row r="1534" spans="1:14" x14ac:dyDescent="0.3">
      <c r="A1534" t="s">
        <v>1570</v>
      </c>
      <c r="B1534" s="2">
        <v>52</v>
      </c>
      <c r="C1534" t="s">
        <v>16</v>
      </c>
      <c r="D1534" t="s">
        <v>44</v>
      </c>
      <c r="E1534" t="s">
        <v>38</v>
      </c>
      <c r="F1534" s="3">
        <v>45923</v>
      </c>
      <c r="G1534" s="3">
        <v>46133</v>
      </c>
      <c r="H1534" s="2">
        <v>4</v>
      </c>
      <c r="I1534" s="1">
        <v>635.96</v>
      </c>
      <c r="J1534" s="1">
        <v>158.99</v>
      </c>
      <c r="K1534" t="s">
        <v>19</v>
      </c>
      <c r="L1534" t="s">
        <v>20</v>
      </c>
      <c r="M1534" s="2">
        <v>1</v>
      </c>
      <c r="N1534" t="s">
        <v>21</v>
      </c>
    </row>
    <row r="1535" spans="1:14" x14ac:dyDescent="0.3">
      <c r="A1535" t="s">
        <v>1571</v>
      </c>
      <c r="B1535" s="2">
        <v>54</v>
      </c>
      <c r="C1535" t="s">
        <v>23</v>
      </c>
      <c r="D1535" t="s">
        <v>42</v>
      </c>
      <c r="E1535" t="s">
        <v>18</v>
      </c>
      <c r="F1535" s="3">
        <v>45832</v>
      </c>
      <c r="G1535" s="3">
        <v>45853</v>
      </c>
      <c r="H1535" s="2">
        <v>8</v>
      </c>
      <c r="I1535" s="1">
        <v>633.6</v>
      </c>
      <c r="J1535" s="1">
        <v>79.2</v>
      </c>
      <c r="K1535" t="s">
        <v>39</v>
      </c>
      <c r="L1535" t="s">
        <v>20</v>
      </c>
      <c r="M1535" s="2">
        <v>5</v>
      </c>
      <c r="N1535" t="s">
        <v>21</v>
      </c>
    </row>
    <row r="1536" spans="1:14" x14ac:dyDescent="0.3">
      <c r="A1536" t="s">
        <v>1572</v>
      </c>
      <c r="B1536" s="2">
        <v>33</v>
      </c>
      <c r="C1536" t="s">
        <v>23</v>
      </c>
      <c r="D1536" t="s">
        <v>61</v>
      </c>
      <c r="E1536" t="s">
        <v>29</v>
      </c>
      <c r="F1536" s="3">
        <v>45756</v>
      </c>
      <c r="G1536" s="3">
        <v>45965</v>
      </c>
      <c r="H1536" s="2">
        <v>15</v>
      </c>
      <c r="I1536" s="1">
        <v>633.44999999999993</v>
      </c>
      <c r="J1536" s="1">
        <v>42.23</v>
      </c>
      <c r="K1536" t="s">
        <v>39</v>
      </c>
      <c r="L1536" t="s">
        <v>30</v>
      </c>
      <c r="M1536" s="2">
        <v>3</v>
      </c>
      <c r="N1536" t="s">
        <v>21</v>
      </c>
    </row>
    <row r="1537" spans="1:14" x14ac:dyDescent="0.3">
      <c r="A1537" t="s">
        <v>1573</v>
      </c>
      <c r="B1537" s="2">
        <v>50</v>
      </c>
      <c r="C1537" t="s">
        <v>23</v>
      </c>
      <c r="D1537" t="s">
        <v>24</v>
      </c>
      <c r="E1537" t="s">
        <v>38</v>
      </c>
      <c r="F1537" s="3">
        <v>45732</v>
      </c>
      <c r="G1537" s="3">
        <v>45821</v>
      </c>
      <c r="H1537" s="2">
        <v>5</v>
      </c>
      <c r="I1537" s="1">
        <v>632.29999999999995</v>
      </c>
      <c r="J1537" s="1">
        <v>126.46</v>
      </c>
      <c r="K1537" t="s">
        <v>39</v>
      </c>
      <c r="L1537" t="s">
        <v>26</v>
      </c>
      <c r="M1537" s="2">
        <v>1</v>
      </c>
      <c r="N1537" t="s">
        <v>21</v>
      </c>
    </row>
    <row r="1538" spans="1:14" x14ac:dyDescent="0.3">
      <c r="A1538" t="s">
        <v>1574</v>
      </c>
      <c r="B1538" s="2">
        <v>65</v>
      </c>
      <c r="C1538" t="s">
        <v>16</v>
      </c>
      <c r="D1538" t="s">
        <v>24</v>
      </c>
      <c r="E1538" t="s">
        <v>29</v>
      </c>
      <c r="F1538" s="3">
        <v>45856</v>
      </c>
      <c r="G1538" s="3">
        <v>46071</v>
      </c>
      <c r="H1538" s="2">
        <v>8</v>
      </c>
      <c r="I1538" s="1">
        <v>632.08000000000004</v>
      </c>
      <c r="J1538" s="1">
        <v>79.010000000000005</v>
      </c>
      <c r="K1538" t="s">
        <v>35</v>
      </c>
      <c r="L1538" t="s">
        <v>20</v>
      </c>
      <c r="M1538" s="2">
        <v>1</v>
      </c>
      <c r="N1538" t="s">
        <v>21</v>
      </c>
    </row>
    <row r="1539" spans="1:14" x14ac:dyDescent="0.3">
      <c r="A1539" t="s">
        <v>1575</v>
      </c>
      <c r="B1539" s="2">
        <v>21</v>
      </c>
      <c r="C1539" t="s">
        <v>23</v>
      </c>
      <c r="D1539" t="s">
        <v>44</v>
      </c>
      <c r="E1539" t="s">
        <v>29</v>
      </c>
      <c r="F1539" s="3">
        <v>45451</v>
      </c>
      <c r="G1539" s="3">
        <v>45515</v>
      </c>
      <c r="H1539" s="2">
        <v>5</v>
      </c>
      <c r="I1539" s="1">
        <v>630.29999999999995</v>
      </c>
      <c r="J1539" s="1">
        <v>126.06</v>
      </c>
      <c r="K1539" t="s">
        <v>19</v>
      </c>
      <c r="L1539" t="s">
        <v>26</v>
      </c>
      <c r="M1539" s="2">
        <v>8</v>
      </c>
      <c r="N1539" t="s">
        <v>21</v>
      </c>
    </row>
    <row r="1540" spans="1:14" x14ac:dyDescent="0.3">
      <c r="A1540" t="s">
        <v>1576</v>
      </c>
      <c r="B1540" s="2">
        <v>26</v>
      </c>
      <c r="C1540" t="s">
        <v>23</v>
      </c>
      <c r="D1540" t="s">
        <v>42</v>
      </c>
      <c r="E1540" t="s">
        <v>34</v>
      </c>
      <c r="F1540" s="3">
        <v>45397</v>
      </c>
      <c r="G1540" s="3">
        <v>45507</v>
      </c>
      <c r="H1540" s="2">
        <v>9</v>
      </c>
      <c r="I1540" s="1">
        <v>629.37000000000012</v>
      </c>
      <c r="J1540" s="1">
        <v>69.930000000000007</v>
      </c>
      <c r="K1540" t="s">
        <v>19</v>
      </c>
      <c r="L1540" t="s">
        <v>20</v>
      </c>
      <c r="M1540" s="2">
        <v>8</v>
      </c>
      <c r="N1540" t="s">
        <v>21</v>
      </c>
    </row>
    <row r="1541" spans="1:14" x14ac:dyDescent="0.3">
      <c r="A1541" t="s">
        <v>1577</v>
      </c>
      <c r="B1541" s="2">
        <v>32</v>
      </c>
      <c r="C1541" t="s">
        <v>23</v>
      </c>
      <c r="D1541" t="s">
        <v>44</v>
      </c>
      <c r="E1541" t="s">
        <v>38</v>
      </c>
      <c r="F1541" s="3">
        <v>45670</v>
      </c>
      <c r="G1541" s="3">
        <v>45883</v>
      </c>
      <c r="H1541" s="2">
        <v>8</v>
      </c>
      <c r="I1541" s="1">
        <v>629.20000000000005</v>
      </c>
      <c r="J1541" s="1">
        <v>78.650000000000006</v>
      </c>
      <c r="K1541" t="s">
        <v>45</v>
      </c>
      <c r="L1541" t="s">
        <v>20</v>
      </c>
      <c r="M1541" s="2">
        <v>6</v>
      </c>
      <c r="N1541" t="s">
        <v>21</v>
      </c>
    </row>
    <row r="1542" spans="1:14" x14ac:dyDescent="0.3">
      <c r="A1542" t="s">
        <v>1578</v>
      </c>
      <c r="B1542" s="2">
        <v>56</v>
      </c>
      <c r="C1542" t="s">
        <v>23</v>
      </c>
      <c r="D1542" t="s">
        <v>50</v>
      </c>
      <c r="E1542" t="s">
        <v>38</v>
      </c>
      <c r="F1542" s="3">
        <v>45942</v>
      </c>
      <c r="G1542" s="3">
        <v>46005</v>
      </c>
      <c r="H1542" s="2">
        <v>22</v>
      </c>
      <c r="I1542" s="1">
        <v>628.31999999999994</v>
      </c>
      <c r="J1542" s="1">
        <v>28.56</v>
      </c>
      <c r="K1542" t="s">
        <v>19</v>
      </c>
      <c r="L1542" t="s">
        <v>20</v>
      </c>
      <c r="M1542" s="2">
        <v>6</v>
      </c>
      <c r="N1542" t="s">
        <v>21</v>
      </c>
    </row>
    <row r="1543" spans="1:14" x14ac:dyDescent="0.3">
      <c r="A1543" t="s">
        <v>1579</v>
      </c>
      <c r="B1543" s="2">
        <v>50</v>
      </c>
      <c r="C1543" t="s">
        <v>16</v>
      </c>
      <c r="D1543" t="s">
        <v>24</v>
      </c>
      <c r="E1543" t="s">
        <v>29</v>
      </c>
      <c r="F1543" s="3">
        <v>45573</v>
      </c>
      <c r="G1543" s="3">
        <v>45602</v>
      </c>
      <c r="H1543" s="2">
        <v>3</v>
      </c>
      <c r="I1543" s="1">
        <v>623.79</v>
      </c>
      <c r="J1543" s="1">
        <v>207.93</v>
      </c>
      <c r="K1543" t="s">
        <v>19</v>
      </c>
      <c r="L1543" t="s">
        <v>20</v>
      </c>
      <c r="M1543" s="2">
        <v>8</v>
      </c>
      <c r="N1543" t="s">
        <v>21</v>
      </c>
    </row>
    <row r="1544" spans="1:14" x14ac:dyDescent="0.3">
      <c r="A1544" t="s">
        <v>1580</v>
      </c>
      <c r="B1544" s="2">
        <v>45</v>
      </c>
      <c r="C1544" t="s">
        <v>16</v>
      </c>
      <c r="D1544" t="s">
        <v>61</v>
      </c>
      <c r="E1544" t="s">
        <v>29</v>
      </c>
      <c r="F1544" s="3">
        <v>45738</v>
      </c>
      <c r="G1544" s="3">
        <v>46030</v>
      </c>
      <c r="H1544" s="2">
        <v>4</v>
      </c>
      <c r="I1544" s="1">
        <v>623.64</v>
      </c>
      <c r="J1544" s="1">
        <v>155.91</v>
      </c>
      <c r="K1544" t="s">
        <v>19</v>
      </c>
      <c r="L1544" t="s">
        <v>26</v>
      </c>
      <c r="M1544" s="2">
        <v>5</v>
      </c>
      <c r="N1544" t="s">
        <v>21</v>
      </c>
    </row>
    <row r="1545" spans="1:14" x14ac:dyDescent="0.3">
      <c r="A1545" t="s">
        <v>1581</v>
      </c>
      <c r="B1545" s="2">
        <v>54</v>
      </c>
      <c r="C1545" t="s">
        <v>16</v>
      </c>
      <c r="D1545" t="s">
        <v>28</v>
      </c>
      <c r="E1545" t="s">
        <v>34</v>
      </c>
      <c r="F1545" s="3">
        <v>45428</v>
      </c>
      <c r="G1545" s="3">
        <v>45699</v>
      </c>
      <c r="H1545" s="2">
        <v>7</v>
      </c>
      <c r="I1545" s="1">
        <v>622.16</v>
      </c>
      <c r="J1545" s="1">
        <v>88.88</v>
      </c>
      <c r="K1545" t="s">
        <v>35</v>
      </c>
      <c r="L1545" t="s">
        <v>20</v>
      </c>
      <c r="M1545" s="2">
        <v>7</v>
      </c>
      <c r="N1545" t="s">
        <v>21</v>
      </c>
    </row>
    <row r="1546" spans="1:14" x14ac:dyDescent="0.3">
      <c r="A1546" t="s">
        <v>1582</v>
      </c>
      <c r="B1546" s="2">
        <v>37</v>
      </c>
      <c r="C1546" t="s">
        <v>16</v>
      </c>
      <c r="D1546" t="s">
        <v>50</v>
      </c>
      <c r="E1546" t="s">
        <v>18</v>
      </c>
      <c r="F1546" s="3">
        <v>45475</v>
      </c>
      <c r="G1546" s="3">
        <v>45551</v>
      </c>
      <c r="H1546" s="2">
        <v>16</v>
      </c>
      <c r="I1546" s="1">
        <v>620.32000000000005</v>
      </c>
      <c r="J1546" s="1">
        <v>38.770000000000003</v>
      </c>
      <c r="K1546" t="s">
        <v>19</v>
      </c>
      <c r="L1546" t="s">
        <v>26</v>
      </c>
      <c r="M1546" s="2">
        <v>6</v>
      </c>
      <c r="N1546" t="s">
        <v>21</v>
      </c>
    </row>
    <row r="1547" spans="1:14" x14ac:dyDescent="0.3">
      <c r="A1547" t="s">
        <v>1583</v>
      </c>
      <c r="B1547" s="2">
        <v>58</v>
      </c>
      <c r="C1547" t="s">
        <v>23</v>
      </c>
      <c r="D1547" t="s">
        <v>28</v>
      </c>
      <c r="E1547" t="s">
        <v>18</v>
      </c>
      <c r="F1547" s="3">
        <v>45436</v>
      </c>
      <c r="G1547" s="3">
        <v>45729</v>
      </c>
      <c r="H1547" s="2">
        <v>10</v>
      </c>
      <c r="I1547" s="1">
        <v>620.20000000000005</v>
      </c>
      <c r="J1547" s="1">
        <v>62.02</v>
      </c>
      <c r="K1547" t="s">
        <v>39</v>
      </c>
      <c r="L1547" t="s">
        <v>26</v>
      </c>
      <c r="M1547" s="2">
        <v>4</v>
      </c>
      <c r="N1547" t="s">
        <v>31</v>
      </c>
    </row>
    <row r="1548" spans="1:14" x14ac:dyDescent="0.3">
      <c r="A1548" t="s">
        <v>1584</v>
      </c>
      <c r="B1548" s="2">
        <v>37</v>
      </c>
      <c r="C1548" t="s">
        <v>16</v>
      </c>
      <c r="D1548" t="s">
        <v>61</v>
      </c>
      <c r="E1548" t="s">
        <v>38</v>
      </c>
      <c r="F1548" s="3">
        <v>45373</v>
      </c>
      <c r="G1548" s="3">
        <v>45617</v>
      </c>
      <c r="H1548" s="2">
        <v>10</v>
      </c>
      <c r="I1548" s="1">
        <v>616.1</v>
      </c>
      <c r="J1548" s="1">
        <v>61.61</v>
      </c>
      <c r="K1548" t="s">
        <v>45</v>
      </c>
      <c r="L1548" t="s">
        <v>20</v>
      </c>
      <c r="M1548" s="2">
        <v>1</v>
      </c>
      <c r="N1548" t="s">
        <v>31</v>
      </c>
    </row>
    <row r="1549" spans="1:14" x14ac:dyDescent="0.3">
      <c r="A1549" t="s">
        <v>1585</v>
      </c>
      <c r="B1549" s="2">
        <v>57</v>
      </c>
      <c r="C1549" t="s">
        <v>23</v>
      </c>
      <c r="D1549" t="s">
        <v>50</v>
      </c>
      <c r="E1549" t="s">
        <v>18</v>
      </c>
      <c r="F1549" s="3">
        <v>45563</v>
      </c>
      <c r="G1549" s="3">
        <v>45668</v>
      </c>
      <c r="H1549" s="2">
        <v>8</v>
      </c>
      <c r="I1549" s="1">
        <v>614.24</v>
      </c>
      <c r="J1549" s="1">
        <v>76.78</v>
      </c>
      <c r="K1549" t="s">
        <v>39</v>
      </c>
      <c r="L1549" t="s">
        <v>30</v>
      </c>
      <c r="M1549" s="2">
        <v>8</v>
      </c>
      <c r="N1549" t="s">
        <v>21</v>
      </c>
    </row>
    <row r="1550" spans="1:14" x14ac:dyDescent="0.3">
      <c r="A1550" t="s">
        <v>1586</v>
      </c>
      <c r="B1550" s="2">
        <v>65</v>
      </c>
      <c r="C1550" t="s">
        <v>16</v>
      </c>
      <c r="D1550" t="s">
        <v>42</v>
      </c>
      <c r="E1550" t="s">
        <v>34</v>
      </c>
      <c r="F1550" s="3">
        <v>45445</v>
      </c>
      <c r="G1550" s="3">
        <v>45448</v>
      </c>
      <c r="H1550" s="2">
        <v>5</v>
      </c>
      <c r="I1550" s="1">
        <v>612.79999999999995</v>
      </c>
      <c r="J1550" s="1">
        <v>122.56</v>
      </c>
      <c r="K1550" t="s">
        <v>25</v>
      </c>
      <c r="L1550" t="s">
        <v>30</v>
      </c>
      <c r="M1550" s="2">
        <v>9</v>
      </c>
      <c r="N1550" t="s">
        <v>21</v>
      </c>
    </row>
    <row r="1551" spans="1:14" x14ac:dyDescent="0.3">
      <c r="A1551" t="s">
        <v>1587</v>
      </c>
      <c r="B1551" s="2">
        <v>57</v>
      </c>
      <c r="C1551" t="s">
        <v>23</v>
      </c>
      <c r="D1551" t="s">
        <v>24</v>
      </c>
      <c r="E1551" t="s">
        <v>18</v>
      </c>
      <c r="F1551" s="3">
        <v>45761</v>
      </c>
      <c r="G1551" s="3">
        <v>45873</v>
      </c>
      <c r="H1551" s="2">
        <v>3</v>
      </c>
      <c r="I1551" s="1">
        <v>612.68999999999994</v>
      </c>
      <c r="J1551" s="1">
        <v>204.23</v>
      </c>
      <c r="K1551" t="s">
        <v>25</v>
      </c>
      <c r="L1551" t="s">
        <v>26</v>
      </c>
      <c r="M1551" s="2">
        <v>5</v>
      </c>
      <c r="N1551" t="s">
        <v>21</v>
      </c>
    </row>
    <row r="1552" spans="1:14" x14ac:dyDescent="0.3">
      <c r="A1552" t="s">
        <v>1588</v>
      </c>
      <c r="B1552" s="2">
        <v>21</v>
      </c>
      <c r="C1552" t="s">
        <v>23</v>
      </c>
      <c r="D1552" t="s">
        <v>50</v>
      </c>
      <c r="E1552" t="s">
        <v>18</v>
      </c>
      <c r="F1552" s="3">
        <v>45568</v>
      </c>
      <c r="G1552" s="3">
        <v>45671</v>
      </c>
      <c r="H1552" s="2">
        <v>11</v>
      </c>
      <c r="I1552" s="1">
        <v>611.81999999999994</v>
      </c>
      <c r="J1552" s="1">
        <v>55.62</v>
      </c>
      <c r="K1552" t="s">
        <v>35</v>
      </c>
      <c r="L1552" t="s">
        <v>26</v>
      </c>
      <c r="M1552" s="2">
        <v>7</v>
      </c>
      <c r="N1552" t="s">
        <v>21</v>
      </c>
    </row>
    <row r="1553" spans="1:14" x14ac:dyDescent="0.3">
      <c r="A1553" t="s">
        <v>1589</v>
      </c>
      <c r="B1553" s="2">
        <v>32</v>
      </c>
      <c r="C1553" t="s">
        <v>16</v>
      </c>
      <c r="D1553" t="s">
        <v>61</v>
      </c>
      <c r="E1553" t="s">
        <v>18</v>
      </c>
      <c r="F1553" s="3">
        <v>45332</v>
      </c>
      <c r="G1553" s="3">
        <v>45466</v>
      </c>
      <c r="H1553" s="2">
        <v>3</v>
      </c>
      <c r="I1553" s="1">
        <v>610.38</v>
      </c>
      <c r="J1553" s="1">
        <v>203.46</v>
      </c>
      <c r="K1553" t="s">
        <v>45</v>
      </c>
      <c r="L1553" t="s">
        <v>26</v>
      </c>
      <c r="M1553" s="2">
        <v>8</v>
      </c>
      <c r="N1553" t="s">
        <v>31</v>
      </c>
    </row>
    <row r="1554" spans="1:14" x14ac:dyDescent="0.3">
      <c r="A1554" t="s">
        <v>1590</v>
      </c>
      <c r="B1554" s="2">
        <v>22</v>
      </c>
      <c r="C1554" t="s">
        <v>23</v>
      </c>
      <c r="D1554" t="s">
        <v>28</v>
      </c>
      <c r="E1554" t="s">
        <v>38</v>
      </c>
      <c r="F1554" s="3">
        <v>45740</v>
      </c>
      <c r="G1554" s="3">
        <v>45885</v>
      </c>
      <c r="H1554" s="2">
        <v>4</v>
      </c>
      <c r="I1554" s="1">
        <v>608.48</v>
      </c>
      <c r="J1554" s="1">
        <v>152.12</v>
      </c>
      <c r="K1554" t="s">
        <v>25</v>
      </c>
      <c r="L1554" t="s">
        <v>30</v>
      </c>
      <c r="M1554" s="2">
        <v>10</v>
      </c>
      <c r="N1554" t="s">
        <v>21</v>
      </c>
    </row>
    <row r="1555" spans="1:14" x14ac:dyDescent="0.3">
      <c r="A1555" t="s">
        <v>1591</v>
      </c>
      <c r="B1555" s="2">
        <v>25</v>
      </c>
      <c r="C1555" t="s">
        <v>16</v>
      </c>
      <c r="D1555" t="s">
        <v>50</v>
      </c>
      <c r="E1555" t="s">
        <v>29</v>
      </c>
      <c r="F1555" s="3">
        <v>45906</v>
      </c>
      <c r="G1555" s="3">
        <v>46026</v>
      </c>
      <c r="H1555" s="2">
        <v>12</v>
      </c>
      <c r="I1555" s="1">
        <v>606.84</v>
      </c>
      <c r="J1555" s="1">
        <v>50.57</v>
      </c>
      <c r="K1555" t="s">
        <v>45</v>
      </c>
      <c r="L1555" t="s">
        <v>20</v>
      </c>
      <c r="M1555" s="2">
        <v>6</v>
      </c>
      <c r="N1555" t="s">
        <v>21</v>
      </c>
    </row>
    <row r="1556" spans="1:14" x14ac:dyDescent="0.3">
      <c r="A1556" t="s">
        <v>1592</v>
      </c>
      <c r="B1556" s="2">
        <v>39</v>
      </c>
      <c r="C1556" t="s">
        <v>16</v>
      </c>
      <c r="D1556" t="s">
        <v>50</v>
      </c>
      <c r="E1556" t="s">
        <v>34</v>
      </c>
      <c r="F1556" s="3">
        <v>45661</v>
      </c>
      <c r="G1556" s="3">
        <v>45734</v>
      </c>
      <c r="H1556" s="2">
        <v>3</v>
      </c>
      <c r="I1556" s="1">
        <v>604.26</v>
      </c>
      <c r="J1556" s="1">
        <v>201.42</v>
      </c>
      <c r="K1556" t="s">
        <v>39</v>
      </c>
      <c r="L1556" t="s">
        <v>30</v>
      </c>
      <c r="M1556" s="2">
        <v>1</v>
      </c>
      <c r="N1556" t="s">
        <v>31</v>
      </c>
    </row>
    <row r="1557" spans="1:14" x14ac:dyDescent="0.3">
      <c r="A1557" t="s">
        <v>1593</v>
      </c>
      <c r="B1557" s="2">
        <v>26</v>
      </c>
      <c r="C1557" t="s">
        <v>23</v>
      </c>
      <c r="D1557" t="s">
        <v>50</v>
      </c>
      <c r="E1557" t="s">
        <v>38</v>
      </c>
      <c r="F1557" s="3">
        <v>45442</v>
      </c>
      <c r="G1557" s="3">
        <v>45659</v>
      </c>
      <c r="H1557" s="2">
        <v>14</v>
      </c>
      <c r="I1557" s="1">
        <v>601.30000000000007</v>
      </c>
      <c r="J1557" s="1">
        <v>42.95</v>
      </c>
      <c r="K1557" t="s">
        <v>39</v>
      </c>
      <c r="L1557" t="s">
        <v>26</v>
      </c>
      <c r="M1557" s="2">
        <v>9</v>
      </c>
      <c r="N1557" t="s">
        <v>31</v>
      </c>
    </row>
    <row r="1558" spans="1:14" x14ac:dyDescent="0.3">
      <c r="A1558" t="s">
        <v>1594</v>
      </c>
      <c r="B1558" s="2">
        <v>59</v>
      </c>
      <c r="C1558" t="s">
        <v>16</v>
      </c>
      <c r="D1558" t="s">
        <v>28</v>
      </c>
      <c r="E1558" t="s">
        <v>18</v>
      </c>
      <c r="F1558" s="3">
        <v>45311</v>
      </c>
      <c r="G1558" s="3">
        <v>45587</v>
      </c>
      <c r="H1558" s="2">
        <v>2</v>
      </c>
      <c r="I1558" s="1">
        <v>599.96</v>
      </c>
      <c r="J1558" s="1">
        <v>299.98</v>
      </c>
      <c r="K1558" t="s">
        <v>39</v>
      </c>
      <c r="L1558" t="s">
        <v>30</v>
      </c>
      <c r="M1558" s="2">
        <v>4</v>
      </c>
      <c r="N1558" t="s">
        <v>21</v>
      </c>
    </row>
    <row r="1559" spans="1:14" x14ac:dyDescent="0.3">
      <c r="A1559" t="s">
        <v>1595</v>
      </c>
      <c r="B1559" s="2">
        <v>55</v>
      </c>
      <c r="C1559" t="s">
        <v>23</v>
      </c>
      <c r="D1559" t="s">
        <v>50</v>
      </c>
      <c r="E1559" t="s">
        <v>34</v>
      </c>
      <c r="F1559" s="3">
        <v>45633</v>
      </c>
      <c r="G1559" s="3">
        <v>45826</v>
      </c>
      <c r="H1559" s="2">
        <v>12</v>
      </c>
      <c r="I1559" s="1">
        <v>599.52</v>
      </c>
      <c r="J1559" s="1">
        <v>49.96</v>
      </c>
      <c r="K1559" t="s">
        <v>39</v>
      </c>
      <c r="L1559" t="s">
        <v>20</v>
      </c>
      <c r="M1559" s="2">
        <v>7</v>
      </c>
      <c r="N1559" t="s">
        <v>21</v>
      </c>
    </row>
    <row r="1560" spans="1:14" x14ac:dyDescent="0.3">
      <c r="A1560" t="s">
        <v>1596</v>
      </c>
      <c r="B1560" s="2">
        <v>27</v>
      </c>
      <c r="C1560" t="s">
        <v>16</v>
      </c>
      <c r="D1560" t="s">
        <v>42</v>
      </c>
      <c r="E1560" t="s">
        <v>34</v>
      </c>
      <c r="F1560" s="3">
        <v>45989</v>
      </c>
      <c r="G1560" s="3">
        <v>46201</v>
      </c>
      <c r="H1560" s="2">
        <v>3</v>
      </c>
      <c r="I1560" s="1">
        <v>599.18999999999994</v>
      </c>
      <c r="J1560" s="1">
        <v>199.73</v>
      </c>
      <c r="K1560" t="s">
        <v>45</v>
      </c>
      <c r="L1560" t="s">
        <v>26</v>
      </c>
      <c r="M1560" s="2">
        <v>6</v>
      </c>
      <c r="N1560" t="s">
        <v>21</v>
      </c>
    </row>
    <row r="1561" spans="1:14" x14ac:dyDescent="0.3">
      <c r="A1561" t="s">
        <v>1597</v>
      </c>
      <c r="B1561" s="2">
        <v>23</v>
      </c>
      <c r="C1561" t="s">
        <v>16</v>
      </c>
      <c r="D1561" t="s">
        <v>44</v>
      </c>
      <c r="E1561" t="s">
        <v>34</v>
      </c>
      <c r="F1561" s="3">
        <v>45467</v>
      </c>
      <c r="G1561" s="3">
        <v>45639</v>
      </c>
      <c r="H1561" s="2">
        <v>19</v>
      </c>
      <c r="I1561" s="1">
        <v>599.07000000000005</v>
      </c>
      <c r="J1561" s="1">
        <v>31.53</v>
      </c>
      <c r="K1561" t="s">
        <v>25</v>
      </c>
      <c r="L1561" t="s">
        <v>20</v>
      </c>
      <c r="M1561" s="2">
        <v>7</v>
      </c>
      <c r="N1561" t="s">
        <v>21</v>
      </c>
    </row>
    <row r="1562" spans="1:14" x14ac:dyDescent="0.3">
      <c r="A1562" t="s">
        <v>1598</v>
      </c>
      <c r="B1562" s="2">
        <v>20</v>
      </c>
      <c r="C1562" t="s">
        <v>16</v>
      </c>
      <c r="D1562" t="s">
        <v>28</v>
      </c>
      <c r="E1562" t="s">
        <v>29</v>
      </c>
      <c r="F1562" s="3">
        <v>45630</v>
      </c>
      <c r="G1562" s="3">
        <v>45681</v>
      </c>
      <c r="H1562" s="2">
        <v>2</v>
      </c>
      <c r="I1562" s="1">
        <v>597.94000000000005</v>
      </c>
      <c r="J1562" s="1">
        <v>298.97000000000003</v>
      </c>
      <c r="K1562" t="s">
        <v>25</v>
      </c>
      <c r="L1562" t="s">
        <v>26</v>
      </c>
      <c r="M1562" s="2">
        <v>8</v>
      </c>
      <c r="N1562" t="s">
        <v>31</v>
      </c>
    </row>
    <row r="1563" spans="1:14" x14ac:dyDescent="0.3">
      <c r="A1563" t="s">
        <v>1599</v>
      </c>
      <c r="B1563" s="2">
        <v>44</v>
      </c>
      <c r="C1563" t="s">
        <v>16</v>
      </c>
      <c r="D1563" t="s">
        <v>28</v>
      </c>
      <c r="E1563" t="s">
        <v>18</v>
      </c>
      <c r="F1563" s="3">
        <v>45839</v>
      </c>
      <c r="G1563" s="3">
        <v>45854</v>
      </c>
      <c r="H1563" s="2">
        <v>8</v>
      </c>
      <c r="I1563" s="1">
        <v>597.36</v>
      </c>
      <c r="J1563" s="1">
        <v>74.67</v>
      </c>
      <c r="K1563" t="s">
        <v>25</v>
      </c>
      <c r="L1563" t="s">
        <v>30</v>
      </c>
      <c r="M1563" s="2">
        <v>9</v>
      </c>
      <c r="N1563" t="s">
        <v>21</v>
      </c>
    </row>
    <row r="1564" spans="1:14" x14ac:dyDescent="0.3">
      <c r="A1564" t="s">
        <v>1600</v>
      </c>
      <c r="B1564" s="2">
        <v>65</v>
      </c>
      <c r="C1564" t="s">
        <v>23</v>
      </c>
      <c r="D1564" t="s">
        <v>50</v>
      </c>
      <c r="E1564" t="s">
        <v>38</v>
      </c>
      <c r="F1564" s="3">
        <v>45614</v>
      </c>
      <c r="G1564" s="3">
        <v>45709</v>
      </c>
      <c r="H1564" s="2">
        <v>14</v>
      </c>
      <c r="I1564" s="1">
        <v>596.96</v>
      </c>
      <c r="J1564" s="1">
        <v>42.64</v>
      </c>
      <c r="K1564" t="s">
        <v>39</v>
      </c>
      <c r="L1564" t="s">
        <v>20</v>
      </c>
      <c r="M1564" s="2">
        <v>3</v>
      </c>
      <c r="N1564" t="s">
        <v>21</v>
      </c>
    </row>
    <row r="1565" spans="1:14" x14ac:dyDescent="0.3">
      <c r="A1565" t="s">
        <v>1601</v>
      </c>
      <c r="B1565" s="2">
        <v>53</v>
      </c>
      <c r="C1565" t="s">
        <v>16</v>
      </c>
      <c r="D1565" t="s">
        <v>44</v>
      </c>
      <c r="E1565" t="s">
        <v>38</v>
      </c>
      <c r="F1565" s="3">
        <v>45322</v>
      </c>
      <c r="G1565" s="3">
        <v>45369</v>
      </c>
      <c r="H1565" s="2">
        <v>7</v>
      </c>
      <c r="I1565" s="1">
        <v>596.05000000000007</v>
      </c>
      <c r="J1565" s="1">
        <v>85.15</v>
      </c>
      <c r="K1565" t="s">
        <v>25</v>
      </c>
      <c r="L1565" t="s">
        <v>26</v>
      </c>
      <c r="M1565" s="2">
        <v>10</v>
      </c>
      <c r="N1565" t="s">
        <v>21</v>
      </c>
    </row>
    <row r="1566" spans="1:14" x14ac:dyDescent="0.3">
      <c r="A1566" t="s">
        <v>1602</v>
      </c>
      <c r="B1566" s="2">
        <v>63</v>
      </c>
      <c r="C1566" t="s">
        <v>16</v>
      </c>
      <c r="D1566" t="s">
        <v>44</v>
      </c>
      <c r="E1566" t="s">
        <v>29</v>
      </c>
      <c r="F1566" s="3">
        <v>45814</v>
      </c>
      <c r="G1566" s="3">
        <v>45974</v>
      </c>
      <c r="H1566" s="2">
        <v>4</v>
      </c>
      <c r="I1566" s="1">
        <v>595.84</v>
      </c>
      <c r="J1566" s="1">
        <v>148.96</v>
      </c>
      <c r="K1566" t="s">
        <v>35</v>
      </c>
      <c r="L1566" t="s">
        <v>26</v>
      </c>
      <c r="M1566" s="2">
        <v>7</v>
      </c>
      <c r="N1566" t="s">
        <v>21</v>
      </c>
    </row>
    <row r="1567" spans="1:14" x14ac:dyDescent="0.3">
      <c r="A1567" t="s">
        <v>1603</v>
      </c>
      <c r="B1567" s="2">
        <v>52</v>
      </c>
      <c r="C1567" t="s">
        <v>16</v>
      </c>
      <c r="D1567" t="s">
        <v>50</v>
      </c>
      <c r="E1567" t="s">
        <v>29</v>
      </c>
      <c r="F1567" s="3">
        <v>45449</v>
      </c>
      <c r="G1567" s="3">
        <v>45457</v>
      </c>
      <c r="H1567" s="2">
        <v>14</v>
      </c>
      <c r="I1567" s="1">
        <v>595.69999999999993</v>
      </c>
      <c r="J1567" s="1">
        <v>42.55</v>
      </c>
      <c r="K1567" t="s">
        <v>39</v>
      </c>
      <c r="L1567" t="s">
        <v>20</v>
      </c>
      <c r="M1567" s="2">
        <v>6</v>
      </c>
      <c r="N1567" t="s">
        <v>21</v>
      </c>
    </row>
    <row r="1568" spans="1:14" x14ac:dyDescent="0.3">
      <c r="A1568" t="s">
        <v>1604</v>
      </c>
      <c r="B1568" s="2">
        <v>49</v>
      </c>
      <c r="C1568" t="s">
        <v>16</v>
      </c>
      <c r="D1568" t="s">
        <v>50</v>
      </c>
      <c r="E1568" t="s">
        <v>34</v>
      </c>
      <c r="F1568" s="3">
        <v>45423</v>
      </c>
      <c r="G1568" s="3">
        <v>45537</v>
      </c>
      <c r="H1568" s="2">
        <v>3</v>
      </c>
      <c r="I1568" s="1">
        <v>595.59</v>
      </c>
      <c r="J1568" s="1">
        <v>198.53</v>
      </c>
      <c r="K1568" t="s">
        <v>25</v>
      </c>
      <c r="L1568" t="s">
        <v>20</v>
      </c>
      <c r="M1568" s="2">
        <v>5</v>
      </c>
      <c r="N1568" t="s">
        <v>31</v>
      </c>
    </row>
    <row r="1569" spans="1:14" x14ac:dyDescent="0.3">
      <c r="A1569" t="s">
        <v>1605</v>
      </c>
      <c r="B1569" s="2">
        <v>55</v>
      </c>
      <c r="C1569" t="s">
        <v>16</v>
      </c>
      <c r="D1569" t="s">
        <v>44</v>
      </c>
      <c r="E1569" t="s">
        <v>29</v>
      </c>
      <c r="F1569" s="3">
        <v>45480</v>
      </c>
      <c r="G1569" s="3">
        <v>45626</v>
      </c>
      <c r="H1569" s="2">
        <v>4</v>
      </c>
      <c r="I1569" s="1">
        <v>594.48</v>
      </c>
      <c r="J1569" s="1">
        <v>148.62</v>
      </c>
      <c r="K1569" t="s">
        <v>19</v>
      </c>
      <c r="L1569" t="s">
        <v>20</v>
      </c>
      <c r="M1569" s="2">
        <v>3</v>
      </c>
      <c r="N1569" t="s">
        <v>21</v>
      </c>
    </row>
    <row r="1570" spans="1:14" x14ac:dyDescent="0.3">
      <c r="A1570" t="s">
        <v>1606</v>
      </c>
      <c r="B1570" s="2">
        <v>21</v>
      </c>
      <c r="C1570" t="s">
        <v>23</v>
      </c>
      <c r="D1570" t="s">
        <v>28</v>
      </c>
      <c r="E1570" t="s">
        <v>38</v>
      </c>
      <c r="F1570" s="3">
        <v>45619</v>
      </c>
      <c r="G1570" s="3">
        <v>45909</v>
      </c>
      <c r="H1570" s="2">
        <v>2</v>
      </c>
      <c r="I1570" s="1">
        <v>593.16</v>
      </c>
      <c r="J1570" s="1">
        <v>296.58</v>
      </c>
      <c r="K1570" t="s">
        <v>35</v>
      </c>
      <c r="L1570" t="s">
        <v>30</v>
      </c>
      <c r="M1570" s="2">
        <v>1</v>
      </c>
      <c r="N1570" t="s">
        <v>21</v>
      </c>
    </row>
    <row r="1571" spans="1:14" x14ac:dyDescent="0.3">
      <c r="A1571" t="s">
        <v>1607</v>
      </c>
      <c r="B1571" s="2">
        <v>52</v>
      </c>
      <c r="C1571" t="s">
        <v>16</v>
      </c>
      <c r="D1571" t="s">
        <v>42</v>
      </c>
      <c r="E1571" t="s">
        <v>29</v>
      </c>
      <c r="F1571" s="3">
        <v>45637</v>
      </c>
      <c r="G1571" s="3">
        <v>45842</v>
      </c>
      <c r="H1571" s="2">
        <v>11</v>
      </c>
      <c r="I1571" s="1">
        <v>592.02</v>
      </c>
      <c r="J1571" s="1">
        <v>53.82</v>
      </c>
      <c r="K1571" t="s">
        <v>39</v>
      </c>
      <c r="L1571" t="s">
        <v>20</v>
      </c>
      <c r="M1571" s="2">
        <v>3</v>
      </c>
      <c r="N1571" t="s">
        <v>21</v>
      </c>
    </row>
    <row r="1572" spans="1:14" x14ac:dyDescent="0.3">
      <c r="A1572" t="s">
        <v>1608</v>
      </c>
      <c r="B1572" s="2">
        <v>40</v>
      </c>
      <c r="C1572" t="s">
        <v>23</v>
      </c>
      <c r="D1572" t="s">
        <v>28</v>
      </c>
      <c r="E1572" t="s">
        <v>38</v>
      </c>
      <c r="F1572" s="3">
        <v>45828</v>
      </c>
      <c r="G1572" s="3">
        <v>45904</v>
      </c>
      <c r="H1572" s="2">
        <v>8</v>
      </c>
      <c r="I1572" s="1">
        <v>589.91999999999996</v>
      </c>
      <c r="J1572" s="1">
        <v>73.739999999999995</v>
      </c>
      <c r="K1572" t="s">
        <v>39</v>
      </c>
      <c r="L1572" t="s">
        <v>26</v>
      </c>
      <c r="M1572" s="2">
        <v>7</v>
      </c>
      <c r="N1572" t="s">
        <v>21</v>
      </c>
    </row>
    <row r="1573" spans="1:14" x14ac:dyDescent="0.3">
      <c r="A1573" t="s">
        <v>1609</v>
      </c>
      <c r="B1573" s="2">
        <v>61</v>
      </c>
      <c r="C1573" t="s">
        <v>23</v>
      </c>
      <c r="D1573" t="s">
        <v>61</v>
      </c>
      <c r="E1573" t="s">
        <v>38</v>
      </c>
      <c r="F1573" s="3">
        <v>45562</v>
      </c>
      <c r="G1573" s="3">
        <v>45836</v>
      </c>
      <c r="H1573" s="2">
        <v>4</v>
      </c>
      <c r="I1573" s="1">
        <v>589.36</v>
      </c>
      <c r="J1573" s="1">
        <v>147.34</v>
      </c>
      <c r="K1573" t="s">
        <v>45</v>
      </c>
      <c r="L1573" t="s">
        <v>30</v>
      </c>
      <c r="M1573" s="2">
        <v>4</v>
      </c>
      <c r="N1573" t="s">
        <v>21</v>
      </c>
    </row>
    <row r="1574" spans="1:14" x14ac:dyDescent="0.3">
      <c r="A1574" t="s">
        <v>1610</v>
      </c>
      <c r="B1574" s="2">
        <v>40</v>
      </c>
      <c r="C1574" t="s">
        <v>16</v>
      </c>
      <c r="D1574" t="s">
        <v>44</v>
      </c>
      <c r="E1574" t="s">
        <v>18</v>
      </c>
      <c r="F1574" s="3">
        <v>45674</v>
      </c>
      <c r="G1574" s="3">
        <v>45803</v>
      </c>
      <c r="H1574" s="2">
        <v>24</v>
      </c>
      <c r="I1574" s="1">
        <v>589.20000000000005</v>
      </c>
      <c r="J1574" s="1">
        <v>24.55</v>
      </c>
      <c r="K1574" t="s">
        <v>19</v>
      </c>
      <c r="L1574" t="s">
        <v>20</v>
      </c>
      <c r="M1574" s="2">
        <v>6</v>
      </c>
      <c r="N1574" t="s">
        <v>21</v>
      </c>
    </row>
    <row r="1575" spans="1:14" x14ac:dyDescent="0.3">
      <c r="A1575" t="s">
        <v>1611</v>
      </c>
      <c r="B1575" s="2">
        <v>20</v>
      </c>
      <c r="C1575" t="s">
        <v>23</v>
      </c>
      <c r="D1575" t="s">
        <v>50</v>
      </c>
      <c r="E1575" t="s">
        <v>18</v>
      </c>
      <c r="F1575" s="3">
        <v>45628</v>
      </c>
      <c r="G1575" s="3">
        <v>45711</v>
      </c>
      <c r="H1575" s="2">
        <v>4</v>
      </c>
      <c r="I1575" s="1">
        <v>588.84</v>
      </c>
      <c r="J1575" s="1">
        <v>147.21</v>
      </c>
      <c r="K1575" t="s">
        <v>25</v>
      </c>
      <c r="L1575" t="s">
        <v>20</v>
      </c>
      <c r="M1575" s="2">
        <v>4</v>
      </c>
      <c r="N1575" t="s">
        <v>21</v>
      </c>
    </row>
    <row r="1576" spans="1:14" x14ac:dyDescent="0.3">
      <c r="A1576" t="s">
        <v>1612</v>
      </c>
      <c r="B1576" s="2">
        <v>28</v>
      </c>
      <c r="C1576" t="s">
        <v>23</v>
      </c>
      <c r="D1576" t="s">
        <v>61</v>
      </c>
      <c r="E1576" t="s">
        <v>29</v>
      </c>
      <c r="F1576" s="3">
        <v>45631</v>
      </c>
      <c r="G1576" s="3">
        <v>45864</v>
      </c>
      <c r="H1576" s="2">
        <v>19</v>
      </c>
      <c r="I1576" s="1">
        <v>583.87</v>
      </c>
      <c r="J1576" s="1">
        <v>30.73</v>
      </c>
      <c r="K1576" t="s">
        <v>45</v>
      </c>
      <c r="L1576" t="s">
        <v>26</v>
      </c>
      <c r="M1576" s="2">
        <v>5</v>
      </c>
      <c r="N1576" t="s">
        <v>21</v>
      </c>
    </row>
    <row r="1577" spans="1:14" x14ac:dyDescent="0.3">
      <c r="A1577" t="s">
        <v>1613</v>
      </c>
      <c r="B1577" s="2">
        <v>29</v>
      </c>
      <c r="C1577" t="s">
        <v>23</v>
      </c>
      <c r="D1577" t="s">
        <v>44</v>
      </c>
      <c r="E1577" t="s">
        <v>29</v>
      </c>
      <c r="F1577" s="3">
        <v>45980</v>
      </c>
      <c r="G1577" s="3">
        <v>46048</v>
      </c>
      <c r="H1577" s="2">
        <v>11</v>
      </c>
      <c r="I1577" s="1">
        <v>583</v>
      </c>
      <c r="J1577" s="1">
        <v>53</v>
      </c>
      <c r="K1577" t="s">
        <v>19</v>
      </c>
      <c r="L1577" t="s">
        <v>26</v>
      </c>
      <c r="M1577" s="2">
        <v>7</v>
      </c>
      <c r="N1577" t="s">
        <v>21</v>
      </c>
    </row>
    <row r="1578" spans="1:14" x14ac:dyDescent="0.3">
      <c r="A1578" t="s">
        <v>1614</v>
      </c>
      <c r="B1578" s="2">
        <v>61</v>
      </c>
      <c r="C1578" t="s">
        <v>23</v>
      </c>
      <c r="D1578" t="s">
        <v>50</v>
      </c>
      <c r="E1578" t="s">
        <v>38</v>
      </c>
      <c r="F1578" s="3">
        <v>45309</v>
      </c>
      <c r="G1578" s="3">
        <v>45493</v>
      </c>
      <c r="H1578" s="2">
        <v>2</v>
      </c>
      <c r="I1578" s="1">
        <v>582.98</v>
      </c>
      <c r="J1578" s="1">
        <v>291.49</v>
      </c>
      <c r="K1578" t="s">
        <v>35</v>
      </c>
      <c r="L1578" t="s">
        <v>20</v>
      </c>
      <c r="M1578" s="2">
        <v>10</v>
      </c>
      <c r="N1578" t="s">
        <v>21</v>
      </c>
    </row>
    <row r="1579" spans="1:14" x14ac:dyDescent="0.3">
      <c r="A1579" t="s">
        <v>1615</v>
      </c>
      <c r="B1579" s="2">
        <v>26</v>
      </c>
      <c r="C1579" t="s">
        <v>23</v>
      </c>
      <c r="D1579" t="s">
        <v>28</v>
      </c>
      <c r="E1579" t="s">
        <v>34</v>
      </c>
      <c r="F1579" s="3">
        <v>45297</v>
      </c>
      <c r="G1579" s="3">
        <v>45503</v>
      </c>
      <c r="H1579" s="2">
        <v>2</v>
      </c>
      <c r="I1579" s="1">
        <v>582.46</v>
      </c>
      <c r="J1579" s="1">
        <v>291.23</v>
      </c>
      <c r="K1579" t="s">
        <v>39</v>
      </c>
      <c r="L1579" t="s">
        <v>20</v>
      </c>
      <c r="M1579" s="2">
        <v>4</v>
      </c>
      <c r="N1579" t="s">
        <v>21</v>
      </c>
    </row>
    <row r="1580" spans="1:14" x14ac:dyDescent="0.3">
      <c r="A1580" t="s">
        <v>1616</v>
      </c>
      <c r="B1580" s="2">
        <v>37</v>
      </c>
      <c r="C1580" t="s">
        <v>23</v>
      </c>
      <c r="D1580" t="s">
        <v>24</v>
      </c>
      <c r="E1580" t="s">
        <v>34</v>
      </c>
      <c r="F1580" s="3">
        <v>45472</v>
      </c>
      <c r="G1580" s="3">
        <v>45755</v>
      </c>
      <c r="H1580" s="2">
        <v>2</v>
      </c>
      <c r="I1580" s="1">
        <v>581.79999999999995</v>
      </c>
      <c r="J1580" s="1">
        <v>290.89999999999998</v>
      </c>
      <c r="K1580" t="s">
        <v>35</v>
      </c>
      <c r="L1580" t="s">
        <v>30</v>
      </c>
      <c r="M1580" s="2">
        <v>8</v>
      </c>
      <c r="N1580" t="s">
        <v>21</v>
      </c>
    </row>
    <row r="1581" spans="1:14" x14ac:dyDescent="0.3">
      <c r="A1581" t="s">
        <v>1617</v>
      </c>
      <c r="B1581" s="2">
        <v>36</v>
      </c>
      <c r="C1581" t="s">
        <v>23</v>
      </c>
      <c r="D1581" t="s">
        <v>61</v>
      </c>
      <c r="E1581" t="s">
        <v>38</v>
      </c>
      <c r="F1581" s="3">
        <v>45499</v>
      </c>
      <c r="G1581" s="3">
        <v>45641</v>
      </c>
      <c r="H1581" s="2">
        <v>2</v>
      </c>
      <c r="I1581" s="1">
        <v>577.08000000000004</v>
      </c>
      <c r="J1581" s="1">
        <v>288.54000000000002</v>
      </c>
      <c r="K1581" t="s">
        <v>35</v>
      </c>
      <c r="L1581" t="s">
        <v>26</v>
      </c>
      <c r="M1581" s="2">
        <v>6</v>
      </c>
      <c r="N1581" t="s">
        <v>21</v>
      </c>
    </row>
    <row r="1582" spans="1:14" x14ac:dyDescent="0.3">
      <c r="A1582" t="s">
        <v>1618</v>
      </c>
      <c r="B1582" s="2">
        <v>42</v>
      </c>
      <c r="C1582" t="s">
        <v>16</v>
      </c>
      <c r="D1582" t="s">
        <v>44</v>
      </c>
      <c r="E1582" t="s">
        <v>29</v>
      </c>
      <c r="F1582" s="3">
        <v>45524</v>
      </c>
      <c r="G1582" s="3">
        <v>45740</v>
      </c>
      <c r="H1582" s="2">
        <v>6</v>
      </c>
      <c r="I1582" s="1">
        <v>576.66</v>
      </c>
      <c r="J1582" s="1">
        <v>96.11</v>
      </c>
      <c r="K1582" t="s">
        <v>35</v>
      </c>
      <c r="L1582" t="s">
        <v>20</v>
      </c>
      <c r="M1582" s="2">
        <v>1</v>
      </c>
      <c r="N1582" t="s">
        <v>31</v>
      </c>
    </row>
    <row r="1583" spans="1:14" x14ac:dyDescent="0.3">
      <c r="A1583" t="s">
        <v>1619</v>
      </c>
      <c r="B1583" s="2">
        <v>55</v>
      </c>
      <c r="C1583" t="s">
        <v>23</v>
      </c>
      <c r="D1583" t="s">
        <v>28</v>
      </c>
      <c r="E1583" t="s">
        <v>38</v>
      </c>
      <c r="F1583" s="3">
        <v>45730</v>
      </c>
      <c r="G1583" s="3">
        <v>45943</v>
      </c>
      <c r="H1583" s="2">
        <v>2</v>
      </c>
      <c r="I1583" s="1">
        <v>575.12</v>
      </c>
      <c r="J1583" s="1">
        <v>287.56</v>
      </c>
      <c r="K1583" t="s">
        <v>19</v>
      </c>
      <c r="L1583" t="s">
        <v>26</v>
      </c>
      <c r="M1583" s="2">
        <v>5</v>
      </c>
      <c r="N1583" t="s">
        <v>21</v>
      </c>
    </row>
    <row r="1584" spans="1:14" x14ac:dyDescent="0.3">
      <c r="A1584" t="s">
        <v>1620</v>
      </c>
      <c r="B1584" s="2">
        <v>24</v>
      </c>
      <c r="C1584" t="s">
        <v>16</v>
      </c>
      <c r="D1584" t="s">
        <v>61</v>
      </c>
      <c r="E1584" t="s">
        <v>38</v>
      </c>
      <c r="F1584" s="3">
        <v>45493</v>
      </c>
      <c r="G1584" s="3">
        <v>45737</v>
      </c>
      <c r="H1584" s="2">
        <v>4</v>
      </c>
      <c r="I1584" s="1">
        <v>574.91999999999996</v>
      </c>
      <c r="J1584" s="1">
        <v>143.72999999999999</v>
      </c>
      <c r="K1584" t="s">
        <v>45</v>
      </c>
      <c r="L1584" t="s">
        <v>20</v>
      </c>
      <c r="M1584" s="2">
        <v>1</v>
      </c>
      <c r="N1584" t="s">
        <v>21</v>
      </c>
    </row>
    <row r="1585" spans="1:14" x14ac:dyDescent="0.3">
      <c r="A1585" t="s">
        <v>1621</v>
      </c>
      <c r="B1585" s="2">
        <v>36</v>
      </c>
      <c r="C1585" t="s">
        <v>16</v>
      </c>
      <c r="D1585" t="s">
        <v>61</v>
      </c>
      <c r="E1585" t="s">
        <v>18</v>
      </c>
      <c r="F1585" s="3">
        <v>45773</v>
      </c>
      <c r="G1585" s="3">
        <v>45923</v>
      </c>
      <c r="H1585" s="2">
        <v>20</v>
      </c>
      <c r="I1585" s="1">
        <v>574.4</v>
      </c>
      <c r="J1585" s="1">
        <v>28.72</v>
      </c>
      <c r="K1585" t="s">
        <v>39</v>
      </c>
      <c r="L1585" t="s">
        <v>20</v>
      </c>
      <c r="M1585" s="2">
        <v>4</v>
      </c>
      <c r="N1585" t="s">
        <v>21</v>
      </c>
    </row>
    <row r="1586" spans="1:14" x14ac:dyDescent="0.3">
      <c r="A1586" t="s">
        <v>1622</v>
      </c>
      <c r="B1586" s="2">
        <v>51</v>
      </c>
      <c r="C1586" t="s">
        <v>16</v>
      </c>
      <c r="D1586" t="s">
        <v>42</v>
      </c>
      <c r="E1586" t="s">
        <v>34</v>
      </c>
      <c r="F1586" s="3">
        <v>45666</v>
      </c>
      <c r="G1586" s="3">
        <v>45877</v>
      </c>
      <c r="H1586" s="2">
        <v>9</v>
      </c>
      <c r="I1586" s="1">
        <v>572.4</v>
      </c>
      <c r="J1586" s="1">
        <v>63.6</v>
      </c>
      <c r="K1586" t="s">
        <v>35</v>
      </c>
      <c r="L1586" t="s">
        <v>20</v>
      </c>
      <c r="M1586" s="2">
        <v>1</v>
      </c>
      <c r="N1586" t="s">
        <v>31</v>
      </c>
    </row>
    <row r="1587" spans="1:14" x14ac:dyDescent="0.3">
      <c r="A1587" t="s">
        <v>1623</v>
      </c>
      <c r="B1587" s="2">
        <v>43</v>
      </c>
      <c r="C1587" t="s">
        <v>23</v>
      </c>
      <c r="D1587" t="s">
        <v>44</v>
      </c>
      <c r="E1587" t="s">
        <v>18</v>
      </c>
      <c r="F1587" s="3">
        <v>45519</v>
      </c>
      <c r="G1587" s="3">
        <v>45708</v>
      </c>
      <c r="H1587" s="2">
        <v>3</v>
      </c>
      <c r="I1587" s="1">
        <v>571.59</v>
      </c>
      <c r="J1587" s="1">
        <v>190.53</v>
      </c>
      <c r="K1587" t="s">
        <v>25</v>
      </c>
      <c r="L1587" t="s">
        <v>20</v>
      </c>
      <c r="M1587" s="2">
        <v>8</v>
      </c>
      <c r="N1587" t="s">
        <v>21</v>
      </c>
    </row>
    <row r="1588" spans="1:14" x14ac:dyDescent="0.3">
      <c r="A1588" t="s">
        <v>1624</v>
      </c>
      <c r="B1588" s="2">
        <v>58</v>
      </c>
      <c r="C1588" t="s">
        <v>16</v>
      </c>
      <c r="D1588" t="s">
        <v>28</v>
      </c>
      <c r="E1588" t="s">
        <v>29</v>
      </c>
      <c r="F1588" s="3">
        <v>45400</v>
      </c>
      <c r="G1588" s="3">
        <v>45452</v>
      </c>
      <c r="H1588" s="2">
        <v>18</v>
      </c>
      <c r="I1588" s="1">
        <v>571.5</v>
      </c>
      <c r="J1588" s="1">
        <v>31.75</v>
      </c>
      <c r="K1588" t="s">
        <v>45</v>
      </c>
      <c r="L1588" t="s">
        <v>30</v>
      </c>
      <c r="M1588" s="2">
        <v>5</v>
      </c>
      <c r="N1588" t="s">
        <v>31</v>
      </c>
    </row>
    <row r="1589" spans="1:14" x14ac:dyDescent="0.3">
      <c r="A1589" t="s">
        <v>1625</v>
      </c>
      <c r="B1589" s="2">
        <v>28</v>
      </c>
      <c r="C1589" t="s">
        <v>16</v>
      </c>
      <c r="D1589" t="s">
        <v>17</v>
      </c>
      <c r="E1589" t="s">
        <v>38</v>
      </c>
      <c r="F1589" s="3">
        <v>45678</v>
      </c>
      <c r="G1589" s="3">
        <v>45960</v>
      </c>
      <c r="H1589" s="2">
        <v>16</v>
      </c>
      <c r="I1589" s="1">
        <v>571.36</v>
      </c>
      <c r="J1589" s="1">
        <v>35.71</v>
      </c>
      <c r="K1589" t="s">
        <v>45</v>
      </c>
      <c r="L1589" t="s">
        <v>20</v>
      </c>
      <c r="M1589" s="2">
        <v>2</v>
      </c>
      <c r="N1589" t="s">
        <v>31</v>
      </c>
    </row>
    <row r="1590" spans="1:14" x14ac:dyDescent="0.3">
      <c r="A1590" t="s">
        <v>1626</v>
      </c>
      <c r="B1590" s="2">
        <v>43</v>
      </c>
      <c r="C1590" t="s">
        <v>16</v>
      </c>
      <c r="D1590" t="s">
        <v>44</v>
      </c>
      <c r="E1590" t="s">
        <v>29</v>
      </c>
      <c r="F1590" s="3">
        <v>45899</v>
      </c>
      <c r="G1590" s="3">
        <v>46154</v>
      </c>
      <c r="H1590" s="2">
        <v>3</v>
      </c>
      <c r="I1590" s="1">
        <v>571.31999999999994</v>
      </c>
      <c r="J1590" s="1">
        <v>190.44</v>
      </c>
      <c r="K1590" t="s">
        <v>25</v>
      </c>
      <c r="L1590" t="s">
        <v>30</v>
      </c>
      <c r="M1590" s="2">
        <v>4</v>
      </c>
      <c r="N1590" t="s">
        <v>31</v>
      </c>
    </row>
    <row r="1591" spans="1:14" x14ac:dyDescent="0.3">
      <c r="A1591" t="s">
        <v>1627</v>
      </c>
      <c r="B1591" s="2">
        <v>33</v>
      </c>
      <c r="C1591" t="s">
        <v>23</v>
      </c>
      <c r="D1591" t="s">
        <v>50</v>
      </c>
      <c r="E1591" t="s">
        <v>34</v>
      </c>
      <c r="F1591" s="3">
        <v>45957</v>
      </c>
      <c r="G1591" s="3">
        <v>45975</v>
      </c>
      <c r="H1591" s="2">
        <v>7</v>
      </c>
      <c r="I1591" s="1">
        <v>570.29</v>
      </c>
      <c r="J1591" s="1">
        <v>81.47</v>
      </c>
      <c r="K1591" t="s">
        <v>35</v>
      </c>
      <c r="L1591" t="s">
        <v>26</v>
      </c>
      <c r="M1591" s="2">
        <v>10</v>
      </c>
      <c r="N1591" t="s">
        <v>21</v>
      </c>
    </row>
    <row r="1592" spans="1:14" x14ac:dyDescent="0.3">
      <c r="A1592" t="s">
        <v>1628</v>
      </c>
      <c r="B1592" s="2">
        <v>44</v>
      </c>
      <c r="C1592" t="s">
        <v>23</v>
      </c>
      <c r="D1592" t="s">
        <v>61</v>
      </c>
      <c r="E1592" t="s">
        <v>18</v>
      </c>
      <c r="F1592" s="3">
        <v>45443</v>
      </c>
      <c r="G1592" s="3">
        <v>45698</v>
      </c>
      <c r="H1592" s="2">
        <v>11</v>
      </c>
      <c r="I1592" s="1">
        <v>569.91000000000008</v>
      </c>
      <c r="J1592" s="1">
        <v>51.81</v>
      </c>
      <c r="K1592" t="s">
        <v>35</v>
      </c>
      <c r="L1592" t="s">
        <v>30</v>
      </c>
      <c r="M1592" s="2">
        <v>8</v>
      </c>
      <c r="N1592" t="s">
        <v>21</v>
      </c>
    </row>
    <row r="1593" spans="1:14" x14ac:dyDescent="0.3">
      <c r="A1593" t="s">
        <v>1629</v>
      </c>
      <c r="B1593" s="2">
        <v>36</v>
      </c>
      <c r="C1593" t="s">
        <v>16</v>
      </c>
      <c r="D1593" t="s">
        <v>50</v>
      </c>
      <c r="E1593" t="s">
        <v>38</v>
      </c>
      <c r="F1593" s="3">
        <v>45895</v>
      </c>
      <c r="G1593" s="3">
        <v>46110</v>
      </c>
      <c r="H1593" s="2">
        <v>2</v>
      </c>
      <c r="I1593" s="1">
        <v>564.62</v>
      </c>
      <c r="J1593" s="1">
        <v>282.31</v>
      </c>
      <c r="K1593" t="s">
        <v>39</v>
      </c>
      <c r="L1593" t="s">
        <v>30</v>
      </c>
      <c r="M1593" s="2">
        <v>9</v>
      </c>
      <c r="N1593" t="s">
        <v>21</v>
      </c>
    </row>
    <row r="1594" spans="1:14" x14ac:dyDescent="0.3">
      <c r="A1594" t="s">
        <v>1630</v>
      </c>
      <c r="B1594" s="2">
        <v>20</v>
      </c>
      <c r="C1594" t="s">
        <v>16</v>
      </c>
      <c r="D1594" t="s">
        <v>61</v>
      </c>
      <c r="E1594" t="s">
        <v>34</v>
      </c>
      <c r="F1594" s="3">
        <v>45960</v>
      </c>
      <c r="G1594" s="3">
        <v>46046</v>
      </c>
      <c r="H1594" s="2">
        <v>2</v>
      </c>
      <c r="I1594" s="1">
        <v>563.17999999999995</v>
      </c>
      <c r="J1594" s="1">
        <v>281.58999999999997</v>
      </c>
      <c r="K1594" t="s">
        <v>25</v>
      </c>
      <c r="L1594" t="s">
        <v>26</v>
      </c>
      <c r="M1594" s="2">
        <v>7</v>
      </c>
      <c r="N1594" t="s">
        <v>31</v>
      </c>
    </row>
    <row r="1595" spans="1:14" x14ac:dyDescent="0.3">
      <c r="A1595" t="s">
        <v>1631</v>
      </c>
      <c r="B1595" s="2">
        <v>55</v>
      </c>
      <c r="C1595" t="s">
        <v>23</v>
      </c>
      <c r="D1595" t="s">
        <v>44</v>
      </c>
      <c r="E1595" t="s">
        <v>18</v>
      </c>
      <c r="F1595" s="3">
        <v>45901</v>
      </c>
      <c r="G1595" s="3">
        <v>46182</v>
      </c>
      <c r="H1595" s="2">
        <v>2</v>
      </c>
      <c r="I1595" s="1">
        <v>561.22</v>
      </c>
      <c r="J1595" s="1">
        <v>280.61</v>
      </c>
      <c r="K1595" t="s">
        <v>25</v>
      </c>
      <c r="L1595" t="s">
        <v>20</v>
      </c>
      <c r="M1595" s="2">
        <v>2</v>
      </c>
      <c r="N1595" t="s">
        <v>21</v>
      </c>
    </row>
    <row r="1596" spans="1:14" x14ac:dyDescent="0.3">
      <c r="A1596" t="s">
        <v>1632</v>
      </c>
      <c r="B1596" s="2">
        <v>51</v>
      </c>
      <c r="C1596" t="s">
        <v>16</v>
      </c>
      <c r="D1596" t="s">
        <v>50</v>
      </c>
      <c r="E1596" t="s">
        <v>38</v>
      </c>
      <c r="F1596" s="3">
        <v>45338</v>
      </c>
      <c r="G1596" s="3">
        <v>45410</v>
      </c>
      <c r="H1596" s="2">
        <v>8</v>
      </c>
      <c r="I1596" s="1">
        <v>557.28</v>
      </c>
      <c r="J1596" s="1">
        <v>69.66</v>
      </c>
      <c r="K1596" t="s">
        <v>39</v>
      </c>
      <c r="L1596" t="s">
        <v>30</v>
      </c>
      <c r="M1596" s="2">
        <v>10</v>
      </c>
      <c r="N1596" t="s">
        <v>31</v>
      </c>
    </row>
    <row r="1597" spans="1:14" x14ac:dyDescent="0.3">
      <c r="A1597" t="s">
        <v>1633</v>
      </c>
      <c r="B1597" s="2">
        <v>32</v>
      </c>
      <c r="C1597" t="s">
        <v>16</v>
      </c>
      <c r="D1597" t="s">
        <v>28</v>
      </c>
      <c r="E1597" t="s">
        <v>29</v>
      </c>
      <c r="F1597" s="3">
        <v>45970</v>
      </c>
      <c r="G1597" s="3">
        <v>46069</v>
      </c>
      <c r="H1597" s="2">
        <v>4</v>
      </c>
      <c r="I1597" s="1">
        <v>556.48</v>
      </c>
      <c r="J1597" s="1">
        <v>139.12</v>
      </c>
      <c r="K1597" t="s">
        <v>35</v>
      </c>
      <c r="L1597" t="s">
        <v>20</v>
      </c>
      <c r="M1597" s="2">
        <v>2</v>
      </c>
      <c r="N1597" t="s">
        <v>21</v>
      </c>
    </row>
    <row r="1598" spans="1:14" x14ac:dyDescent="0.3">
      <c r="A1598" t="s">
        <v>1634</v>
      </c>
      <c r="B1598" s="2">
        <v>51</v>
      </c>
      <c r="C1598" t="s">
        <v>23</v>
      </c>
      <c r="D1598" t="s">
        <v>24</v>
      </c>
      <c r="E1598" t="s">
        <v>29</v>
      </c>
      <c r="F1598" s="3">
        <v>45401</v>
      </c>
      <c r="G1598" s="3">
        <v>45618</v>
      </c>
      <c r="H1598" s="2">
        <v>8</v>
      </c>
      <c r="I1598" s="1">
        <v>554</v>
      </c>
      <c r="J1598" s="1">
        <v>69.25</v>
      </c>
      <c r="K1598" t="s">
        <v>39</v>
      </c>
      <c r="L1598" t="s">
        <v>26</v>
      </c>
      <c r="M1598" s="2">
        <v>3</v>
      </c>
      <c r="N1598" t="s">
        <v>21</v>
      </c>
    </row>
    <row r="1599" spans="1:14" x14ac:dyDescent="0.3">
      <c r="A1599" t="s">
        <v>1635</v>
      </c>
      <c r="B1599" s="2">
        <v>19</v>
      </c>
      <c r="C1599" t="s">
        <v>23</v>
      </c>
      <c r="D1599" t="s">
        <v>24</v>
      </c>
      <c r="E1599" t="s">
        <v>34</v>
      </c>
      <c r="F1599" s="3">
        <v>45341</v>
      </c>
      <c r="G1599" s="3">
        <v>45611</v>
      </c>
      <c r="H1599" s="2">
        <v>2</v>
      </c>
      <c r="I1599" s="1">
        <v>551.26</v>
      </c>
      <c r="J1599" s="1">
        <v>275.63</v>
      </c>
      <c r="K1599" t="s">
        <v>19</v>
      </c>
      <c r="L1599" t="s">
        <v>26</v>
      </c>
      <c r="M1599" s="2">
        <v>5</v>
      </c>
      <c r="N1599" t="s">
        <v>21</v>
      </c>
    </row>
    <row r="1600" spans="1:14" x14ac:dyDescent="0.3">
      <c r="A1600" t="s">
        <v>1636</v>
      </c>
      <c r="B1600" s="2">
        <v>50</v>
      </c>
      <c r="C1600" t="s">
        <v>23</v>
      </c>
      <c r="D1600" t="s">
        <v>28</v>
      </c>
      <c r="E1600" t="s">
        <v>29</v>
      </c>
      <c r="F1600" s="3">
        <v>45737</v>
      </c>
      <c r="G1600" s="3">
        <v>45913</v>
      </c>
      <c r="H1600" s="2">
        <v>3</v>
      </c>
      <c r="I1600" s="1">
        <v>549.48</v>
      </c>
      <c r="J1600" s="1">
        <v>183.16</v>
      </c>
      <c r="K1600" t="s">
        <v>45</v>
      </c>
      <c r="L1600" t="s">
        <v>30</v>
      </c>
      <c r="M1600" s="2">
        <v>6</v>
      </c>
      <c r="N1600" t="s">
        <v>21</v>
      </c>
    </row>
    <row r="1601" spans="1:14" x14ac:dyDescent="0.3">
      <c r="A1601" t="s">
        <v>1637</v>
      </c>
      <c r="B1601" s="2">
        <v>40</v>
      </c>
      <c r="C1601" t="s">
        <v>23</v>
      </c>
      <c r="D1601" t="s">
        <v>50</v>
      </c>
      <c r="E1601" t="s">
        <v>38</v>
      </c>
      <c r="F1601" s="3">
        <v>45423</v>
      </c>
      <c r="G1601" s="3">
        <v>45579</v>
      </c>
      <c r="H1601" s="2">
        <v>24</v>
      </c>
      <c r="I1601" s="1">
        <v>545.04</v>
      </c>
      <c r="J1601" s="1">
        <v>22.71</v>
      </c>
      <c r="K1601" t="s">
        <v>35</v>
      </c>
      <c r="L1601" t="s">
        <v>20</v>
      </c>
      <c r="M1601" s="2">
        <v>7</v>
      </c>
      <c r="N1601" t="s">
        <v>21</v>
      </c>
    </row>
    <row r="1602" spans="1:14" x14ac:dyDescent="0.3">
      <c r="A1602" t="s">
        <v>1638</v>
      </c>
      <c r="B1602" s="2">
        <v>58</v>
      </c>
      <c r="C1602" t="s">
        <v>16</v>
      </c>
      <c r="D1602" t="s">
        <v>24</v>
      </c>
      <c r="E1602" t="s">
        <v>29</v>
      </c>
      <c r="F1602" s="3">
        <v>45976</v>
      </c>
      <c r="G1602" s="3">
        <v>46000</v>
      </c>
      <c r="H1602" s="2">
        <v>25</v>
      </c>
      <c r="I1602" s="1">
        <v>544.75</v>
      </c>
      <c r="J1602" s="1">
        <v>21.79</v>
      </c>
      <c r="K1602" t="s">
        <v>39</v>
      </c>
      <c r="L1602" t="s">
        <v>30</v>
      </c>
      <c r="M1602" s="2">
        <v>9</v>
      </c>
      <c r="N1602" t="s">
        <v>31</v>
      </c>
    </row>
    <row r="1603" spans="1:14" x14ac:dyDescent="0.3">
      <c r="A1603" t="s">
        <v>1639</v>
      </c>
      <c r="B1603" s="2">
        <v>42</v>
      </c>
      <c r="C1603" t="s">
        <v>23</v>
      </c>
      <c r="D1603" t="s">
        <v>28</v>
      </c>
      <c r="E1603" t="s">
        <v>34</v>
      </c>
      <c r="F1603" s="3">
        <v>45865</v>
      </c>
      <c r="G1603" s="3">
        <v>46005</v>
      </c>
      <c r="H1603" s="2">
        <v>10</v>
      </c>
      <c r="I1603" s="1">
        <v>541.19999999999993</v>
      </c>
      <c r="J1603" s="1">
        <v>54.12</v>
      </c>
      <c r="K1603" t="s">
        <v>25</v>
      </c>
      <c r="L1603" t="s">
        <v>26</v>
      </c>
      <c r="M1603" s="2">
        <v>1</v>
      </c>
      <c r="N1603" t="s">
        <v>21</v>
      </c>
    </row>
    <row r="1604" spans="1:14" x14ac:dyDescent="0.3">
      <c r="A1604" t="s">
        <v>1640</v>
      </c>
      <c r="B1604" s="2">
        <v>58</v>
      </c>
      <c r="C1604" t="s">
        <v>23</v>
      </c>
      <c r="D1604" t="s">
        <v>50</v>
      </c>
      <c r="E1604" t="s">
        <v>18</v>
      </c>
      <c r="F1604" s="3">
        <v>45933</v>
      </c>
      <c r="G1604" s="3">
        <v>46182</v>
      </c>
      <c r="H1604" s="2">
        <v>18</v>
      </c>
      <c r="I1604" s="1">
        <v>540.9</v>
      </c>
      <c r="J1604" s="1">
        <v>30.05</v>
      </c>
      <c r="K1604" t="s">
        <v>35</v>
      </c>
      <c r="L1604" t="s">
        <v>30</v>
      </c>
      <c r="M1604" s="2">
        <v>2</v>
      </c>
      <c r="N1604" t="s">
        <v>31</v>
      </c>
    </row>
    <row r="1605" spans="1:14" x14ac:dyDescent="0.3">
      <c r="A1605" t="s">
        <v>1641</v>
      </c>
      <c r="B1605" s="2">
        <v>27</v>
      </c>
      <c r="C1605" t="s">
        <v>16</v>
      </c>
      <c r="D1605" t="s">
        <v>42</v>
      </c>
      <c r="E1605" t="s">
        <v>34</v>
      </c>
      <c r="F1605" s="3">
        <v>45906</v>
      </c>
      <c r="G1605" s="3">
        <v>45921</v>
      </c>
      <c r="H1605" s="2">
        <v>14</v>
      </c>
      <c r="I1605" s="1">
        <v>539.98</v>
      </c>
      <c r="J1605" s="1">
        <v>38.57</v>
      </c>
      <c r="K1605" t="s">
        <v>35</v>
      </c>
      <c r="L1605" t="s">
        <v>26</v>
      </c>
      <c r="M1605" s="2">
        <v>8</v>
      </c>
      <c r="N1605" t="s">
        <v>31</v>
      </c>
    </row>
    <row r="1606" spans="1:14" x14ac:dyDescent="0.3">
      <c r="A1606" t="s">
        <v>1642</v>
      </c>
      <c r="B1606" s="2">
        <v>28</v>
      </c>
      <c r="C1606" t="s">
        <v>23</v>
      </c>
      <c r="D1606" t="s">
        <v>50</v>
      </c>
      <c r="E1606" t="s">
        <v>38</v>
      </c>
      <c r="F1606" s="3">
        <v>45429</v>
      </c>
      <c r="G1606" s="3">
        <v>45691</v>
      </c>
      <c r="H1606" s="2">
        <v>2</v>
      </c>
      <c r="I1606" s="1">
        <v>538.86</v>
      </c>
      <c r="J1606" s="1">
        <v>269.43</v>
      </c>
      <c r="K1606" t="s">
        <v>19</v>
      </c>
      <c r="L1606" t="s">
        <v>20</v>
      </c>
      <c r="M1606" s="2">
        <v>1</v>
      </c>
      <c r="N1606" t="s">
        <v>31</v>
      </c>
    </row>
    <row r="1607" spans="1:14" x14ac:dyDescent="0.3">
      <c r="A1607" t="s">
        <v>1643</v>
      </c>
      <c r="B1607" s="2">
        <v>42</v>
      </c>
      <c r="C1607" t="s">
        <v>16</v>
      </c>
      <c r="D1607" t="s">
        <v>50</v>
      </c>
      <c r="E1607" t="s">
        <v>18</v>
      </c>
      <c r="F1607" s="3">
        <v>45930</v>
      </c>
      <c r="G1607" s="3">
        <v>46150</v>
      </c>
      <c r="H1607" s="2">
        <v>2</v>
      </c>
      <c r="I1607" s="1">
        <v>538.78</v>
      </c>
      <c r="J1607" s="1">
        <v>269.39</v>
      </c>
      <c r="K1607" t="s">
        <v>25</v>
      </c>
      <c r="L1607" t="s">
        <v>20</v>
      </c>
      <c r="M1607" s="2">
        <v>8</v>
      </c>
      <c r="N1607" t="s">
        <v>21</v>
      </c>
    </row>
    <row r="1608" spans="1:14" x14ac:dyDescent="0.3">
      <c r="A1608" t="s">
        <v>1644</v>
      </c>
      <c r="B1608" s="2">
        <v>36</v>
      </c>
      <c r="C1608" t="s">
        <v>16</v>
      </c>
      <c r="D1608" t="s">
        <v>50</v>
      </c>
      <c r="E1608" t="s">
        <v>18</v>
      </c>
      <c r="F1608" s="3">
        <v>45854</v>
      </c>
      <c r="G1608" s="3">
        <v>46017</v>
      </c>
      <c r="H1608" s="2">
        <v>9</v>
      </c>
      <c r="I1608" s="1">
        <v>536.76</v>
      </c>
      <c r="J1608" s="1">
        <v>59.64</v>
      </c>
      <c r="K1608" t="s">
        <v>45</v>
      </c>
      <c r="L1608" t="s">
        <v>20</v>
      </c>
      <c r="M1608" s="2">
        <v>6</v>
      </c>
      <c r="N1608" t="s">
        <v>21</v>
      </c>
    </row>
    <row r="1609" spans="1:14" x14ac:dyDescent="0.3">
      <c r="A1609" t="s">
        <v>1645</v>
      </c>
      <c r="B1609" s="2">
        <v>22</v>
      </c>
      <c r="C1609" t="s">
        <v>16</v>
      </c>
      <c r="D1609" t="s">
        <v>44</v>
      </c>
      <c r="E1609" t="s">
        <v>18</v>
      </c>
      <c r="F1609" s="3">
        <v>45910</v>
      </c>
      <c r="G1609" s="3">
        <v>46079</v>
      </c>
      <c r="H1609" s="2">
        <v>6</v>
      </c>
      <c r="I1609" s="1">
        <v>531.36</v>
      </c>
      <c r="J1609" s="1">
        <v>88.56</v>
      </c>
      <c r="K1609" t="s">
        <v>35</v>
      </c>
      <c r="L1609" t="s">
        <v>20</v>
      </c>
      <c r="M1609" s="2">
        <v>8</v>
      </c>
      <c r="N1609" t="s">
        <v>21</v>
      </c>
    </row>
    <row r="1610" spans="1:14" x14ac:dyDescent="0.3">
      <c r="A1610" t="s">
        <v>1646</v>
      </c>
      <c r="B1610" s="2">
        <v>28</v>
      </c>
      <c r="C1610" t="s">
        <v>16</v>
      </c>
      <c r="D1610" t="s">
        <v>61</v>
      </c>
      <c r="E1610" t="s">
        <v>34</v>
      </c>
      <c r="F1610" s="3">
        <v>45553</v>
      </c>
      <c r="G1610" s="3">
        <v>45598</v>
      </c>
      <c r="H1610" s="2">
        <v>5</v>
      </c>
      <c r="I1610" s="1">
        <v>529.5</v>
      </c>
      <c r="J1610" s="1">
        <v>105.9</v>
      </c>
      <c r="K1610" t="s">
        <v>25</v>
      </c>
      <c r="L1610" t="s">
        <v>30</v>
      </c>
      <c r="M1610" s="2">
        <v>1</v>
      </c>
      <c r="N1610" t="s">
        <v>21</v>
      </c>
    </row>
    <row r="1611" spans="1:14" x14ac:dyDescent="0.3">
      <c r="A1611" t="s">
        <v>1647</v>
      </c>
      <c r="B1611" s="2">
        <v>21</v>
      </c>
      <c r="C1611" t="s">
        <v>16</v>
      </c>
      <c r="D1611" t="s">
        <v>42</v>
      </c>
      <c r="E1611" t="s">
        <v>38</v>
      </c>
      <c r="F1611" s="3">
        <v>45927</v>
      </c>
      <c r="G1611" s="3">
        <v>46154</v>
      </c>
      <c r="H1611" s="2">
        <v>6</v>
      </c>
      <c r="I1611" s="1">
        <v>528.48</v>
      </c>
      <c r="J1611" s="1">
        <v>88.08</v>
      </c>
      <c r="K1611" t="s">
        <v>19</v>
      </c>
      <c r="L1611" t="s">
        <v>20</v>
      </c>
      <c r="M1611" s="2">
        <v>6</v>
      </c>
      <c r="N1611" t="s">
        <v>21</v>
      </c>
    </row>
    <row r="1612" spans="1:14" x14ac:dyDescent="0.3">
      <c r="A1612" t="s">
        <v>1648</v>
      </c>
      <c r="B1612" s="2">
        <v>57</v>
      </c>
      <c r="C1612" t="s">
        <v>16</v>
      </c>
      <c r="D1612" t="s">
        <v>17</v>
      </c>
      <c r="E1612" t="s">
        <v>34</v>
      </c>
      <c r="F1612" s="3">
        <v>45646</v>
      </c>
      <c r="G1612" s="3">
        <v>45850</v>
      </c>
      <c r="H1612" s="2">
        <v>3</v>
      </c>
      <c r="I1612" s="1">
        <v>527.43000000000006</v>
      </c>
      <c r="J1612" s="1">
        <v>175.81</v>
      </c>
      <c r="K1612" t="s">
        <v>35</v>
      </c>
      <c r="L1612" t="s">
        <v>26</v>
      </c>
      <c r="M1612" s="2">
        <v>2</v>
      </c>
      <c r="N1612" t="s">
        <v>21</v>
      </c>
    </row>
    <row r="1613" spans="1:14" x14ac:dyDescent="0.3">
      <c r="A1613" t="s">
        <v>1649</v>
      </c>
      <c r="B1613" s="2">
        <v>41</v>
      </c>
      <c r="C1613" t="s">
        <v>16</v>
      </c>
      <c r="D1613" t="s">
        <v>42</v>
      </c>
      <c r="E1613" t="s">
        <v>38</v>
      </c>
      <c r="F1613" s="3">
        <v>45309</v>
      </c>
      <c r="G1613" s="3">
        <v>45372</v>
      </c>
      <c r="H1613" s="2">
        <v>2</v>
      </c>
      <c r="I1613" s="1">
        <v>525.91999999999996</v>
      </c>
      <c r="J1613" s="1">
        <v>262.95999999999998</v>
      </c>
      <c r="K1613" t="s">
        <v>19</v>
      </c>
      <c r="L1613" t="s">
        <v>30</v>
      </c>
      <c r="M1613" s="2">
        <v>7</v>
      </c>
      <c r="N1613" t="s">
        <v>21</v>
      </c>
    </row>
    <row r="1614" spans="1:14" x14ac:dyDescent="0.3">
      <c r="A1614" t="s">
        <v>1650</v>
      </c>
      <c r="B1614" s="2">
        <v>58</v>
      </c>
      <c r="C1614" t="s">
        <v>16</v>
      </c>
      <c r="D1614" t="s">
        <v>50</v>
      </c>
      <c r="E1614" t="s">
        <v>18</v>
      </c>
      <c r="F1614" s="3">
        <v>45883</v>
      </c>
      <c r="G1614" s="3">
        <v>45983</v>
      </c>
      <c r="H1614" s="2">
        <v>23</v>
      </c>
      <c r="I1614" s="1">
        <v>525.78</v>
      </c>
      <c r="J1614" s="1">
        <v>22.86</v>
      </c>
      <c r="K1614" t="s">
        <v>25</v>
      </c>
      <c r="L1614" t="s">
        <v>30</v>
      </c>
      <c r="M1614" s="2">
        <v>5</v>
      </c>
      <c r="N1614" t="s">
        <v>31</v>
      </c>
    </row>
    <row r="1615" spans="1:14" x14ac:dyDescent="0.3">
      <c r="A1615" t="s">
        <v>1651</v>
      </c>
      <c r="B1615" s="2">
        <v>63</v>
      </c>
      <c r="C1615" t="s">
        <v>16</v>
      </c>
      <c r="D1615" t="s">
        <v>42</v>
      </c>
      <c r="E1615" t="s">
        <v>34</v>
      </c>
      <c r="F1615" s="3">
        <v>45419</v>
      </c>
      <c r="G1615" s="3">
        <v>45684</v>
      </c>
      <c r="H1615" s="2">
        <v>5</v>
      </c>
      <c r="I1615" s="1">
        <v>525.75</v>
      </c>
      <c r="J1615" s="1">
        <v>105.15</v>
      </c>
      <c r="K1615" t="s">
        <v>39</v>
      </c>
      <c r="L1615" t="s">
        <v>26</v>
      </c>
      <c r="M1615" s="2">
        <v>4</v>
      </c>
      <c r="N1615" t="s">
        <v>31</v>
      </c>
    </row>
    <row r="1616" spans="1:14" x14ac:dyDescent="0.3">
      <c r="A1616" t="s">
        <v>1652</v>
      </c>
      <c r="B1616" s="2">
        <v>35</v>
      </c>
      <c r="C1616" t="s">
        <v>16</v>
      </c>
      <c r="D1616" t="s">
        <v>44</v>
      </c>
      <c r="E1616" t="s">
        <v>18</v>
      </c>
      <c r="F1616" s="3">
        <v>45498</v>
      </c>
      <c r="G1616" s="3">
        <v>45579</v>
      </c>
      <c r="H1616" s="2">
        <v>9</v>
      </c>
      <c r="I1616" s="1">
        <v>523.80000000000007</v>
      </c>
      <c r="J1616" s="1">
        <v>58.2</v>
      </c>
      <c r="K1616" t="s">
        <v>35</v>
      </c>
      <c r="L1616" t="s">
        <v>30</v>
      </c>
      <c r="M1616" s="2">
        <v>1</v>
      </c>
      <c r="N1616" t="s">
        <v>21</v>
      </c>
    </row>
    <row r="1617" spans="1:14" x14ac:dyDescent="0.3">
      <c r="A1617" t="s">
        <v>1653</v>
      </c>
      <c r="B1617" s="2">
        <v>25</v>
      </c>
      <c r="C1617" t="s">
        <v>16</v>
      </c>
      <c r="D1617" t="s">
        <v>44</v>
      </c>
      <c r="E1617" t="s">
        <v>38</v>
      </c>
      <c r="F1617" s="3">
        <v>45495</v>
      </c>
      <c r="G1617" s="3">
        <v>45679</v>
      </c>
      <c r="H1617" s="2">
        <v>2</v>
      </c>
      <c r="I1617" s="1">
        <v>523.64</v>
      </c>
      <c r="J1617" s="1">
        <v>261.82</v>
      </c>
      <c r="K1617" t="s">
        <v>45</v>
      </c>
      <c r="L1617" t="s">
        <v>30</v>
      </c>
      <c r="M1617" s="2">
        <v>3</v>
      </c>
      <c r="N1617" t="s">
        <v>21</v>
      </c>
    </row>
    <row r="1618" spans="1:14" x14ac:dyDescent="0.3">
      <c r="A1618" t="s">
        <v>1654</v>
      </c>
      <c r="B1618" s="2">
        <v>20</v>
      </c>
      <c r="C1618" t="s">
        <v>23</v>
      </c>
      <c r="D1618" t="s">
        <v>44</v>
      </c>
      <c r="E1618" t="s">
        <v>29</v>
      </c>
      <c r="F1618" s="3">
        <v>45574</v>
      </c>
      <c r="G1618" s="3">
        <v>45873</v>
      </c>
      <c r="H1618" s="2">
        <v>4</v>
      </c>
      <c r="I1618" s="1">
        <v>523.32000000000005</v>
      </c>
      <c r="J1618" s="1">
        <v>130.83000000000001</v>
      </c>
      <c r="K1618" t="s">
        <v>45</v>
      </c>
      <c r="L1618" t="s">
        <v>30</v>
      </c>
      <c r="M1618" s="2">
        <v>4</v>
      </c>
      <c r="N1618" t="s">
        <v>21</v>
      </c>
    </row>
    <row r="1619" spans="1:14" x14ac:dyDescent="0.3">
      <c r="A1619" t="s">
        <v>1655</v>
      </c>
      <c r="B1619" s="2">
        <v>54</v>
      </c>
      <c r="C1619" t="s">
        <v>23</v>
      </c>
      <c r="D1619" t="s">
        <v>17</v>
      </c>
      <c r="E1619" t="s">
        <v>34</v>
      </c>
      <c r="F1619" s="3">
        <v>45438</v>
      </c>
      <c r="G1619" s="3">
        <v>45455</v>
      </c>
      <c r="H1619" s="2">
        <v>8</v>
      </c>
      <c r="I1619" s="1">
        <v>522.64</v>
      </c>
      <c r="J1619" s="1">
        <v>65.33</v>
      </c>
      <c r="K1619" t="s">
        <v>25</v>
      </c>
      <c r="L1619" t="s">
        <v>20</v>
      </c>
      <c r="M1619" s="2">
        <v>10</v>
      </c>
      <c r="N1619" t="s">
        <v>21</v>
      </c>
    </row>
    <row r="1620" spans="1:14" x14ac:dyDescent="0.3">
      <c r="A1620" t="s">
        <v>1656</v>
      </c>
      <c r="B1620" s="2">
        <v>54</v>
      </c>
      <c r="C1620" t="s">
        <v>16</v>
      </c>
      <c r="D1620" t="s">
        <v>28</v>
      </c>
      <c r="E1620" t="s">
        <v>29</v>
      </c>
      <c r="F1620" s="3">
        <v>45613</v>
      </c>
      <c r="G1620" s="3">
        <v>45754</v>
      </c>
      <c r="H1620" s="2">
        <v>16</v>
      </c>
      <c r="I1620" s="1">
        <v>521.76</v>
      </c>
      <c r="J1620" s="1">
        <v>32.61</v>
      </c>
      <c r="K1620" t="s">
        <v>39</v>
      </c>
      <c r="L1620" t="s">
        <v>26</v>
      </c>
      <c r="M1620" s="2">
        <v>2</v>
      </c>
      <c r="N1620" t="s">
        <v>21</v>
      </c>
    </row>
    <row r="1621" spans="1:14" x14ac:dyDescent="0.3">
      <c r="A1621" t="s">
        <v>1657</v>
      </c>
      <c r="B1621" s="2">
        <v>33</v>
      </c>
      <c r="C1621" t="s">
        <v>23</v>
      </c>
      <c r="D1621" t="s">
        <v>17</v>
      </c>
      <c r="E1621" t="s">
        <v>29</v>
      </c>
      <c r="F1621" s="3">
        <v>45542</v>
      </c>
      <c r="G1621" s="3">
        <v>45708</v>
      </c>
      <c r="H1621" s="2">
        <v>2</v>
      </c>
      <c r="I1621" s="1">
        <v>520.38</v>
      </c>
      <c r="J1621" s="1">
        <v>260.19</v>
      </c>
      <c r="K1621" t="s">
        <v>35</v>
      </c>
      <c r="L1621" t="s">
        <v>20</v>
      </c>
      <c r="M1621" s="2">
        <v>1</v>
      </c>
      <c r="N1621" t="s">
        <v>21</v>
      </c>
    </row>
    <row r="1622" spans="1:14" x14ac:dyDescent="0.3">
      <c r="A1622" t="s">
        <v>1658</v>
      </c>
      <c r="B1622" s="2">
        <v>42</v>
      </c>
      <c r="C1622" t="s">
        <v>16</v>
      </c>
      <c r="D1622" t="s">
        <v>50</v>
      </c>
      <c r="E1622" t="s">
        <v>34</v>
      </c>
      <c r="F1622" s="3">
        <v>45691</v>
      </c>
      <c r="G1622" s="3">
        <v>45848</v>
      </c>
      <c r="H1622" s="2">
        <v>15</v>
      </c>
      <c r="I1622" s="1">
        <v>520.20000000000005</v>
      </c>
      <c r="J1622" s="1">
        <v>34.68</v>
      </c>
      <c r="K1622" t="s">
        <v>25</v>
      </c>
      <c r="L1622" t="s">
        <v>30</v>
      </c>
      <c r="M1622" s="2">
        <v>2</v>
      </c>
      <c r="N1622" t="s">
        <v>31</v>
      </c>
    </row>
    <row r="1623" spans="1:14" x14ac:dyDescent="0.3">
      <c r="A1623" t="s">
        <v>1659</v>
      </c>
      <c r="B1623" s="2">
        <v>27</v>
      </c>
      <c r="C1623" t="s">
        <v>23</v>
      </c>
      <c r="D1623" t="s">
        <v>50</v>
      </c>
      <c r="E1623" t="s">
        <v>34</v>
      </c>
      <c r="F1623" s="3">
        <v>45839</v>
      </c>
      <c r="G1623" s="3">
        <v>45949</v>
      </c>
      <c r="H1623" s="2">
        <v>3</v>
      </c>
      <c r="I1623" s="1">
        <v>519.90000000000009</v>
      </c>
      <c r="J1623" s="1">
        <v>173.3</v>
      </c>
      <c r="K1623" t="s">
        <v>45</v>
      </c>
      <c r="L1623" t="s">
        <v>26</v>
      </c>
      <c r="M1623" s="2">
        <v>1</v>
      </c>
      <c r="N1623" t="s">
        <v>21</v>
      </c>
    </row>
    <row r="1624" spans="1:14" x14ac:dyDescent="0.3">
      <c r="A1624" t="s">
        <v>1660</v>
      </c>
      <c r="B1624" s="2">
        <v>30</v>
      </c>
      <c r="C1624" t="s">
        <v>16</v>
      </c>
      <c r="D1624" t="s">
        <v>28</v>
      </c>
      <c r="E1624" t="s">
        <v>34</v>
      </c>
      <c r="F1624" s="3">
        <v>45924</v>
      </c>
      <c r="G1624" s="3">
        <v>45984</v>
      </c>
      <c r="H1624" s="2">
        <v>10</v>
      </c>
      <c r="I1624" s="1">
        <v>519.20000000000005</v>
      </c>
      <c r="J1624" s="1">
        <v>51.92</v>
      </c>
      <c r="K1624" t="s">
        <v>19</v>
      </c>
      <c r="L1624" t="s">
        <v>30</v>
      </c>
      <c r="M1624" s="2">
        <v>6</v>
      </c>
      <c r="N1624" t="s">
        <v>31</v>
      </c>
    </row>
    <row r="1625" spans="1:14" x14ac:dyDescent="0.3">
      <c r="A1625" t="s">
        <v>1661</v>
      </c>
      <c r="B1625" s="2">
        <v>53</v>
      </c>
      <c r="C1625" t="s">
        <v>23</v>
      </c>
      <c r="D1625" t="s">
        <v>44</v>
      </c>
      <c r="E1625" t="s">
        <v>18</v>
      </c>
      <c r="F1625" s="3">
        <v>45979</v>
      </c>
      <c r="G1625" s="3">
        <v>46269</v>
      </c>
      <c r="H1625" s="2">
        <v>2</v>
      </c>
      <c r="I1625" s="1">
        <v>516.78</v>
      </c>
      <c r="J1625" s="1">
        <v>258.39</v>
      </c>
      <c r="K1625" t="s">
        <v>45</v>
      </c>
      <c r="L1625" t="s">
        <v>20</v>
      </c>
      <c r="M1625" s="2">
        <v>2</v>
      </c>
      <c r="N1625" t="s">
        <v>21</v>
      </c>
    </row>
    <row r="1626" spans="1:14" x14ac:dyDescent="0.3">
      <c r="A1626" t="s">
        <v>1662</v>
      </c>
      <c r="B1626" s="2">
        <v>46</v>
      </c>
      <c r="C1626" t="s">
        <v>23</v>
      </c>
      <c r="D1626" t="s">
        <v>17</v>
      </c>
      <c r="E1626" t="s">
        <v>29</v>
      </c>
      <c r="F1626" s="3">
        <v>45385</v>
      </c>
      <c r="G1626" s="3">
        <v>45567</v>
      </c>
      <c r="H1626" s="2">
        <v>6</v>
      </c>
      <c r="I1626" s="1">
        <v>515.28</v>
      </c>
      <c r="J1626" s="1">
        <v>85.88</v>
      </c>
      <c r="K1626" t="s">
        <v>19</v>
      </c>
      <c r="L1626" t="s">
        <v>20</v>
      </c>
      <c r="M1626" s="2">
        <v>3</v>
      </c>
      <c r="N1626" t="s">
        <v>21</v>
      </c>
    </row>
    <row r="1627" spans="1:14" x14ac:dyDescent="0.3">
      <c r="A1627" t="s">
        <v>1663</v>
      </c>
      <c r="B1627" s="2">
        <v>45</v>
      </c>
      <c r="C1627" t="s">
        <v>16</v>
      </c>
      <c r="D1627" t="s">
        <v>42</v>
      </c>
      <c r="E1627" t="s">
        <v>38</v>
      </c>
      <c r="F1627" s="3">
        <v>45403</v>
      </c>
      <c r="G1627" s="3">
        <v>45530</v>
      </c>
      <c r="H1627" s="2">
        <v>7</v>
      </c>
      <c r="I1627" s="1">
        <v>512.82000000000005</v>
      </c>
      <c r="J1627" s="1">
        <v>73.260000000000005</v>
      </c>
      <c r="K1627" t="s">
        <v>25</v>
      </c>
      <c r="L1627" t="s">
        <v>30</v>
      </c>
      <c r="M1627" s="2">
        <v>8</v>
      </c>
      <c r="N1627" t="s">
        <v>21</v>
      </c>
    </row>
    <row r="1628" spans="1:14" x14ac:dyDescent="0.3">
      <c r="A1628" t="s">
        <v>1664</v>
      </c>
      <c r="B1628" s="2">
        <v>46</v>
      </c>
      <c r="C1628" t="s">
        <v>23</v>
      </c>
      <c r="D1628" t="s">
        <v>17</v>
      </c>
      <c r="E1628" t="s">
        <v>38</v>
      </c>
      <c r="F1628" s="3">
        <v>45413</v>
      </c>
      <c r="G1628" s="3">
        <v>45502</v>
      </c>
      <c r="H1628" s="2">
        <v>5</v>
      </c>
      <c r="I1628" s="1">
        <v>511.75</v>
      </c>
      <c r="J1628" s="1">
        <v>102.35</v>
      </c>
      <c r="K1628" t="s">
        <v>45</v>
      </c>
      <c r="L1628" t="s">
        <v>26</v>
      </c>
      <c r="M1628" s="2">
        <v>3</v>
      </c>
      <c r="N1628" t="s">
        <v>21</v>
      </c>
    </row>
    <row r="1629" spans="1:14" x14ac:dyDescent="0.3">
      <c r="A1629" t="s">
        <v>1665</v>
      </c>
      <c r="B1629" s="2">
        <v>28</v>
      </c>
      <c r="C1629" t="s">
        <v>16</v>
      </c>
      <c r="D1629" t="s">
        <v>61</v>
      </c>
      <c r="E1629" t="s">
        <v>18</v>
      </c>
      <c r="F1629" s="3">
        <v>45944</v>
      </c>
      <c r="G1629" s="3">
        <v>46115</v>
      </c>
      <c r="H1629" s="2">
        <v>6</v>
      </c>
      <c r="I1629" s="1">
        <v>511.74</v>
      </c>
      <c r="J1629" s="1">
        <v>85.29</v>
      </c>
      <c r="K1629" t="s">
        <v>45</v>
      </c>
      <c r="L1629" t="s">
        <v>30</v>
      </c>
      <c r="M1629" s="2">
        <v>6</v>
      </c>
      <c r="N1629" t="s">
        <v>31</v>
      </c>
    </row>
    <row r="1630" spans="1:14" x14ac:dyDescent="0.3">
      <c r="A1630" t="s">
        <v>1666</v>
      </c>
      <c r="B1630" s="2">
        <v>34</v>
      </c>
      <c r="C1630" t="s">
        <v>16</v>
      </c>
      <c r="D1630" t="s">
        <v>44</v>
      </c>
      <c r="E1630" t="s">
        <v>38</v>
      </c>
      <c r="F1630" s="3">
        <v>45738</v>
      </c>
      <c r="G1630" s="3">
        <v>45999</v>
      </c>
      <c r="H1630" s="2">
        <v>4</v>
      </c>
      <c r="I1630" s="1">
        <v>511.44</v>
      </c>
      <c r="J1630" s="1">
        <v>127.86</v>
      </c>
      <c r="K1630" t="s">
        <v>39</v>
      </c>
      <c r="L1630" t="s">
        <v>20</v>
      </c>
      <c r="M1630" s="2">
        <v>9</v>
      </c>
      <c r="N1630" t="s">
        <v>21</v>
      </c>
    </row>
    <row r="1631" spans="1:14" x14ac:dyDescent="0.3">
      <c r="A1631" t="s">
        <v>1667</v>
      </c>
      <c r="B1631" s="2">
        <v>48</v>
      </c>
      <c r="C1631" t="s">
        <v>23</v>
      </c>
      <c r="D1631" t="s">
        <v>24</v>
      </c>
      <c r="E1631" t="s">
        <v>38</v>
      </c>
      <c r="F1631" s="3">
        <v>45722</v>
      </c>
      <c r="G1631" s="3">
        <v>45902</v>
      </c>
      <c r="H1631" s="2">
        <v>11</v>
      </c>
      <c r="I1631" s="1">
        <v>510.62</v>
      </c>
      <c r="J1631" s="1">
        <v>46.42</v>
      </c>
      <c r="K1631" t="s">
        <v>19</v>
      </c>
      <c r="L1631" t="s">
        <v>26</v>
      </c>
      <c r="M1631" s="2">
        <v>9</v>
      </c>
      <c r="N1631" t="s">
        <v>21</v>
      </c>
    </row>
    <row r="1632" spans="1:14" x14ac:dyDescent="0.3">
      <c r="A1632" t="s">
        <v>1668</v>
      </c>
      <c r="B1632" s="2">
        <v>32</v>
      </c>
      <c r="C1632" t="s">
        <v>16</v>
      </c>
      <c r="D1632" t="s">
        <v>28</v>
      </c>
      <c r="E1632" t="s">
        <v>29</v>
      </c>
      <c r="F1632" s="3">
        <v>45950</v>
      </c>
      <c r="G1632" s="3">
        <v>46065</v>
      </c>
      <c r="H1632" s="2">
        <v>16</v>
      </c>
      <c r="I1632" s="1">
        <v>509.92</v>
      </c>
      <c r="J1632" s="1">
        <v>31.87</v>
      </c>
      <c r="K1632" t="s">
        <v>19</v>
      </c>
      <c r="L1632" t="s">
        <v>26</v>
      </c>
      <c r="M1632" s="2">
        <v>6</v>
      </c>
      <c r="N1632" t="s">
        <v>21</v>
      </c>
    </row>
    <row r="1633" spans="1:14" x14ac:dyDescent="0.3">
      <c r="A1633" t="s">
        <v>1669</v>
      </c>
      <c r="B1633" s="2">
        <v>34</v>
      </c>
      <c r="C1633" t="s">
        <v>16</v>
      </c>
      <c r="D1633" t="s">
        <v>61</v>
      </c>
      <c r="E1633" t="s">
        <v>34</v>
      </c>
      <c r="F1633" s="3">
        <v>45892</v>
      </c>
      <c r="G1633" s="3">
        <v>46050</v>
      </c>
      <c r="H1633" s="2">
        <v>11</v>
      </c>
      <c r="I1633" s="1">
        <v>509.85</v>
      </c>
      <c r="J1633" s="1">
        <v>46.35</v>
      </c>
      <c r="K1633" t="s">
        <v>39</v>
      </c>
      <c r="L1633" t="s">
        <v>20</v>
      </c>
      <c r="M1633" s="2">
        <v>5</v>
      </c>
      <c r="N1633" t="s">
        <v>21</v>
      </c>
    </row>
    <row r="1634" spans="1:14" x14ac:dyDescent="0.3">
      <c r="A1634" t="s">
        <v>1670</v>
      </c>
      <c r="B1634" s="2">
        <v>42</v>
      </c>
      <c r="C1634" t="s">
        <v>23</v>
      </c>
      <c r="D1634" t="s">
        <v>17</v>
      </c>
      <c r="E1634" t="s">
        <v>18</v>
      </c>
      <c r="F1634" s="3">
        <v>45324</v>
      </c>
      <c r="G1634" s="3">
        <v>45544</v>
      </c>
      <c r="H1634" s="2">
        <v>4</v>
      </c>
      <c r="I1634" s="1">
        <v>509.68</v>
      </c>
      <c r="J1634" s="1">
        <v>127.42</v>
      </c>
      <c r="K1634" t="s">
        <v>39</v>
      </c>
      <c r="L1634" t="s">
        <v>30</v>
      </c>
      <c r="M1634" s="2">
        <v>9</v>
      </c>
      <c r="N1634" t="s">
        <v>21</v>
      </c>
    </row>
    <row r="1635" spans="1:14" x14ac:dyDescent="0.3">
      <c r="A1635" t="s">
        <v>1671</v>
      </c>
      <c r="B1635" s="2">
        <v>42</v>
      </c>
      <c r="C1635" t="s">
        <v>23</v>
      </c>
      <c r="D1635" t="s">
        <v>44</v>
      </c>
      <c r="E1635" t="s">
        <v>38</v>
      </c>
      <c r="F1635" s="3">
        <v>45478</v>
      </c>
      <c r="G1635" s="3">
        <v>45547</v>
      </c>
      <c r="H1635" s="2">
        <v>10</v>
      </c>
      <c r="I1635" s="1">
        <v>509</v>
      </c>
      <c r="J1635" s="1">
        <v>50.9</v>
      </c>
      <c r="K1635" t="s">
        <v>25</v>
      </c>
      <c r="L1635" t="s">
        <v>26</v>
      </c>
      <c r="M1635" s="2">
        <v>1</v>
      </c>
      <c r="N1635" t="s">
        <v>21</v>
      </c>
    </row>
    <row r="1636" spans="1:14" x14ac:dyDescent="0.3">
      <c r="A1636" t="s">
        <v>1672</v>
      </c>
      <c r="B1636" s="2">
        <v>40</v>
      </c>
      <c r="C1636" t="s">
        <v>23</v>
      </c>
      <c r="D1636" t="s">
        <v>50</v>
      </c>
      <c r="E1636" t="s">
        <v>34</v>
      </c>
      <c r="F1636" s="3">
        <v>45951</v>
      </c>
      <c r="G1636" s="3">
        <v>45977</v>
      </c>
      <c r="H1636" s="2">
        <v>10</v>
      </c>
      <c r="I1636" s="1">
        <v>508.1</v>
      </c>
      <c r="J1636" s="1">
        <v>50.81</v>
      </c>
      <c r="K1636" t="s">
        <v>39</v>
      </c>
      <c r="L1636" t="s">
        <v>30</v>
      </c>
      <c r="M1636" s="2">
        <v>1</v>
      </c>
      <c r="N1636" t="s">
        <v>21</v>
      </c>
    </row>
    <row r="1637" spans="1:14" x14ac:dyDescent="0.3">
      <c r="A1637" t="s">
        <v>1673</v>
      </c>
      <c r="B1637" s="2">
        <v>38</v>
      </c>
      <c r="C1637" t="s">
        <v>23</v>
      </c>
      <c r="D1637" t="s">
        <v>24</v>
      </c>
      <c r="E1637" t="s">
        <v>34</v>
      </c>
      <c r="F1637" s="3">
        <v>45925</v>
      </c>
      <c r="G1637" s="3">
        <v>45955</v>
      </c>
      <c r="H1637" s="2">
        <v>23</v>
      </c>
      <c r="I1637" s="1">
        <v>505.77</v>
      </c>
      <c r="J1637" s="1">
        <v>21.99</v>
      </c>
      <c r="K1637" t="s">
        <v>45</v>
      </c>
      <c r="L1637" t="s">
        <v>26</v>
      </c>
      <c r="M1637" s="2">
        <v>4</v>
      </c>
      <c r="N1637" t="s">
        <v>21</v>
      </c>
    </row>
    <row r="1638" spans="1:14" x14ac:dyDescent="0.3">
      <c r="A1638" t="s">
        <v>1674</v>
      </c>
      <c r="B1638" s="2">
        <v>59</v>
      </c>
      <c r="C1638" t="s">
        <v>16</v>
      </c>
      <c r="D1638" t="s">
        <v>17</v>
      </c>
      <c r="E1638" t="s">
        <v>34</v>
      </c>
      <c r="F1638" s="3">
        <v>45428</v>
      </c>
      <c r="G1638" s="3">
        <v>45501</v>
      </c>
      <c r="H1638" s="2">
        <v>3</v>
      </c>
      <c r="I1638" s="1">
        <v>505.62</v>
      </c>
      <c r="J1638" s="1">
        <v>168.54</v>
      </c>
      <c r="K1638" t="s">
        <v>25</v>
      </c>
      <c r="L1638" t="s">
        <v>20</v>
      </c>
      <c r="M1638" s="2">
        <v>3</v>
      </c>
      <c r="N1638" t="s">
        <v>31</v>
      </c>
    </row>
    <row r="1639" spans="1:14" x14ac:dyDescent="0.3">
      <c r="A1639" t="s">
        <v>1675</v>
      </c>
      <c r="B1639" s="2">
        <v>22</v>
      </c>
      <c r="C1639" t="s">
        <v>23</v>
      </c>
      <c r="D1639" t="s">
        <v>42</v>
      </c>
      <c r="E1639" t="s">
        <v>38</v>
      </c>
      <c r="F1639" s="3">
        <v>45513</v>
      </c>
      <c r="G1639" s="3">
        <v>45696</v>
      </c>
      <c r="H1639" s="2">
        <v>9</v>
      </c>
      <c r="I1639" s="1">
        <v>503.82</v>
      </c>
      <c r="J1639" s="1">
        <v>55.98</v>
      </c>
      <c r="K1639" t="s">
        <v>25</v>
      </c>
      <c r="L1639" t="s">
        <v>26</v>
      </c>
      <c r="M1639" s="2">
        <v>8</v>
      </c>
      <c r="N1639" t="s">
        <v>21</v>
      </c>
    </row>
    <row r="1640" spans="1:14" x14ac:dyDescent="0.3">
      <c r="A1640" t="s">
        <v>1676</v>
      </c>
      <c r="B1640" s="2">
        <v>33</v>
      </c>
      <c r="C1640" t="s">
        <v>16</v>
      </c>
      <c r="D1640" t="s">
        <v>28</v>
      </c>
      <c r="E1640" t="s">
        <v>38</v>
      </c>
      <c r="F1640" s="3">
        <v>45536</v>
      </c>
      <c r="G1640" s="3">
        <v>45710</v>
      </c>
      <c r="H1640" s="2">
        <v>2</v>
      </c>
      <c r="I1640" s="1">
        <v>500.12</v>
      </c>
      <c r="J1640" s="1">
        <v>250.06</v>
      </c>
      <c r="K1640" t="s">
        <v>39</v>
      </c>
      <c r="L1640" t="s">
        <v>20</v>
      </c>
      <c r="M1640" s="2">
        <v>8</v>
      </c>
      <c r="N1640" t="s">
        <v>21</v>
      </c>
    </row>
    <row r="1641" spans="1:14" x14ac:dyDescent="0.3">
      <c r="A1641" t="s">
        <v>1677</v>
      </c>
      <c r="B1641" s="2">
        <v>61</v>
      </c>
      <c r="C1641" t="s">
        <v>16</v>
      </c>
      <c r="D1641" t="s">
        <v>24</v>
      </c>
      <c r="E1641" t="s">
        <v>38</v>
      </c>
      <c r="F1641" s="3">
        <v>45378</v>
      </c>
      <c r="G1641" s="3">
        <v>45465</v>
      </c>
      <c r="H1641" s="2">
        <v>6</v>
      </c>
      <c r="I1641" s="1">
        <v>496.2</v>
      </c>
      <c r="J1641" s="1">
        <v>82.7</v>
      </c>
      <c r="K1641" t="s">
        <v>45</v>
      </c>
      <c r="L1641" t="s">
        <v>30</v>
      </c>
      <c r="M1641" s="2">
        <v>6</v>
      </c>
      <c r="N1641" t="s">
        <v>21</v>
      </c>
    </row>
    <row r="1642" spans="1:14" x14ac:dyDescent="0.3">
      <c r="A1642" t="s">
        <v>1678</v>
      </c>
      <c r="B1642" s="2">
        <v>63</v>
      </c>
      <c r="C1642" t="s">
        <v>16</v>
      </c>
      <c r="D1642" t="s">
        <v>28</v>
      </c>
      <c r="E1642" t="s">
        <v>29</v>
      </c>
      <c r="F1642" s="3">
        <v>45834</v>
      </c>
      <c r="G1642" s="3">
        <v>46084</v>
      </c>
      <c r="H1642" s="2">
        <v>3</v>
      </c>
      <c r="I1642" s="1">
        <v>495.87</v>
      </c>
      <c r="J1642" s="1">
        <v>165.29</v>
      </c>
      <c r="K1642" t="s">
        <v>39</v>
      </c>
      <c r="L1642" t="s">
        <v>30</v>
      </c>
      <c r="M1642" s="2">
        <v>10</v>
      </c>
      <c r="N1642" t="s">
        <v>21</v>
      </c>
    </row>
    <row r="1643" spans="1:14" x14ac:dyDescent="0.3">
      <c r="A1643" t="s">
        <v>1679</v>
      </c>
      <c r="B1643" s="2">
        <v>52</v>
      </c>
      <c r="C1643" t="s">
        <v>16</v>
      </c>
      <c r="D1643" t="s">
        <v>61</v>
      </c>
      <c r="E1643" t="s">
        <v>29</v>
      </c>
      <c r="F1643" s="3">
        <v>45942</v>
      </c>
      <c r="G1643" s="3">
        <v>46224</v>
      </c>
      <c r="H1643" s="2">
        <v>9</v>
      </c>
      <c r="I1643" s="1">
        <v>495.45</v>
      </c>
      <c r="J1643" s="1">
        <v>55.05</v>
      </c>
      <c r="K1643" t="s">
        <v>19</v>
      </c>
      <c r="L1643" t="s">
        <v>20</v>
      </c>
      <c r="M1643" s="2">
        <v>3</v>
      </c>
      <c r="N1643" t="s">
        <v>21</v>
      </c>
    </row>
    <row r="1644" spans="1:14" x14ac:dyDescent="0.3">
      <c r="A1644" t="s">
        <v>1680</v>
      </c>
      <c r="B1644" s="2">
        <v>19</v>
      </c>
      <c r="C1644" t="s">
        <v>16</v>
      </c>
      <c r="D1644" t="s">
        <v>50</v>
      </c>
      <c r="E1644" t="s">
        <v>18</v>
      </c>
      <c r="F1644" s="3">
        <v>45485</v>
      </c>
      <c r="G1644" s="3">
        <v>45542</v>
      </c>
      <c r="H1644" s="2">
        <v>2</v>
      </c>
      <c r="I1644" s="1">
        <v>493.32</v>
      </c>
      <c r="J1644" s="1">
        <v>246.66</v>
      </c>
      <c r="K1644" t="s">
        <v>39</v>
      </c>
      <c r="L1644" t="s">
        <v>20</v>
      </c>
      <c r="M1644" s="2">
        <v>1</v>
      </c>
      <c r="N1644" t="s">
        <v>21</v>
      </c>
    </row>
    <row r="1645" spans="1:14" x14ac:dyDescent="0.3">
      <c r="A1645" t="s">
        <v>1681</v>
      </c>
      <c r="B1645" s="2">
        <v>22</v>
      </c>
      <c r="C1645" t="s">
        <v>23</v>
      </c>
      <c r="D1645" t="s">
        <v>24</v>
      </c>
      <c r="E1645" t="s">
        <v>38</v>
      </c>
      <c r="F1645" s="3">
        <v>45556</v>
      </c>
      <c r="G1645" s="3">
        <v>45750</v>
      </c>
      <c r="H1645" s="2">
        <v>5</v>
      </c>
      <c r="I1645" s="1">
        <v>492.95</v>
      </c>
      <c r="J1645" s="1">
        <v>98.59</v>
      </c>
      <c r="K1645" t="s">
        <v>45</v>
      </c>
      <c r="L1645" t="s">
        <v>20</v>
      </c>
      <c r="M1645" s="2">
        <v>5</v>
      </c>
      <c r="N1645" t="s">
        <v>21</v>
      </c>
    </row>
    <row r="1646" spans="1:14" x14ac:dyDescent="0.3">
      <c r="A1646" t="s">
        <v>1682</v>
      </c>
      <c r="B1646" s="2">
        <v>26</v>
      </c>
      <c r="C1646" t="s">
        <v>16</v>
      </c>
      <c r="D1646" t="s">
        <v>42</v>
      </c>
      <c r="E1646" t="s">
        <v>38</v>
      </c>
      <c r="F1646" s="3">
        <v>45834</v>
      </c>
      <c r="G1646" s="3">
        <v>45986</v>
      </c>
      <c r="H1646" s="2">
        <v>14</v>
      </c>
      <c r="I1646" s="1">
        <v>491.96</v>
      </c>
      <c r="J1646" s="1">
        <v>35.14</v>
      </c>
      <c r="K1646" t="s">
        <v>19</v>
      </c>
      <c r="L1646" t="s">
        <v>26</v>
      </c>
      <c r="M1646" s="2">
        <v>3</v>
      </c>
      <c r="N1646" t="s">
        <v>21</v>
      </c>
    </row>
    <row r="1647" spans="1:14" x14ac:dyDescent="0.3">
      <c r="A1647" t="s">
        <v>1683</v>
      </c>
      <c r="B1647" s="2">
        <v>37</v>
      </c>
      <c r="C1647" t="s">
        <v>16</v>
      </c>
      <c r="D1647" t="s">
        <v>42</v>
      </c>
      <c r="E1647" t="s">
        <v>29</v>
      </c>
      <c r="F1647" s="3">
        <v>45327</v>
      </c>
      <c r="G1647" s="3">
        <v>45472</v>
      </c>
      <c r="H1647" s="2">
        <v>20</v>
      </c>
      <c r="I1647" s="1">
        <v>491.2</v>
      </c>
      <c r="J1647" s="1">
        <v>24.56</v>
      </c>
      <c r="K1647" t="s">
        <v>25</v>
      </c>
      <c r="L1647" t="s">
        <v>26</v>
      </c>
      <c r="M1647" s="2">
        <v>1</v>
      </c>
      <c r="N1647" t="s">
        <v>31</v>
      </c>
    </row>
    <row r="1648" spans="1:14" x14ac:dyDescent="0.3">
      <c r="A1648" t="s">
        <v>1684</v>
      </c>
      <c r="B1648" s="2">
        <v>30</v>
      </c>
      <c r="C1648" t="s">
        <v>23</v>
      </c>
      <c r="D1648" t="s">
        <v>24</v>
      </c>
      <c r="E1648" t="s">
        <v>18</v>
      </c>
      <c r="F1648" s="3">
        <v>45681</v>
      </c>
      <c r="G1648" s="3">
        <v>45765</v>
      </c>
      <c r="H1648" s="2">
        <v>2</v>
      </c>
      <c r="I1648" s="1">
        <v>489.88</v>
      </c>
      <c r="J1648" s="1">
        <v>244.94</v>
      </c>
      <c r="K1648" t="s">
        <v>39</v>
      </c>
      <c r="L1648" t="s">
        <v>26</v>
      </c>
      <c r="M1648" s="2">
        <v>10</v>
      </c>
      <c r="N1648" t="s">
        <v>21</v>
      </c>
    </row>
    <row r="1649" spans="1:14" x14ac:dyDescent="0.3">
      <c r="A1649" t="s">
        <v>1685</v>
      </c>
      <c r="B1649" s="2">
        <v>52</v>
      </c>
      <c r="C1649" t="s">
        <v>23</v>
      </c>
      <c r="D1649" t="s">
        <v>44</v>
      </c>
      <c r="E1649" t="s">
        <v>18</v>
      </c>
      <c r="F1649" s="3">
        <v>45559</v>
      </c>
      <c r="G1649" s="3">
        <v>45693</v>
      </c>
      <c r="H1649" s="2">
        <v>14</v>
      </c>
      <c r="I1649" s="1">
        <v>489.72</v>
      </c>
      <c r="J1649" s="1">
        <v>34.979999999999997</v>
      </c>
      <c r="K1649" t="s">
        <v>35</v>
      </c>
      <c r="L1649" t="s">
        <v>20</v>
      </c>
      <c r="M1649" s="2">
        <v>10</v>
      </c>
      <c r="N1649" t="s">
        <v>21</v>
      </c>
    </row>
    <row r="1650" spans="1:14" x14ac:dyDescent="0.3">
      <c r="A1650" t="s">
        <v>1686</v>
      </c>
      <c r="B1650" s="2">
        <v>25</v>
      </c>
      <c r="C1650" t="s">
        <v>16</v>
      </c>
      <c r="D1650" t="s">
        <v>42</v>
      </c>
      <c r="E1650" t="s">
        <v>38</v>
      </c>
      <c r="F1650" s="3">
        <v>45503</v>
      </c>
      <c r="G1650" s="3">
        <v>45617</v>
      </c>
      <c r="H1650" s="2">
        <v>5</v>
      </c>
      <c r="I1650" s="1">
        <v>489.65</v>
      </c>
      <c r="J1650" s="1">
        <v>97.93</v>
      </c>
      <c r="K1650" t="s">
        <v>35</v>
      </c>
      <c r="L1650" t="s">
        <v>20</v>
      </c>
      <c r="M1650" s="2">
        <v>1</v>
      </c>
      <c r="N1650" t="s">
        <v>21</v>
      </c>
    </row>
    <row r="1651" spans="1:14" x14ac:dyDescent="0.3">
      <c r="A1651" t="s">
        <v>1687</v>
      </c>
      <c r="B1651" s="2">
        <v>35</v>
      </c>
      <c r="C1651" t="s">
        <v>23</v>
      </c>
      <c r="D1651" t="s">
        <v>24</v>
      </c>
      <c r="E1651" t="s">
        <v>18</v>
      </c>
      <c r="F1651" s="3">
        <v>45494</v>
      </c>
      <c r="G1651" s="3">
        <v>45594</v>
      </c>
      <c r="H1651" s="2">
        <v>2</v>
      </c>
      <c r="I1651" s="1">
        <v>489.52</v>
      </c>
      <c r="J1651" s="1">
        <v>244.76</v>
      </c>
      <c r="K1651" t="s">
        <v>35</v>
      </c>
      <c r="L1651" t="s">
        <v>30</v>
      </c>
      <c r="M1651" s="2">
        <v>10</v>
      </c>
      <c r="N1651" t="s">
        <v>21</v>
      </c>
    </row>
    <row r="1652" spans="1:14" x14ac:dyDescent="0.3">
      <c r="A1652" t="s">
        <v>1688</v>
      </c>
      <c r="B1652" s="2">
        <v>26</v>
      </c>
      <c r="C1652" t="s">
        <v>23</v>
      </c>
      <c r="D1652" t="s">
        <v>44</v>
      </c>
      <c r="E1652" t="s">
        <v>29</v>
      </c>
      <c r="F1652" s="3">
        <v>45489</v>
      </c>
      <c r="G1652" s="3">
        <v>45690</v>
      </c>
      <c r="H1652" s="2">
        <v>2</v>
      </c>
      <c r="I1652" s="1">
        <v>488.76</v>
      </c>
      <c r="J1652" s="1">
        <v>244.38</v>
      </c>
      <c r="K1652" t="s">
        <v>35</v>
      </c>
      <c r="L1652" t="s">
        <v>26</v>
      </c>
      <c r="M1652" s="2">
        <v>9</v>
      </c>
      <c r="N1652" t="s">
        <v>21</v>
      </c>
    </row>
    <row r="1653" spans="1:14" x14ac:dyDescent="0.3">
      <c r="A1653" t="s">
        <v>1689</v>
      </c>
      <c r="B1653" s="2">
        <v>42</v>
      </c>
      <c r="C1653" t="s">
        <v>16</v>
      </c>
      <c r="D1653" t="s">
        <v>24</v>
      </c>
      <c r="E1653" t="s">
        <v>18</v>
      </c>
      <c r="F1653" s="3">
        <v>45736</v>
      </c>
      <c r="G1653" s="3">
        <v>45936</v>
      </c>
      <c r="H1653" s="2">
        <v>13</v>
      </c>
      <c r="I1653" s="1">
        <v>487.89</v>
      </c>
      <c r="J1653" s="1">
        <v>37.53</v>
      </c>
      <c r="K1653" t="s">
        <v>25</v>
      </c>
      <c r="L1653" t="s">
        <v>20</v>
      </c>
      <c r="M1653" s="2">
        <v>6</v>
      </c>
      <c r="N1653" t="s">
        <v>31</v>
      </c>
    </row>
    <row r="1654" spans="1:14" x14ac:dyDescent="0.3">
      <c r="A1654" t="s">
        <v>1690</v>
      </c>
      <c r="B1654" s="2">
        <v>29</v>
      </c>
      <c r="C1654" t="s">
        <v>23</v>
      </c>
      <c r="D1654" t="s">
        <v>28</v>
      </c>
      <c r="E1654" t="s">
        <v>29</v>
      </c>
      <c r="F1654" s="3">
        <v>45494</v>
      </c>
      <c r="G1654" s="3">
        <v>45639</v>
      </c>
      <c r="H1654" s="2">
        <v>6</v>
      </c>
      <c r="I1654" s="1">
        <v>487.8</v>
      </c>
      <c r="J1654" s="1">
        <v>81.3</v>
      </c>
      <c r="K1654" t="s">
        <v>25</v>
      </c>
      <c r="L1654" t="s">
        <v>30</v>
      </c>
      <c r="M1654" s="2">
        <v>1</v>
      </c>
      <c r="N1654" t="s">
        <v>21</v>
      </c>
    </row>
    <row r="1655" spans="1:14" x14ac:dyDescent="0.3">
      <c r="A1655" t="s">
        <v>1691</v>
      </c>
      <c r="B1655" s="2">
        <v>62</v>
      </c>
      <c r="C1655" t="s">
        <v>23</v>
      </c>
      <c r="D1655" t="s">
        <v>50</v>
      </c>
      <c r="E1655" t="s">
        <v>18</v>
      </c>
      <c r="F1655" s="3">
        <v>45377</v>
      </c>
      <c r="G1655" s="3">
        <v>45465</v>
      </c>
      <c r="H1655" s="2">
        <v>15</v>
      </c>
      <c r="I1655" s="1">
        <v>486.9</v>
      </c>
      <c r="J1655" s="1">
        <v>32.46</v>
      </c>
      <c r="K1655" t="s">
        <v>45</v>
      </c>
      <c r="L1655" t="s">
        <v>26</v>
      </c>
      <c r="M1655" s="2">
        <v>9</v>
      </c>
      <c r="N1655" t="s">
        <v>21</v>
      </c>
    </row>
    <row r="1656" spans="1:14" x14ac:dyDescent="0.3">
      <c r="A1656" t="s">
        <v>1692</v>
      </c>
      <c r="B1656" s="2">
        <v>48</v>
      </c>
      <c r="C1656" t="s">
        <v>23</v>
      </c>
      <c r="D1656" t="s">
        <v>24</v>
      </c>
      <c r="E1656" t="s">
        <v>18</v>
      </c>
      <c r="F1656" s="3">
        <v>45725</v>
      </c>
      <c r="G1656" s="3">
        <v>45943</v>
      </c>
      <c r="H1656" s="2">
        <v>3</v>
      </c>
      <c r="I1656" s="1">
        <v>486.12</v>
      </c>
      <c r="J1656" s="1">
        <v>162.04</v>
      </c>
      <c r="K1656" t="s">
        <v>19</v>
      </c>
      <c r="L1656" t="s">
        <v>26</v>
      </c>
      <c r="M1656" s="2">
        <v>1</v>
      </c>
      <c r="N1656" t="s">
        <v>21</v>
      </c>
    </row>
    <row r="1657" spans="1:14" x14ac:dyDescent="0.3">
      <c r="A1657" t="s">
        <v>1693</v>
      </c>
      <c r="B1657" s="2">
        <v>41</v>
      </c>
      <c r="C1657" t="s">
        <v>16</v>
      </c>
      <c r="D1657" t="s">
        <v>42</v>
      </c>
      <c r="E1657" t="s">
        <v>34</v>
      </c>
      <c r="F1657" s="3">
        <v>45581</v>
      </c>
      <c r="G1657" s="3">
        <v>45740</v>
      </c>
      <c r="H1657" s="2">
        <v>11</v>
      </c>
      <c r="I1657" s="1">
        <v>486.09</v>
      </c>
      <c r="J1657" s="1">
        <v>44.19</v>
      </c>
      <c r="K1657" t="s">
        <v>19</v>
      </c>
      <c r="L1657" t="s">
        <v>30</v>
      </c>
      <c r="M1657" s="2">
        <v>8</v>
      </c>
      <c r="N1657" t="s">
        <v>21</v>
      </c>
    </row>
    <row r="1658" spans="1:14" x14ac:dyDescent="0.3">
      <c r="A1658" t="s">
        <v>1694</v>
      </c>
      <c r="B1658" s="2">
        <v>44</v>
      </c>
      <c r="C1658" t="s">
        <v>23</v>
      </c>
      <c r="D1658" t="s">
        <v>24</v>
      </c>
      <c r="E1658" t="s">
        <v>38</v>
      </c>
      <c r="F1658" s="3">
        <v>45969</v>
      </c>
      <c r="G1658" s="3">
        <v>46158</v>
      </c>
      <c r="H1658" s="2">
        <v>3</v>
      </c>
      <c r="I1658" s="1">
        <v>485.01</v>
      </c>
      <c r="J1658" s="1">
        <v>161.66999999999999</v>
      </c>
      <c r="K1658" t="s">
        <v>45</v>
      </c>
      <c r="L1658" t="s">
        <v>20</v>
      </c>
      <c r="M1658" s="2">
        <v>8</v>
      </c>
      <c r="N1658" t="s">
        <v>21</v>
      </c>
    </row>
    <row r="1659" spans="1:14" x14ac:dyDescent="0.3">
      <c r="A1659" t="s">
        <v>1695</v>
      </c>
      <c r="B1659" s="2">
        <v>29</v>
      </c>
      <c r="C1659" t="s">
        <v>23</v>
      </c>
      <c r="D1659" t="s">
        <v>42</v>
      </c>
      <c r="E1659" t="s">
        <v>29</v>
      </c>
      <c r="F1659" s="3">
        <v>45841</v>
      </c>
      <c r="G1659" s="3">
        <v>46025</v>
      </c>
      <c r="H1659" s="2">
        <v>8</v>
      </c>
      <c r="I1659" s="1">
        <v>483.44</v>
      </c>
      <c r="J1659" s="1">
        <v>60.43</v>
      </c>
      <c r="K1659" t="s">
        <v>45</v>
      </c>
      <c r="L1659" t="s">
        <v>20</v>
      </c>
      <c r="M1659" s="2">
        <v>1</v>
      </c>
      <c r="N1659" t="s">
        <v>21</v>
      </c>
    </row>
    <row r="1660" spans="1:14" x14ac:dyDescent="0.3">
      <c r="A1660" t="s">
        <v>1696</v>
      </c>
      <c r="B1660" s="2">
        <v>34</v>
      </c>
      <c r="C1660" t="s">
        <v>23</v>
      </c>
      <c r="D1660" t="s">
        <v>61</v>
      </c>
      <c r="E1660" t="s">
        <v>38</v>
      </c>
      <c r="F1660" s="3">
        <v>45347</v>
      </c>
      <c r="G1660" s="3">
        <v>45627</v>
      </c>
      <c r="H1660" s="2">
        <v>7</v>
      </c>
      <c r="I1660" s="1">
        <v>479.57000000000011</v>
      </c>
      <c r="J1660" s="1">
        <v>68.510000000000005</v>
      </c>
      <c r="K1660" t="s">
        <v>19</v>
      </c>
      <c r="L1660" t="s">
        <v>20</v>
      </c>
      <c r="M1660" s="2">
        <v>9</v>
      </c>
      <c r="N1660" t="s">
        <v>21</v>
      </c>
    </row>
    <row r="1661" spans="1:14" x14ac:dyDescent="0.3">
      <c r="A1661" t="s">
        <v>1697</v>
      </c>
      <c r="B1661" s="2">
        <v>46</v>
      </c>
      <c r="C1661" t="s">
        <v>23</v>
      </c>
      <c r="D1661" t="s">
        <v>50</v>
      </c>
      <c r="E1661" t="s">
        <v>34</v>
      </c>
      <c r="F1661" s="3">
        <v>45570</v>
      </c>
      <c r="G1661" s="3">
        <v>45781</v>
      </c>
      <c r="H1661" s="2">
        <v>3</v>
      </c>
      <c r="I1661" s="1">
        <v>477.54</v>
      </c>
      <c r="J1661" s="1">
        <v>159.18</v>
      </c>
      <c r="K1661" t="s">
        <v>25</v>
      </c>
      <c r="L1661" t="s">
        <v>30</v>
      </c>
      <c r="M1661" s="2">
        <v>6</v>
      </c>
      <c r="N1661" t="s">
        <v>21</v>
      </c>
    </row>
    <row r="1662" spans="1:14" x14ac:dyDescent="0.3">
      <c r="A1662" t="s">
        <v>1698</v>
      </c>
      <c r="B1662" s="2">
        <v>35</v>
      </c>
      <c r="C1662" t="s">
        <v>16</v>
      </c>
      <c r="D1662" t="s">
        <v>17</v>
      </c>
      <c r="E1662" t="s">
        <v>18</v>
      </c>
      <c r="F1662" s="3">
        <v>45490</v>
      </c>
      <c r="G1662" s="3">
        <v>45617</v>
      </c>
      <c r="H1662" s="2">
        <v>12</v>
      </c>
      <c r="I1662" s="1">
        <v>477</v>
      </c>
      <c r="J1662" s="1">
        <v>39.75</v>
      </c>
      <c r="K1662" t="s">
        <v>19</v>
      </c>
      <c r="L1662" t="s">
        <v>20</v>
      </c>
      <c r="M1662" s="2">
        <v>3</v>
      </c>
      <c r="N1662" t="s">
        <v>21</v>
      </c>
    </row>
    <row r="1663" spans="1:14" x14ac:dyDescent="0.3">
      <c r="A1663" t="s">
        <v>1699</v>
      </c>
      <c r="B1663" s="2">
        <v>36</v>
      </c>
      <c r="C1663" t="s">
        <v>23</v>
      </c>
      <c r="D1663" t="s">
        <v>50</v>
      </c>
      <c r="E1663" t="s">
        <v>38</v>
      </c>
      <c r="F1663" s="3">
        <v>45447</v>
      </c>
      <c r="G1663" s="3">
        <v>45472</v>
      </c>
      <c r="H1663" s="2">
        <v>18</v>
      </c>
      <c r="I1663" s="1">
        <v>471.6</v>
      </c>
      <c r="J1663" s="1">
        <v>26.2</v>
      </c>
      <c r="K1663" t="s">
        <v>39</v>
      </c>
      <c r="L1663" t="s">
        <v>30</v>
      </c>
      <c r="M1663" s="2">
        <v>2</v>
      </c>
      <c r="N1663" t="s">
        <v>21</v>
      </c>
    </row>
    <row r="1664" spans="1:14" x14ac:dyDescent="0.3">
      <c r="A1664" t="s">
        <v>1700</v>
      </c>
      <c r="B1664" s="2">
        <v>57</v>
      </c>
      <c r="C1664" t="s">
        <v>16</v>
      </c>
      <c r="D1664" t="s">
        <v>28</v>
      </c>
      <c r="E1664" t="s">
        <v>34</v>
      </c>
      <c r="F1664" s="3">
        <v>45693</v>
      </c>
      <c r="G1664" s="3">
        <v>45993</v>
      </c>
      <c r="H1664" s="2">
        <v>4</v>
      </c>
      <c r="I1664" s="1">
        <v>469.68</v>
      </c>
      <c r="J1664" s="1">
        <v>117.42</v>
      </c>
      <c r="K1664" t="s">
        <v>19</v>
      </c>
      <c r="L1664" t="s">
        <v>20</v>
      </c>
      <c r="M1664" s="2">
        <v>2</v>
      </c>
      <c r="N1664" t="s">
        <v>21</v>
      </c>
    </row>
    <row r="1665" spans="1:14" x14ac:dyDescent="0.3">
      <c r="A1665" t="s">
        <v>1701</v>
      </c>
      <c r="B1665" s="2">
        <v>60</v>
      </c>
      <c r="C1665" t="s">
        <v>16</v>
      </c>
      <c r="D1665" t="s">
        <v>28</v>
      </c>
      <c r="E1665" t="s">
        <v>18</v>
      </c>
      <c r="F1665" s="3">
        <v>45637</v>
      </c>
      <c r="G1665" s="3">
        <v>45652</v>
      </c>
      <c r="H1665" s="2">
        <v>2</v>
      </c>
      <c r="I1665" s="1">
        <v>468.68</v>
      </c>
      <c r="J1665" s="1">
        <v>234.34</v>
      </c>
      <c r="K1665" t="s">
        <v>39</v>
      </c>
      <c r="L1665" t="s">
        <v>26</v>
      </c>
      <c r="M1665" s="2">
        <v>3</v>
      </c>
      <c r="N1665" t="s">
        <v>21</v>
      </c>
    </row>
    <row r="1666" spans="1:14" x14ac:dyDescent="0.3">
      <c r="A1666" t="s">
        <v>1702</v>
      </c>
      <c r="B1666" s="2">
        <v>31</v>
      </c>
      <c r="C1666" t="s">
        <v>23</v>
      </c>
      <c r="D1666" t="s">
        <v>17</v>
      </c>
      <c r="E1666" t="s">
        <v>34</v>
      </c>
      <c r="F1666" s="3">
        <v>45314</v>
      </c>
      <c r="G1666" s="3">
        <v>45525</v>
      </c>
      <c r="H1666" s="2">
        <v>3</v>
      </c>
      <c r="I1666" s="1">
        <v>468.66</v>
      </c>
      <c r="J1666" s="1">
        <v>156.22</v>
      </c>
      <c r="K1666" t="s">
        <v>35</v>
      </c>
      <c r="L1666" t="s">
        <v>30</v>
      </c>
      <c r="M1666" s="2">
        <v>3</v>
      </c>
      <c r="N1666" t="s">
        <v>21</v>
      </c>
    </row>
    <row r="1667" spans="1:14" x14ac:dyDescent="0.3">
      <c r="A1667" t="s">
        <v>1703</v>
      </c>
      <c r="B1667" s="2">
        <v>48</v>
      </c>
      <c r="C1667" t="s">
        <v>16</v>
      </c>
      <c r="D1667" t="s">
        <v>44</v>
      </c>
      <c r="E1667" t="s">
        <v>29</v>
      </c>
      <c r="F1667" s="3">
        <v>45816</v>
      </c>
      <c r="G1667" s="3">
        <v>46022</v>
      </c>
      <c r="H1667" s="2">
        <v>7</v>
      </c>
      <c r="I1667" s="1">
        <v>468.37</v>
      </c>
      <c r="J1667" s="1">
        <v>66.91</v>
      </c>
      <c r="K1667" t="s">
        <v>35</v>
      </c>
      <c r="L1667" t="s">
        <v>20</v>
      </c>
      <c r="M1667" s="2">
        <v>8</v>
      </c>
      <c r="N1667" t="s">
        <v>21</v>
      </c>
    </row>
    <row r="1668" spans="1:14" x14ac:dyDescent="0.3">
      <c r="A1668" t="s">
        <v>1704</v>
      </c>
      <c r="B1668" s="2">
        <v>43</v>
      </c>
      <c r="C1668" t="s">
        <v>23</v>
      </c>
      <c r="D1668" t="s">
        <v>50</v>
      </c>
      <c r="E1668" t="s">
        <v>29</v>
      </c>
      <c r="F1668" s="3">
        <v>45809</v>
      </c>
      <c r="G1668" s="3">
        <v>46036</v>
      </c>
      <c r="H1668" s="2">
        <v>13</v>
      </c>
      <c r="I1668" s="1">
        <v>462.54</v>
      </c>
      <c r="J1668" s="1">
        <v>35.58</v>
      </c>
      <c r="K1668" t="s">
        <v>19</v>
      </c>
      <c r="L1668" t="s">
        <v>26</v>
      </c>
      <c r="M1668" s="2">
        <v>10</v>
      </c>
      <c r="N1668" t="s">
        <v>31</v>
      </c>
    </row>
    <row r="1669" spans="1:14" x14ac:dyDescent="0.3">
      <c r="A1669" t="s">
        <v>1705</v>
      </c>
      <c r="B1669" s="2">
        <v>58</v>
      </c>
      <c r="C1669" t="s">
        <v>16</v>
      </c>
      <c r="D1669" t="s">
        <v>24</v>
      </c>
      <c r="E1669" t="s">
        <v>29</v>
      </c>
      <c r="F1669" s="3">
        <v>45504</v>
      </c>
      <c r="G1669" s="3">
        <v>45716</v>
      </c>
      <c r="H1669" s="2">
        <v>14</v>
      </c>
      <c r="I1669" s="1">
        <v>458.36</v>
      </c>
      <c r="J1669" s="1">
        <v>32.74</v>
      </c>
      <c r="K1669" t="s">
        <v>45</v>
      </c>
      <c r="L1669" t="s">
        <v>26</v>
      </c>
      <c r="M1669" s="2">
        <v>2</v>
      </c>
      <c r="N1669" t="s">
        <v>21</v>
      </c>
    </row>
    <row r="1670" spans="1:14" x14ac:dyDescent="0.3">
      <c r="A1670" t="s">
        <v>1706</v>
      </c>
      <c r="B1670" s="2">
        <v>27</v>
      </c>
      <c r="C1670" t="s">
        <v>16</v>
      </c>
      <c r="D1670" t="s">
        <v>50</v>
      </c>
      <c r="E1670" t="s">
        <v>38</v>
      </c>
      <c r="F1670" s="3">
        <v>45533</v>
      </c>
      <c r="G1670" s="3">
        <v>45585</v>
      </c>
      <c r="H1670" s="2">
        <v>5</v>
      </c>
      <c r="I1670" s="1">
        <v>458.35</v>
      </c>
      <c r="J1670" s="1">
        <v>91.67</v>
      </c>
      <c r="K1670" t="s">
        <v>35</v>
      </c>
      <c r="L1670" t="s">
        <v>20</v>
      </c>
      <c r="M1670" s="2">
        <v>10</v>
      </c>
      <c r="N1670" t="s">
        <v>31</v>
      </c>
    </row>
    <row r="1671" spans="1:14" x14ac:dyDescent="0.3">
      <c r="A1671" t="s">
        <v>1707</v>
      </c>
      <c r="B1671" s="2">
        <v>25</v>
      </c>
      <c r="C1671" t="s">
        <v>23</v>
      </c>
      <c r="D1671" t="s">
        <v>28</v>
      </c>
      <c r="E1671" t="s">
        <v>38</v>
      </c>
      <c r="F1671" s="3">
        <v>45842</v>
      </c>
      <c r="G1671" s="3">
        <v>46016</v>
      </c>
      <c r="H1671" s="2">
        <v>5</v>
      </c>
      <c r="I1671" s="1">
        <v>456.6</v>
      </c>
      <c r="J1671" s="1">
        <v>91.32</v>
      </c>
      <c r="K1671" t="s">
        <v>39</v>
      </c>
      <c r="L1671" t="s">
        <v>30</v>
      </c>
      <c r="M1671" s="2">
        <v>4</v>
      </c>
      <c r="N1671" t="s">
        <v>31</v>
      </c>
    </row>
    <row r="1672" spans="1:14" x14ac:dyDescent="0.3">
      <c r="A1672" t="s">
        <v>1708</v>
      </c>
      <c r="B1672" s="2">
        <v>40</v>
      </c>
      <c r="C1672" t="s">
        <v>23</v>
      </c>
      <c r="D1672" t="s">
        <v>17</v>
      </c>
      <c r="E1672" t="s">
        <v>29</v>
      </c>
      <c r="F1672" s="3">
        <v>45624</v>
      </c>
      <c r="G1672" s="3">
        <v>45856</v>
      </c>
      <c r="H1672" s="2">
        <v>16</v>
      </c>
      <c r="I1672" s="1">
        <v>455.52</v>
      </c>
      <c r="J1672" s="1">
        <v>28.47</v>
      </c>
      <c r="K1672" t="s">
        <v>45</v>
      </c>
      <c r="L1672" t="s">
        <v>26</v>
      </c>
      <c r="M1672" s="2">
        <v>10</v>
      </c>
      <c r="N1672" t="s">
        <v>21</v>
      </c>
    </row>
    <row r="1673" spans="1:14" x14ac:dyDescent="0.3">
      <c r="A1673" t="s">
        <v>1709</v>
      </c>
      <c r="B1673" s="2">
        <v>42</v>
      </c>
      <c r="C1673" t="s">
        <v>23</v>
      </c>
      <c r="D1673" t="s">
        <v>50</v>
      </c>
      <c r="E1673" t="s">
        <v>29</v>
      </c>
      <c r="F1673" s="3">
        <v>45792</v>
      </c>
      <c r="G1673" s="3">
        <v>45805</v>
      </c>
      <c r="H1673" s="2">
        <v>6</v>
      </c>
      <c r="I1673" s="1">
        <v>454.32</v>
      </c>
      <c r="J1673" s="1">
        <v>75.72</v>
      </c>
      <c r="K1673" t="s">
        <v>45</v>
      </c>
      <c r="L1673" t="s">
        <v>20</v>
      </c>
      <c r="M1673" s="2">
        <v>9</v>
      </c>
      <c r="N1673" t="s">
        <v>21</v>
      </c>
    </row>
    <row r="1674" spans="1:14" x14ac:dyDescent="0.3">
      <c r="A1674" t="s">
        <v>1710</v>
      </c>
      <c r="B1674" s="2">
        <v>63</v>
      </c>
      <c r="C1674" t="s">
        <v>23</v>
      </c>
      <c r="D1674" t="s">
        <v>17</v>
      </c>
      <c r="E1674" t="s">
        <v>18</v>
      </c>
      <c r="F1674" s="3">
        <v>45489</v>
      </c>
      <c r="G1674" s="3">
        <v>45617</v>
      </c>
      <c r="H1674" s="2">
        <v>6</v>
      </c>
      <c r="I1674" s="1">
        <v>452.46</v>
      </c>
      <c r="J1674" s="1">
        <v>75.41</v>
      </c>
      <c r="K1674" t="s">
        <v>19</v>
      </c>
      <c r="L1674" t="s">
        <v>20</v>
      </c>
      <c r="M1674" s="2">
        <v>5</v>
      </c>
      <c r="N1674" t="s">
        <v>21</v>
      </c>
    </row>
    <row r="1675" spans="1:14" x14ac:dyDescent="0.3">
      <c r="A1675" t="s">
        <v>1711</v>
      </c>
      <c r="B1675" s="2">
        <v>29</v>
      </c>
      <c r="C1675" t="s">
        <v>23</v>
      </c>
      <c r="D1675" t="s">
        <v>50</v>
      </c>
      <c r="E1675" t="s">
        <v>29</v>
      </c>
      <c r="F1675" s="3">
        <v>45735</v>
      </c>
      <c r="G1675" s="3">
        <v>45937</v>
      </c>
      <c r="H1675" s="2">
        <v>16</v>
      </c>
      <c r="I1675" s="1">
        <v>452</v>
      </c>
      <c r="J1675" s="1">
        <v>28.25</v>
      </c>
      <c r="K1675" t="s">
        <v>45</v>
      </c>
      <c r="L1675" t="s">
        <v>26</v>
      </c>
      <c r="M1675" s="2">
        <v>8</v>
      </c>
      <c r="N1675" t="s">
        <v>21</v>
      </c>
    </row>
    <row r="1676" spans="1:14" x14ac:dyDescent="0.3">
      <c r="A1676" t="s">
        <v>1712</v>
      </c>
      <c r="B1676" s="2">
        <v>44</v>
      </c>
      <c r="C1676" t="s">
        <v>16</v>
      </c>
      <c r="D1676" t="s">
        <v>61</v>
      </c>
      <c r="E1676" t="s">
        <v>38</v>
      </c>
      <c r="F1676" s="3">
        <v>45321</v>
      </c>
      <c r="G1676" s="3">
        <v>45561</v>
      </c>
      <c r="H1676" s="2">
        <v>2</v>
      </c>
      <c r="I1676" s="1">
        <v>451.56</v>
      </c>
      <c r="J1676" s="1">
        <v>225.78</v>
      </c>
      <c r="K1676" t="s">
        <v>19</v>
      </c>
      <c r="L1676" t="s">
        <v>20</v>
      </c>
      <c r="M1676" s="2">
        <v>9</v>
      </c>
      <c r="N1676" t="s">
        <v>31</v>
      </c>
    </row>
    <row r="1677" spans="1:14" x14ac:dyDescent="0.3">
      <c r="A1677" t="s">
        <v>1713</v>
      </c>
      <c r="B1677" s="2">
        <v>51</v>
      </c>
      <c r="C1677" t="s">
        <v>16</v>
      </c>
      <c r="D1677" t="s">
        <v>42</v>
      </c>
      <c r="E1677" t="s">
        <v>34</v>
      </c>
      <c r="F1677" s="3">
        <v>45314</v>
      </c>
      <c r="G1677" s="3">
        <v>45525</v>
      </c>
      <c r="H1677" s="2">
        <v>8</v>
      </c>
      <c r="I1677" s="1">
        <v>451.2</v>
      </c>
      <c r="J1677" s="1">
        <v>56.4</v>
      </c>
      <c r="K1677" t="s">
        <v>45</v>
      </c>
      <c r="L1677" t="s">
        <v>30</v>
      </c>
      <c r="M1677" s="2">
        <v>1</v>
      </c>
      <c r="N1677" t="s">
        <v>21</v>
      </c>
    </row>
    <row r="1678" spans="1:14" x14ac:dyDescent="0.3">
      <c r="A1678" t="s">
        <v>1714</v>
      </c>
      <c r="B1678" s="2">
        <v>27</v>
      </c>
      <c r="C1678" t="s">
        <v>23</v>
      </c>
      <c r="D1678" t="s">
        <v>61</v>
      </c>
      <c r="E1678" t="s">
        <v>38</v>
      </c>
      <c r="F1678" s="3">
        <v>45456</v>
      </c>
      <c r="G1678" s="3">
        <v>45655</v>
      </c>
      <c r="H1678" s="2">
        <v>21</v>
      </c>
      <c r="I1678" s="1">
        <v>451.08</v>
      </c>
      <c r="J1678" s="1">
        <v>21.48</v>
      </c>
      <c r="K1678" t="s">
        <v>39</v>
      </c>
      <c r="L1678" t="s">
        <v>30</v>
      </c>
      <c r="M1678" s="2">
        <v>5</v>
      </c>
      <c r="N1678" t="s">
        <v>31</v>
      </c>
    </row>
    <row r="1679" spans="1:14" x14ac:dyDescent="0.3">
      <c r="A1679" t="s">
        <v>1715</v>
      </c>
      <c r="B1679" s="2">
        <v>59</v>
      </c>
      <c r="C1679" t="s">
        <v>23</v>
      </c>
      <c r="D1679" t="s">
        <v>44</v>
      </c>
      <c r="E1679" t="s">
        <v>29</v>
      </c>
      <c r="F1679" s="3">
        <v>45571</v>
      </c>
      <c r="G1679" s="3">
        <v>45669</v>
      </c>
      <c r="H1679" s="2">
        <v>4</v>
      </c>
      <c r="I1679" s="1">
        <v>450.36</v>
      </c>
      <c r="J1679" s="1">
        <v>112.59</v>
      </c>
      <c r="K1679" t="s">
        <v>39</v>
      </c>
      <c r="L1679" t="s">
        <v>20</v>
      </c>
      <c r="M1679" s="2">
        <v>6</v>
      </c>
      <c r="N1679" t="s">
        <v>21</v>
      </c>
    </row>
    <row r="1680" spans="1:14" x14ac:dyDescent="0.3">
      <c r="A1680" t="s">
        <v>1716</v>
      </c>
      <c r="B1680" s="2">
        <v>19</v>
      </c>
      <c r="C1680" t="s">
        <v>23</v>
      </c>
      <c r="D1680" t="s">
        <v>61</v>
      </c>
      <c r="E1680" t="s">
        <v>18</v>
      </c>
      <c r="F1680" s="3">
        <v>45708</v>
      </c>
      <c r="G1680" s="3">
        <v>45741</v>
      </c>
      <c r="H1680" s="2">
        <v>16</v>
      </c>
      <c r="I1680" s="1">
        <v>449.44</v>
      </c>
      <c r="J1680" s="1">
        <v>28.09</v>
      </c>
      <c r="K1680" t="s">
        <v>25</v>
      </c>
      <c r="L1680" t="s">
        <v>20</v>
      </c>
      <c r="M1680" s="2">
        <v>3</v>
      </c>
      <c r="N1680" t="s">
        <v>21</v>
      </c>
    </row>
    <row r="1681" spans="1:14" x14ac:dyDescent="0.3">
      <c r="A1681" t="s">
        <v>1717</v>
      </c>
      <c r="B1681" s="2">
        <v>27</v>
      </c>
      <c r="C1681" t="s">
        <v>16</v>
      </c>
      <c r="D1681" t="s">
        <v>28</v>
      </c>
      <c r="E1681" t="s">
        <v>18</v>
      </c>
      <c r="F1681" s="3">
        <v>45951</v>
      </c>
      <c r="G1681" s="3">
        <v>45973</v>
      </c>
      <c r="H1681" s="2">
        <v>5</v>
      </c>
      <c r="I1681" s="1">
        <v>447.7</v>
      </c>
      <c r="J1681" s="1">
        <v>89.54</v>
      </c>
      <c r="K1681" t="s">
        <v>39</v>
      </c>
      <c r="L1681" t="s">
        <v>20</v>
      </c>
      <c r="M1681" s="2">
        <v>6</v>
      </c>
      <c r="N1681" t="s">
        <v>31</v>
      </c>
    </row>
    <row r="1682" spans="1:14" x14ac:dyDescent="0.3">
      <c r="A1682" t="s">
        <v>1718</v>
      </c>
      <c r="B1682" s="2">
        <v>48</v>
      </c>
      <c r="C1682" t="s">
        <v>23</v>
      </c>
      <c r="D1682" t="s">
        <v>44</v>
      </c>
      <c r="E1682" t="s">
        <v>34</v>
      </c>
      <c r="F1682" s="3">
        <v>45449</v>
      </c>
      <c r="G1682" s="3">
        <v>45463</v>
      </c>
      <c r="H1682" s="2">
        <v>3</v>
      </c>
      <c r="I1682" s="1">
        <v>446.61</v>
      </c>
      <c r="J1682" s="1">
        <v>148.87</v>
      </c>
      <c r="K1682" t="s">
        <v>19</v>
      </c>
      <c r="L1682" t="s">
        <v>20</v>
      </c>
      <c r="M1682" s="2">
        <v>1</v>
      </c>
      <c r="N1682" t="s">
        <v>21</v>
      </c>
    </row>
    <row r="1683" spans="1:14" x14ac:dyDescent="0.3">
      <c r="A1683" t="s">
        <v>1719</v>
      </c>
      <c r="B1683" s="2">
        <v>34</v>
      </c>
      <c r="C1683" t="s">
        <v>23</v>
      </c>
      <c r="D1683" t="s">
        <v>61</v>
      </c>
      <c r="E1683" t="s">
        <v>38</v>
      </c>
      <c r="F1683" s="3">
        <v>45438</v>
      </c>
      <c r="G1683" s="3">
        <v>45573</v>
      </c>
      <c r="H1683" s="2">
        <v>5</v>
      </c>
      <c r="I1683" s="1">
        <v>445.3</v>
      </c>
      <c r="J1683" s="1">
        <v>89.06</v>
      </c>
      <c r="K1683" t="s">
        <v>45</v>
      </c>
      <c r="L1683" t="s">
        <v>30</v>
      </c>
      <c r="M1683" s="2">
        <v>3</v>
      </c>
      <c r="N1683" t="s">
        <v>21</v>
      </c>
    </row>
    <row r="1684" spans="1:14" x14ac:dyDescent="0.3">
      <c r="A1684" t="s">
        <v>1720</v>
      </c>
      <c r="B1684" s="2">
        <v>54</v>
      </c>
      <c r="C1684" t="s">
        <v>16</v>
      </c>
      <c r="D1684" t="s">
        <v>17</v>
      </c>
      <c r="E1684" t="s">
        <v>34</v>
      </c>
      <c r="F1684" s="3">
        <v>45312</v>
      </c>
      <c r="G1684" s="3">
        <v>45390</v>
      </c>
      <c r="H1684" s="2">
        <v>8</v>
      </c>
      <c r="I1684" s="1">
        <v>442.72</v>
      </c>
      <c r="J1684" s="1">
        <v>55.34</v>
      </c>
      <c r="K1684" t="s">
        <v>45</v>
      </c>
      <c r="L1684" t="s">
        <v>30</v>
      </c>
      <c r="M1684" s="2">
        <v>10</v>
      </c>
      <c r="N1684" t="s">
        <v>21</v>
      </c>
    </row>
    <row r="1685" spans="1:14" x14ac:dyDescent="0.3">
      <c r="A1685" t="s">
        <v>1721</v>
      </c>
      <c r="B1685" s="2">
        <v>38</v>
      </c>
      <c r="C1685" t="s">
        <v>23</v>
      </c>
      <c r="D1685" t="s">
        <v>17</v>
      </c>
      <c r="E1685" t="s">
        <v>18</v>
      </c>
      <c r="F1685" s="3">
        <v>45597</v>
      </c>
      <c r="G1685" s="3">
        <v>45796</v>
      </c>
      <c r="H1685" s="2">
        <v>4</v>
      </c>
      <c r="I1685" s="1">
        <v>438.44</v>
      </c>
      <c r="J1685" s="1">
        <v>109.61</v>
      </c>
      <c r="K1685" t="s">
        <v>39</v>
      </c>
      <c r="L1685" t="s">
        <v>30</v>
      </c>
      <c r="M1685" s="2">
        <v>4</v>
      </c>
      <c r="N1685" t="s">
        <v>21</v>
      </c>
    </row>
    <row r="1686" spans="1:14" x14ac:dyDescent="0.3">
      <c r="A1686" t="s">
        <v>1722</v>
      </c>
      <c r="B1686" s="2">
        <v>55</v>
      </c>
      <c r="C1686" t="s">
        <v>23</v>
      </c>
      <c r="D1686" t="s">
        <v>61</v>
      </c>
      <c r="E1686" t="s">
        <v>38</v>
      </c>
      <c r="F1686" s="3">
        <v>45725</v>
      </c>
      <c r="G1686" s="3">
        <v>45918</v>
      </c>
      <c r="H1686" s="2">
        <v>3</v>
      </c>
      <c r="I1686" s="1">
        <v>437.22</v>
      </c>
      <c r="J1686" s="1">
        <v>145.74</v>
      </c>
      <c r="K1686" t="s">
        <v>19</v>
      </c>
      <c r="L1686" t="s">
        <v>30</v>
      </c>
      <c r="M1686" s="2">
        <v>6</v>
      </c>
      <c r="N1686" t="s">
        <v>21</v>
      </c>
    </row>
    <row r="1687" spans="1:14" x14ac:dyDescent="0.3">
      <c r="A1687" t="s">
        <v>1723</v>
      </c>
      <c r="B1687" s="2">
        <v>50</v>
      </c>
      <c r="C1687" t="s">
        <v>23</v>
      </c>
      <c r="D1687" t="s">
        <v>24</v>
      </c>
      <c r="E1687" t="s">
        <v>38</v>
      </c>
      <c r="F1687" s="3">
        <v>45654</v>
      </c>
      <c r="G1687" s="3">
        <v>45874</v>
      </c>
      <c r="H1687" s="2">
        <v>7</v>
      </c>
      <c r="I1687" s="1">
        <v>435.19</v>
      </c>
      <c r="J1687" s="1">
        <v>62.17</v>
      </c>
      <c r="K1687" t="s">
        <v>45</v>
      </c>
      <c r="L1687" t="s">
        <v>26</v>
      </c>
      <c r="M1687" s="2">
        <v>2</v>
      </c>
      <c r="N1687" t="s">
        <v>21</v>
      </c>
    </row>
    <row r="1688" spans="1:14" x14ac:dyDescent="0.3">
      <c r="A1688" t="s">
        <v>1724</v>
      </c>
      <c r="B1688" s="2">
        <v>48</v>
      </c>
      <c r="C1688" t="s">
        <v>16</v>
      </c>
      <c r="D1688" t="s">
        <v>50</v>
      </c>
      <c r="E1688" t="s">
        <v>34</v>
      </c>
      <c r="F1688" s="3">
        <v>45330</v>
      </c>
      <c r="G1688" s="3">
        <v>45433</v>
      </c>
      <c r="H1688" s="2">
        <v>3</v>
      </c>
      <c r="I1688" s="1">
        <v>432.78</v>
      </c>
      <c r="J1688" s="1">
        <v>144.26</v>
      </c>
      <c r="K1688" t="s">
        <v>35</v>
      </c>
      <c r="L1688" t="s">
        <v>20</v>
      </c>
      <c r="M1688" s="2">
        <v>9</v>
      </c>
      <c r="N1688" t="s">
        <v>31</v>
      </c>
    </row>
    <row r="1689" spans="1:14" x14ac:dyDescent="0.3">
      <c r="A1689" t="s">
        <v>1725</v>
      </c>
      <c r="B1689" s="2">
        <v>22</v>
      </c>
      <c r="C1689" t="s">
        <v>23</v>
      </c>
      <c r="D1689" t="s">
        <v>28</v>
      </c>
      <c r="E1689" t="s">
        <v>29</v>
      </c>
      <c r="F1689" s="3">
        <v>45726</v>
      </c>
      <c r="G1689" s="3">
        <v>45916</v>
      </c>
      <c r="H1689" s="2">
        <v>2</v>
      </c>
      <c r="I1689" s="1">
        <v>432.78</v>
      </c>
      <c r="J1689" s="1">
        <v>216.39</v>
      </c>
      <c r="K1689" t="s">
        <v>39</v>
      </c>
      <c r="L1689" t="s">
        <v>30</v>
      </c>
      <c r="M1689" s="2">
        <v>6</v>
      </c>
      <c r="N1689" t="s">
        <v>21</v>
      </c>
    </row>
    <row r="1690" spans="1:14" x14ac:dyDescent="0.3">
      <c r="A1690" t="s">
        <v>1726</v>
      </c>
      <c r="B1690" s="2">
        <v>24</v>
      </c>
      <c r="C1690" t="s">
        <v>16</v>
      </c>
      <c r="D1690" t="s">
        <v>28</v>
      </c>
      <c r="E1690" t="s">
        <v>34</v>
      </c>
      <c r="F1690" s="3">
        <v>45391</v>
      </c>
      <c r="G1690" s="3">
        <v>45530</v>
      </c>
      <c r="H1690" s="2">
        <v>3</v>
      </c>
      <c r="I1690" s="1">
        <v>432</v>
      </c>
      <c r="J1690" s="1">
        <v>144</v>
      </c>
      <c r="K1690" t="s">
        <v>19</v>
      </c>
      <c r="L1690" t="s">
        <v>30</v>
      </c>
      <c r="M1690" s="2">
        <v>7</v>
      </c>
      <c r="N1690" t="s">
        <v>21</v>
      </c>
    </row>
    <row r="1691" spans="1:14" x14ac:dyDescent="0.3">
      <c r="A1691" t="s">
        <v>1727</v>
      </c>
      <c r="B1691" s="2">
        <v>41</v>
      </c>
      <c r="C1691" t="s">
        <v>23</v>
      </c>
      <c r="D1691" t="s">
        <v>17</v>
      </c>
      <c r="E1691" t="s">
        <v>29</v>
      </c>
      <c r="F1691" s="3">
        <v>45416</v>
      </c>
      <c r="G1691" s="3">
        <v>45518</v>
      </c>
      <c r="H1691" s="2">
        <v>5</v>
      </c>
      <c r="I1691" s="1">
        <v>431.45</v>
      </c>
      <c r="J1691" s="1">
        <v>86.29</v>
      </c>
      <c r="K1691" t="s">
        <v>19</v>
      </c>
      <c r="L1691" t="s">
        <v>30</v>
      </c>
      <c r="M1691" s="2">
        <v>2</v>
      </c>
      <c r="N1691" t="s">
        <v>21</v>
      </c>
    </row>
    <row r="1692" spans="1:14" x14ac:dyDescent="0.3">
      <c r="A1692" t="s">
        <v>1728</v>
      </c>
      <c r="B1692" s="2">
        <v>42</v>
      </c>
      <c r="C1692" t="s">
        <v>16</v>
      </c>
      <c r="D1692" t="s">
        <v>61</v>
      </c>
      <c r="E1692" t="s">
        <v>34</v>
      </c>
      <c r="F1692" s="3">
        <v>45961</v>
      </c>
      <c r="G1692" s="3">
        <v>45971</v>
      </c>
      <c r="H1692" s="2">
        <v>2</v>
      </c>
      <c r="I1692" s="1">
        <v>426.26</v>
      </c>
      <c r="J1692" s="1">
        <v>213.13</v>
      </c>
      <c r="K1692" t="s">
        <v>35</v>
      </c>
      <c r="L1692" t="s">
        <v>20</v>
      </c>
      <c r="M1692" s="2">
        <v>3</v>
      </c>
      <c r="N1692" t="s">
        <v>21</v>
      </c>
    </row>
    <row r="1693" spans="1:14" x14ac:dyDescent="0.3">
      <c r="A1693" t="s">
        <v>1729</v>
      </c>
      <c r="B1693" s="2">
        <v>47</v>
      </c>
      <c r="C1693" t="s">
        <v>23</v>
      </c>
      <c r="D1693" t="s">
        <v>44</v>
      </c>
      <c r="E1693" t="s">
        <v>18</v>
      </c>
      <c r="F1693" s="3">
        <v>45801</v>
      </c>
      <c r="G1693" s="3">
        <v>46099</v>
      </c>
      <c r="H1693" s="2">
        <v>5</v>
      </c>
      <c r="I1693" s="1">
        <v>425.05</v>
      </c>
      <c r="J1693" s="1">
        <v>85.01</v>
      </c>
      <c r="K1693" t="s">
        <v>35</v>
      </c>
      <c r="L1693" t="s">
        <v>26</v>
      </c>
      <c r="M1693" s="2">
        <v>9</v>
      </c>
      <c r="N1693" t="s">
        <v>21</v>
      </c>
    </row>
    <row r="1694" spans="1:14" x14ac:dyDescent="0.3">
      <c r="A1694" t="s">
        <v>1730</v>
      </c>
      <c r="B1694" s="2">
        <v>58</v>
      </c>
      <c r="C1694" t="s">
        <v>16</v>
      </c>
      <c r="D1694" t="s">
        <v>17</v>
      </c>
      <c r="E1694" t="s">
        <v>34</v>
      </c>
      <c r="F1694" s="3">
        <v>45990</v>
      </c>
      <c r="G1694" s="3">
        <v>46189</v>
      </c>
      <c r="H1694" s="2">
        <v>2</v>
      </c>
      <c r="I1694" s="1">
        <v>424.56</v>
      </c>
      <c r="J1694" s="1">
        <v>212.28</v>
      </c>
      <c r="K1694" t="s">
        <v>25</v>
      </c>
      <c r="L1694" t="s">
        <v>26</v>
      </c>
      <c r="M1694" s="2">
        <v>5</v>
      </c>
      <c r="N1694" t="s">
        <v>31</v>
      </c>
    </row>
    <row r="1695" spans="1:14" x14ac:dyDescent="0.3">
      <c r="A1695" t="s">
        <v>1731</v>
      </c>
      <c r="B1695" s="2">
        <v>57</v>
      </c>
      <c r="C1695" t="s">
        <v>16</v>
      </c>
      <c r="D1695" t="s">
        <v>44</v>
      </c>
      <c r="E1695" t="s">
        <v>38</v>
      </c>
      <c r="F1695" s="3">
        <v>45677</v>
      </c>
      <c r="G1695" s="3">
        <v>45755</v>
      </c>
      <c r="H1695" s="2">
        <v>6</v>
      </c>
      <c r="I1695" s="1">
        <v>423.84</v>
      </c>
      <c r="J1695" s="1">
        <v>70.64</v>
      </c>
      <c r="K1695" t="s">
        <v>39</v>
      </c>
      <c r="L1695" t="s">
        <v>26</v>
      </c>
      <c r="M1695" s="2">
        <v>6</v>
      </c>
      <c r="N1695" t="s">
        <v>21</v>
      </c>
    </row>
    <row r="1696" spans="1:14" x14ac:dyDescent="0.3">
      <c r="A1696" t="s">
        <v>1732</v>
      </c>
      <c r="B1696" s="2">
        <v>52</v>
      </c>
      <c r="C1696" t="s">
        <v>16</v>
      </c>
      <c r="D1696" t="s">
        <v>50</v>
      </c>
      <c r="E1696" t="s">
        <v>34</v>
      </c>
      <c r="F1696" s="3">
        <v>45604</v>
      </c>
      <c r="G1696" s="3">
        <v>45834</v>
      </c>
      <c r="H1696" s="2">
        <v>16</v>
      </c>
      <c r="I1696" s="1">
        <v>421.92</v>
      </c>
      <c r="J1696" s="1">
        <v>26.37</v>
      </c>
      <c r="K1696" t="s">
        <v>19</v>
      </c>
      <c r="L1696" t="s">
        <v>26</v>
      </c>
      <c r="M1696" s="2">
        <v>10</v>
      </c>
      <c r="N1696" t="s">
        <v>21</v>
      </c>
    </row>
    <row r="1697" spans="1:14" x14ac:dyDescent="0.3">
      <c r="A1697" t="s">
        <v>1733</v>
      </c>
      <c r="B1697" s="2">
        <v>34</v>
      </c>
      <c r="C1697" t="s">
        <v>23</v>
      </c>
      <c r="D1697" t="s">
        <v>44</v>
      </c>
      <c r="E1697" t="s">
        <v>18</v>
      </c>
      <c r="F1697" s="3">
        <v>45949</v>
      </c>
      <c r="G1697" s="3">
        <v>46194</v>
      </c>
      <c r="H1697" s="2">
        <v>13</v>
      </c>
      <c r="I1697" s="1">
        <v>419.9</v>
      </c>
      <c r="J1697" s="1">
        <v>32.299999999999997</v>
      </c>
      <c r="K1697" t="s">
        <v>19</v>
      </c>
      <c r="L1697" t="s">
        <v>30</v>
      </c>
      <c r="M1697" s="2">
        <v>8</v>
      </c>
      <c r="N1697" t="s">
        <v>21</v>
      </c>
    </row>
    <row r="1698" spans="1:14" x14ac:dyDescent="0.3">
      <c r="A1698" t="s">
        <v>1734</v>
      </c>
      <c r="B1698" s="2">
        <v>28</v>
      </c>
      <c r="C1698" t="s">
        <v>16</v>
      </c>
      <c r="D1698" t="s">
        <v>50</v>
      </c>
      <c r="E1698" t="s">
        <v>38</v>
      </c>
      <c r="F1698" s="3">
        <v>45533</v>
      </c>
      <c r="G1698" s="3">
        <v>45792</v>
      </c>
      <c r="H1698" s="2">
        <v>3</v>
      </c>
      <c r="I1698" s="1">
        <v>418.05</v>
      </c>
      <c r="J1698" s="1">
        <v>139.35</v>
      </c>
      <c r="K1698" t="s">
        <v>25</v>
      </c>
      <c r="L1698" t="s">
        <v>20</v>
      </c>
      <c r="M1698" s="2">
        <v>4</v>
      </c>
      <c r="N1698" t="s">
        <v>21</v>
      </c>
    </row>
    <row r="1699" spans="1:14" x14ac:dyDescent="0.3">
      <c r="A1699" t="s">
        <v>1735</v>
      </c>
      <c r="B1699" s="2">
        <v>22</v>
      </c>
      <c r="C1699" t="s">
        <v>16</v>
      </c>
      <c r="D1699" t="s">
        <v>42</v>
      </c>
      <c r="E1699" t="s">
        <v>18</v>
      </c>
      <c r="F1699" s="3">
        <v>45908</v>
      </c>
      <c r="G1699" s="3">
        <v>46202</v>
      </c>
      <c r="H1699" s="2">
        <v>3</v>
      </c>
      <c r="I1699" s="1">
        <v>416.93999999999988</v>
      </c>
      <c r="J1699" s="1">
        <v>138.97999999999999</v>
      </c>
      <c r="K1699" t="s">
        <v>25</v>
      </c>
      <c r="L1699" t="s">
        <v>30</v>
      </c>
      <c r="M1699" s="2">
        <v>10</v>
      </c>
      <c r="N1699" t="s">
        <v>21</v>
      </c>
    </row>
    <row r="1700" spans="1:14" x14ac:dyDescent="0.3">
      <c r="A1700" t="s">
        <v>1736</v>
      </c>
      <c r="B1700" s="2">
        <v>52</v>
      </c>
      <c r="C1700" t="s">
        <v>16</v>
      </c>
      <c r="D1700" t="s">
        <v>17</v>
      </c>
      <c r="E1700" t="s">
        <v>18</v>
      </c>
      <c r="F1700" s="3">
        <v>45420</v>
      </c>
      <c r="G1700" s="3">
        <v>45470</v>
      </c>
      <c r="H1700" s="2">
        <v>11</v>
      </c>
      <c r="I1700" s="1">
        <v>415.58</v>
      </c>
      <c r="J1700" s="1">
        <v>37.78</v>
      </c>
      <c r="K1700" t="s">
        <v>35</v>
      </c>
      <c r="L1700" t="s">
        <v>20</v>
      </c>
      <c r="M1700" s="2">
        <v>9</v>
      </c>
      <c r="N1700" t="s">
        <v>21</v>
      </c>
    </row>
    <row r="1701" spans="1:14" x14ac:dyDescent="0.3">
      <c r="A1701" t="s">
        <v>1737</v>
      </c>
      <c r="B1701" s="2">
        <v>19</v>
      </c>
      <c r="C1701" t="s">
        <v>23</v>
      </c>
      <c r="D1701" t="s">
        <v>28</v>
      </c>
      <c r="E1701" t="s">
        <v>38</v>
      </c>
      <c r="F1701" s="3">
        <v>45990</v>
      </c>
      <c r="G1701" s="3">
        <v>46111</v>
      </c>
      <c r="H1701" s="2">
        <v>12</v>
      </c>
      <c r="I1701" s="1">
        <v>414.24</v>
      </c>
      <c r="J1701" s="1">
        <v>34.520000000000003</v>
      </c>
      <c r="K1701" t="s">
        <v>35</v>
      </c>
      <c r="L1701" t="s">
        <v>20</v>
      </c>
      <c r="M1701" s="2">
        <v>10</v>
      </c>
      <c r="N1701" t="s">
        <v>21</v>
      </c>
    </row>
    <row r="1702" spans="1:14" x14ac:dyDescent="0.3">
      <c r="A1702" t="s">
        <v>1738</v>
      </c>
      <c r="B1702" s="2">
        <v>21</v>
      </c>
      <c r="C1702" t="s">
        <v>23</v>
      </c>
      <c r="D1702" t="s">
        <v>44</v>
      </c>
      <c r="E1702" t="s">
        <v>18</v>
      </c>
      <c r="F1702" s="3">
        <v>45473</v>
      </c>
      <c r="G1702" s="3">
        <v>45540</v>
      </c>
      <c r="H1702" s="2">
        <v>3</v>
      </c>
      <c r="I1702" s="1">
        <v>412.43999999999988</v>
      </c>
      <c r="J1702" s="1">
        <v>137.47999999999999</v>
      </c>
      <c r="K1702" t="s">
        <v>45</v>
      </c>
      <c r="L1702" t="s">
        <v>30</v>
      </c>
      <c r="M1702" s="2">
        <v>9</v>
      </c>
      <c r="N1702" t="s">
        <v>21</v>
      </c>
    </row>
    <row r="1703" spans="1:14" x14ac:dyDescent="0.3">
      <c r="A1703" t="s">
        <v>1739</v>
      </c>
      <c r="B1703" s="2">
        <v>48</v>
      </c>
      <c r="C1703" t="s">
        <v>16</v>
      </c>
      <c r="D1703" t="s">
        <v>28</v>
      </c>
      <c r="E1703" t="s">
        <v>18</v>
      </c>
      <c r="F1703" s="3">
        <v>45794</v>
      </c>
      <c r="G1703" s="3">
        <v>45890</v>
      </c>
      <c r="H1703" s="2">
        <v>13</v>
      </c>
      <c r="I1703" s="1">
        <v>411.45</v>
      </c>
      <c r="J1703" s="1">
        <v>31.65</v>
      </c>
      <c r="K1703" t="s">
        <v>45</v>
      </c>
      <c r="L1703" t="s">
        <v>20</v>
      </c>
      <c r="M1703" s="2">
        <v>10</v>
      </c>
      <c r="N1703" t="s">
        <v>31</v>
      </c>
    </row>
    <row r="1704" spans="1:14" x14ac:dyDescent="0.3">
      <c r="A1704" t="s">
        <v>1740</v>
      </c>
      <c r="B1704" s="2">
        <v>59</v>
      </c>
      <c r="C1704" t="s">
        <v>23</v>
      </c>
      <c r="D1704" t="s">
        <v>61</v>
      </c>
      <c r="E1704" t="s">
        <v>18</v>
      </c>
      <c r="F1704" s="3">
        <v>45713</v>
      </c>
      <c r="G1704" s="3">
        <v>45892</v>
      </c>
      <c r="H1704" s="2">
        <v>2</v>
      </c>
      <c r="I1704" s="1">
        <v>410.3</v>
      </c>
      <c r="J1704" s="1">
        <v>205.15</v>
      </c>
      <c r="K1704" t="s">
        <v>39</v>
      </c>
      <c r="L1704" t="s">
        <v>26</v>
      </c>
      <c r="M1704" s="2">
        <v>2</v>
      </c>
      <c r="N1704" t="s">
        <v>21</v>
      </c>
    </row>
    <row r="1705" spans="1:14" x14ac:dyDescent="0.3">
      <c r="A1705" t="s">
        <v>1741</v>
      </c>
      <c r="B1705" s="2">
        <v>41</v>
      </c>
      <c r="C1705" t="s">
        <v>23</v>
      </c>
      <c r="D1705" t="s">
        <v>17</v>
      </c>
      <c r="E1705" t="s">
        <v>34</v>
      </c>
      <c r="F1705" s="3">
        <v>45793</v>
      </c>
      <c r="G1705" s="3">
        <v>46028</v>
      </c>
      <c r="H1705" s="2">
        <v>12</v>
      </c>
      <c r="I1705" s="1">
        <v>408.24</v>
      </c>
      <c r="J1705" s="1">
        <v>34.020000000000003</v>
      </c>
      <c r="K1705" t="s">
        <v>45</v>
      </c>
      <c r="L1705" t="s">
        <v>30</v>
      </c>
      <c r="M1705" s="2">
        <v>9</v>
      </c>
      <c r="N1705" t="s">
        <v>21</v>
      </c>
    </row>
    <row r="1706" spans="1:14" x14ac:dyDescent="0.3">
      <c r="A1706" t="s">
        <v>1742</v>
      </c>
      <c r="B1706" s="2">
        <v>18</v>
      </c>
      <c r="C1706" t="s">
        <v>16</v>
      </c>
      <c r="D1706" t="s">
        <v>28</v>
      </c>
      <c r="E1706" t="s">
        <v>29</v>
      </c>
      <c r="F1706" s="3">
        <v>45855</v>
      </c>
      <c r="G1706" s="3">
        <v>45905</v>
      </c>
      <c r="H1706" s="2">
        <v>2</v>
      </c>
      <c r="I1706" s="1">
        <v>405.2</v>
      </c>
      <c r="J1706" s="1">
        <v>202.6</v>
      </c>
      <c r="K1706" t="s">
        <v>25</v>
      </c>
      <c r="L1706" t="s">
        <v>26</v>
      </c>
      <c r="M1706" s="2">
        <v>8</v>
      </c>
      <c r="N1706" t="s">
        <v>21</v>
      </c>
    </row>
    <row r="1707" spans="1:14" x14ac:dyDescent="0.3">
      <c r="A1707" t="s">
        <v>1743</v>
      </c>
      <c r="B1707" s="2">
        <v>21</v>
      </c>
      <c r="C1707" t="s">
        <v>23</v>
      </c>
      <c r="D1707" t="s">
        <v>17</v>
      </c>
      <c r="E1707" t="s">
        <v>18</v>
      </c>
      <c r="F1707" s="3">
        <v>45451</v>
      </c>
      <c r="G1707" s="3">
        <v>45627</v>
      </c>
      <c r="H1707" s="2">
        <v>17</v>
      </c>
      <c r="I1707" s="1">
        <v>404.94</v>
      </c>
      <c r="J1707" s="1">
        <v>23.82</v>
      </c>
      <c r="K1707" t="s">
        <v>35</v>
      </c>
      <c r="L1707" t="s">
        <v>26</v>
      </c>
      <c r="M1707" s="2">
        <v>5</v>
      </c>
      <c r="N1707" t="s">
        <v>21</v>
      </c>
    </row>
    <row r="1708" spans="1:14" x14ac:dyDescent="0.3">
      <c r="A1708" t="s">
        <v>1744</v>
      </c>
      <c r="B1708" s="2">
        <v>56</v>
      </c>
      <c r="C1708" t="s">
        <v>16</v>
      </c>
      <c r="D1708" t="s">
        <v>42</v>
      </c>
      <c r="E1708" t="s">
        <v>38</v>
      </c>
      <c r="F1708" s="3">
        <v>45658</v>
      </c>
      <c r="G1708" s="3">
        <v>45915</v>
      </c>
      <c r="H1708" s="2">
        <v>4</v>
      </c>
      <c r="I1708" s="1">
        <v>404.64</v>
      </c>
      <c r="J1708" s="1">
        <v>101.16</v>
      </c>
      <c r="K1708" t="s">
        <v>35</v>
      </c>
      <c r="L1708" t="s">
        <v>26</v>
      </c>
      <c r="M1708" s="2">
        <v>1</v>
      </c>
      <c r="N1708" t="s">
        <v>21</v>
      </c>
    </row>
    <row r="1709" spans="1:14" x14ac:dyDescent="0.3">
      <c r="A1709" t="s">
        <v>1745</v>
      </c>
      <c r="B1709" s="2">
        <v>59</v>
      </c>
      <c r="C1709" t="s">
        <v>16</v>
      </c>
      <c r="D1709" t="s">
        <v>24</v>
      </c>
      <c r="E1709" t="s">
        <v>38</v>
      </c>
      <c r="F1709" s="3">
        <v>45304</v>
      </c>
      <c r="G1709" s="3">
        <v>45512</v>
      </c>
      <c r="H1709" s="2">
        <v>7</v>
      </c>
      <c r="I1709" s="1">
        <v>400.12</v>
      </c>
      <c r="J1709" s="1">
        <v>57.16</v>
      </c>
      <c r="K1709" t="s">
        <v>45</v>
      </c>
      <c r="L1709" t="s">
        <v>30</v>
      </c>
      <c r="M1709" s="2">
        <v>8</v>
      </c>
      <c r="N1709" t="s">
        <v>21</v>
      </c>
    </row>
    <row r="1710" spans="1:14" x14ac:dyDescent="0.3">
      <c r="A1710" t="s">
        <v>1746</v>
      </c>
      <c r="B1710" s="2">
        <v>57</v>
      </c>
      <c r="C1710" t="s">
        <v>23</v>
      </c>
      <c r="D1710" t="s">
        <v>42</v>
      </c>
      <c r="E1710" t="s">
        <v>34</v>
      </c>
      <c r="F1710" s="3">
        <v>45509</v>
      </c>
      <c r="G1710" s="3">
        <v>45586</v>
      </c>
      <c r="H1710" s="2">
        <v>18</v>
      </c>
      <c r="I1710" s="1">
        <v>397.08</v>
      </c>
      <c r="J1710" s="1">
        <v>22.06</v>
      </c>
      <c r="K1710" t="s">
        <v>19</v>
      </c>
      <c r="L1710" t="s">
        <v>26</v>
      </c>
      <c r="M1710" s="2">
        <v>3</v>
      </c>
      <c r="N1710" t="s">
        <v>21</v>
      </c>
    </row>
    <row r="1711" spans="1:14" x14ac:dyDescent="0.3">
      <c r="A1711" t="s">
        <v>1747</v>
      </c>
      <c r="B1711" s="2">
        <v>31</v>
      </c>
      <c r="C1711" t="s">
        <v>16</v>
      </c>
      <c r="D1711" t="s">
        <v>24</v>
      </c>
      <c r="E1711" t="s">
        <v>29</v>
      </c>
      <c r="F1711" s="3">
        <v>45363</v>
      </c>
      <c r="G1711" s="3">
        <v>45461</v>
      </c>
      <c r="H1711" s="2">
        <v>2</v>
      </c>
      <c r="I1711" s="1">
        <v>395.24</v>
      </c>
      <c r="J1711" s="1">
        <v>197.62</v>
      </c>
      <c r="K1711" t="s">
        <v>19</v>
      </c>
      <c r="L1711" t="s">
        <v>20</v>
      </c>
      <c r="M1711" s="2">
        <v>4</v>
      </c>
      <c r="N1711" t="s">
        <v>31</v>
      </c>
    </row>
    <row r="1712" spans="1:14" x14ac:dyDescent="0.3">
      <c r="A1712" t="s">
        <v>1748</v>
      </c>
      <c r="B1712" s="2">
        <v>48</v>
      </c>
      <c r="C1712" t="s">
        <v>16</v>
      </c>
      <c r="D1712" t="s">
        <v>24</v>
      </c>
      <c r="E1712" t="s">
        <v>29</v>
      </c>
      <c r="F1712" s="3">
        <v>45954</v>
      </c>
      <c r="G1712" s="3">
        <v>46186</v>
      </c>
      <c r="H1712" s="2">
        <v>13</v>
      </c>
      <c r="I1712" s="1">
        <v>392.21</v>
      </c>
      <c r="J1712" s="1">
        <v>30.17</v>
      </c>
      <c r="K1712" t="s">
        <v>35</v>
      </c>
      <c r="L1712" t="s">
        <v>26</v>
      </c>
      <c r="M1712" s="2">
        <v>8</v>
      </c>
      <c r="N1712" t="s">
        <v>21</v>
      </c>
    </row>
    <row r="1713" spans="1:14" x14ac:dyDescent="0.3">
      <c r="A1713" t="s">
        <v>1749</v>
      </c>
      <c r="B1713" s="2">
        <v>31</v>
      </c>
      <c r="C1713" t="s">
        <v>16</v>
      </c>
      <c r="D1713" t="s">
        <v>61</v>
      </c>
      <c r="E1713" t="s">
        <v>34</v>
      </c>
      <c r="F1713" s="3">
        <v>45842</v>
      </c>
      <c r="G1713" s="3">
        <v>45920</v>
      </c>
      <c r="H1713" s="2">
        <v>9</v>
      </c>
      <c r="I1713" s="1">
        <v>390.68999999999988</v>
      </c>
      <c r="J1713" s="1">
        <v>43.41</v>
      </c>
      <c r="K1713" t="s">
        <v>35</v>
      </c>
      <c r="L1713" t="s">
        <v>20</v>
      </c>
      <c r="M1713" s="2">
        <v>2</v>
      </c>
      <c r="N1713" t="s">
        <v>31</v>
      </c>
    </row>
    <row r="1714" spans="1:14" x14ac:dyDescent="0.3">
      <c r="A1714" t="s">
        <v>1750</v>
      </c>
      <c r="B1714" s="2">
        <v>40</v>
      </c>
      <c r="C1714" t="s">
        <v>16</v>
      </c>
      <c r="D1714" t="s">
        <v>44</v>
      </c>
      <c r="E1714" t="s">
        <v>34</v>
      </c>
      <c r="F1714" s="3">
        <v>45593</v>
      </c>
      <c r="G1714" s="3">
        <v>45759</v>
      </c>
      <c r="H1714" s="2">
        <v>2</v>
      </c>
      <c r="I1714" s="1">
        <v>390.52</v>
      </c>
      <c r="J1714" s="1">
        <v>195.26</v>
      </c>
      <c r="K1714" t="s">
        <v>25</v>
      </c>
      <c r="L1714" t="s">
        <v>26</v>
      </c>
      <c r="M1714" s="2">
        <v>1</v>
      </c>
      <c r="N1714" t="s">
        <v>31</v>
      </c>
    </row>
    <row r="1715" spans="1:14" x14ac:dyDescent="0.3">
      <c r="A1715" t="s">
        <v>1751</v>
      </c>
      <c r="B1715" s="2">
        <v>48</v>
      </c>
      <c r="C1715" t="s">
        <v>23</v>
      </c>
      <c r="D1715" t="s">
        <v>24</v>
      </c>
      <c r="E1715" t="s">
        <v>18</v>
      </c>
      <c r="F1715" s="3">
        <v>45860</v>
      </c>
      <c r="G1715" s="3">
        <v>46114</v>
      </c>
      <c r="H1715" s="2">
        <v>7</v>
      </c>
      <c r="I1715" s="1">
        <v>389.13</v>
      </c>
      <c r="J1715" s="1">
        <v>55.59</v>
      </c>
      <c r="K1715" t="s">
        <v>25</v>
      </c>
      <c r="L1715" t="s">
        <v>30</v>
      </c>
      <c r="M1715" s="2">
        <v>7</v>
      </c>
      <c r="N1715" t="s">
        <v>21</v>
      </c>
    </row>
    <row r="1716" spans="1:14" x14ac:dyDescent="0.3">
      <c r="A1716" t="s">
        <v>1752</v>
      </c>
      <c r="B1716" s="2">
        <v>19</v>
      </c>
      <c r="C1716" t="s">
        <v>16</v>
      </c>
      <c r="D1716" t="s">
        <v>24</v>
      </c>
      <c r="E1716" t="s">
        <v>38</v>
      </c>
      <c r="F1716" s="3">
        <v>45558</v>
      </c>
      <c r="G1716" s="3">
        <v>45584</v>
      </c>
      <c r="H1716" s="2">
        <v>9</v>
      </c>
      <c r="I1716" s="1">
        <v>389.07</v>
      </c>
      <c r="J1716" s="1">
        <v>43.23</v>
      </c>
      <c r="K1716" t="s">
        <v>19</v>
      </c>
      <c r="L1716" t="s">
        <v>30</v>
      </c>
      <c r="M1716" s="2">
        <v>2</v>
      </c>
      <c r="N1716" t="s">
        <v>31</v>
      </c>
    </row>
    <row r="1717" spans="1:14" x14ac:dyDescent="0.3">
      <c r="A1717" t="s">
        <v>1753</v>
      </c>
      <c r="B1717" s="2">
        <v>41</v>
      </c>
      <c r="C1717" t="s">
        <v>16</v>
      </c>
      <c r="D1717" t="s">
        <v>17</v>
      </c>
      <c r="E1717" t="s">
        <v>18</v>
      </c>
      <c r="F1717" s="3">
        <v>45431</v>
      </c>
      <c r="G1717" s="3">
        <v>45645</v>
      </c>
      <c r="H1717" s="2">
        <v>3</v>
      </c>
      <c r="I1717" s="1">
        <v>387.18</v>
      </c>
      <c r="J1717" s="1">
        <v>129.06</v>
      </c>
      <c r="K1717" t="s">
        <v>39</v>
      </c>
      <c r="L1717" t="s">
        <v>26</v>
      </c>
      <c r="M1717" s="2">
        <v>9</v>
      </c>
      <c r="N1717" t="s">
        <v>21</v>
      </c>
    </row>
    <row r="1718" spans="1:14" x14ac:dyDescent="0.3">
      <c r="A1718" t="s">
        <v>1754</v>
      </c>
      <c r="B1718" s="2">
        <v>28</v>
      </c>
      <c r="C1718" t="s">
        <v>23</v>
      </c>
      <c r="D1718" t="s">
        <v>61</v>
      </c>
      <c r="E1718" t="s">
        <v>29</v>
      </c>
      <c r="F1718" s="3">
        <v>45635</v>
      </c>
      <c r="G1718" s="3">
        <v>45667</v>
      </c>
      <c r="H1718" s="2">
        <v>4</v>
      </c>
      <c r="I1718" s="1">
        <v>386.76</v>
      </c>
      <c r="J1718" s="1">
        <v>96.69</v>
      </c>
      <c r="K1718" t="s">
        <v>35</v>
      </c>
      <c r="L1718" t="s">
        <v>30</v>
      </c>
      <c r="M1718" s="2">
        <v>10</v>
      </c>
      <c r="N1718" t="s">
        <v>21</v>
      </c>
    </row>
    <row r="1719" spans="1:14" x14ac:dyDescent="0.3">
      <c r="A1719" t="s">
        <v>1755</v>
      </c>
      <c r="B1719" s="2">
        <v>57</v>
      </c>
      <c r="C1719" t="s">
        <v>23</v>
      </c>
      <c r="D1719" t="s">
        <v>44</v>
      </c>
      <c r="E1719" t="s">
        <v>38</v>
      </c>
      <c r="F1719" s="3">
        <v>45758</v>
      </c>
      <c r="G1719" s="3">
        <v>45949</v>
      </c>
      <c r="H1719" s="2">
        <v>2</v>
      </c>
      <c r="I1719" s="1">
        <v>386</v>
      </c>
      <c r="J1719" s="1">
        <v>193</v>
      </c>
      <c r="K1719" t="s">
        <v>39</v>
      </c>
      <c r="L1719" t="s">
        <v>30</v>
      </c>
      <c r="M1719" s="2">
        <v>9</v>
      </c>
      <c r="N1719" t="s">
        <v>21</v>
      </c>
    </row>
    <row r="1720" spans="1:14" x14ac:dyDescent="0.3">
      <c r="A1720" t="s">
        <v>1756</v>
      </c>
      <c r="B1720" s="2">
        <v>25</v>
      </c>
      <c r="C1720" t="s">
        <v>16</v>
      </c>
      <c r="D1720" t="s">
        <v>17</v>
      </c>
      <c r="E1720" t="s">
        <v>34</v>
      </c>
      <c r="F1720" s="3">
        <v>45508</v>
      </c>
      <c r="G1720" s="3">
        <v>45584</v>
      </c>
      <c r="H1720" s="2">
        <v>6</v>
      </c>
      <c r="I1720" s="1">
        <v>384.36</v>
      </c>
      <c r="J1720" s="1">
        <v>64.06</v>
      </c>
      <c r="K1720" t="s">
        <v>39</v>
      </c>
      <c r="L1720" t="s">
        <v>26</v>
      </c>
      <c r="M1720" s="2">
        <v>8</v>
      </c>
      <c r="N1720" t="s">
        <v>21</v>
      </c>
    </row>
    <row r="1721" spans="1:14" x14ac:dyDescent="0.3">
      <c r="A1721" t="s">
        <v>1757</v>
      </c>
      <c r="B1721" s="2">
        <v>35</v>
      </c>
      <c r="C1721" t="s">
        <v>16</v>
      </c>
      <c r="D1721" t="s">
        <v>17</v>
      </c>
      <c r="E1721" t="s">
        <v>34</v>
      </c>
      <c r="F1721" s="3">
        <v>45340</v>
      </c>
      <c r="G1721" s="3">
        <v>45509</v>
      </c>
      <c r="H1721" s="2">
        <v>11</v>
      </c>
      <c r="I1721" s="1">
        <v>383.46</v>
      </c>
      <c r="J1721" s="1">
        <v>34.86</v>
      </c>
      <c r="K1721" t="s">
        <v>35</v>
      </c>
      <c r="L1721" t="s">
        <v>20</v>
      </c>
      <c r="M1721" s="2">
        <v>6</v>
      </c>
      <c r="N1721" t="s">
        <v>21</v>
      </c>
    </row>
    <row r="1722" spans="1:14" x14ac:dyDescent="0.3">
      <c r="A1722" t="s">
        <v>1758</v>
      </c>
      <c r="B1722" s="2">
        <v>50</v>
      </c>
      <c r="C1722" t="s">
        <v>16</v>
      </c>
      <c r="D1722" t="s">
        <v>44</v>
      </c>
      <c r="E1722" t="s">
        <v>38</v>
      </c>
      <c r="F1722" s="3">
        <v>45454</v>
      </c>
      <c r="G1722" s="3">
        <v>45677</v>
      </c>
      <c r="H1722" s="2">
        <v>8</v>
      </c>
      <c r="I1722" s="1">
        <v>383.04</v>
      </c>
      <c r="J1722" s="1">
        <v>47.88</v>
      </c>
      <c r="K1722" t="s">
        <v>45</v>
      </c>
      <c r="L1722" t="s">
        <v>20</v>
      </c>
      <c r="M1722" s="2">
        <v>3</v>
      </c>
      <c r="N1722" t="s">
        <v>21</v>
      </c>
    </row>
    <row r="1723" spans="1:14" x14ac:dyDescent="0.3">
      <c r="A1723" t="s">
        <v>1759</v>
      </c>
      <c r="B1723" s="2">
        <v>46</v>
      </c>
      <c r="C1723" t="s">
        <v>16</v>
      </c>
      <c r="D1723" t="s">
        <v>44</v>
      </c>
      <c r="E1723" t="s">
        <v>38</v>
      </c>
      <c r="F1723" s="3">
        <v>45584</v>
      </c>
      <c r="G1723" s="3">
        <v>45835</v>
      </c>
      <c r="H1723" s="2">
        <v>7</v>
      </c>
      <c r="I1723" s="1">
        <v>380.38</v>
      </c>
      <c r="J1723" s="1">
        <v>54.34</v>
      </c>
      <c r="K1723" t="s">
        <v>39</v>
      </c>
      <c r="L1723" t="s">
        <v>20</v>
      </c>
      <c r="M1723" s="2">
        <v>6</v>
      </c>
      <c r="N1723" t="s">
        <v>21</v>
      </c>
    </row>
    <row r="1724" spans="1:14" x14ac:dyDescent="0.3">
      <c r="A1724" t="s">
        <v>1760</v>
      </c>
      <c r="B1724" s="2">
        <v>51</v>
      </c>
      <c r="C1724" t="s">
        <v>16</v>
      </c>
      <c r="D1724" t="s">
        <v>42</v>
      </c>
      <c r="E1724" t="s">
        <v>29</v>
      </c>
      <c r="F1724" s="3">
        <v>45928</v>
      </c>
      <c r="G1724" s="3">
        <v>46176</v>
      </c>
      <c r="H1724" s="2">
        <v>9</v>
      </c>
      <c r="I1724" s="1">
        <v>377.64</v>
      </c>
      <c r="J1724" s="1">
        <v>41.96</v>
      </c>
      <c r="K1724" t="s">
        <v>39</v>
      </c>
      <c r="L1724" t="s">
        <v>26</v>
      </c>
      <c r="M1724" s="2">
        <v>3</v>
      </c>
      <c r="N1724" t="s">
        <v>21</v>
      </c>
    </row>
    <row r="1725" spans="1:14" x14ac:dyDescent="0.3">
      <c r="A1725" t="s">
        <v>1761</v>
      </c>
      <c r="B1725" s="2">
        <v>22</v>
      </c>
      <c r="C1725" t="s">
        <v>23</v>
      </c>
      <c r="D1725" t="s">
        <v>24</v>
      </c>
      <c r="E1725" t="s">
        <v>18</v>
      </c>
      <c r="F1725" s="3">
        <v>45473</v>
      </c>
      <c r="G1725" s="3">
        <v>45739</v>
      </c>
      <c r="H1725" s="2">
        <v>3</v>
      </c>
      <c r="I1725" s="1">
        <v>377.28</v>
      </c>
      <c r="J1725" s="1">
        <v>125.76</v>
      </c>
      <c r="K1725" t="s">
        <v>39</v>
      </c>
      <c r="L1725" t="s">
        <v>20</v>
      </c>
      <c r="M1725" s="2">
        <v>8</v>
      </c>
      <c r="N1725" t="s">
        <v>21</v>
      </c>
    </row>
    <row r="1726" spans="1:14" x14ac:dyDescent="0.3">
      <c r="A1726" t="s">
        <v>1762</v>
      </c>
      <c r="B1726" s="2">
        <v>31</v>
      </c>
      <c r="C1726" t="s">
        <v>23</v>
      </c>
      <c r="D1726" t="s">
        <v>28</v>
      </c>
      <c r="E1726" t="s">
        <v>29</v>
      </c>
      <c r="F1726" s="3">
        <v>45917</v>
      </c>
      <c r="G1726" s="3">
        <v>46017</v>
      </c>
      <c r="H1726" s="2">
        <v>7</v>
      </c>
      <c r="I1726" s="1">
        <v>376.67</v>
      </c>
      <c r="J1726" s="1">
        <v>53.81</v>
      </c>
      <c r="K1726" t="s">
        <v>45</v>
      </c>
      <c r="L1726" t="s">
        <v>30</v>
      </c>
      <c r="M1726" s="2">
        <v>7</v>
      </c>
      <c r="N1726" t="s">
        <v>21</v>
      </c>
    </row>
    <row r="1727" spans="1:14" x14ac:dyDescent="0.3">
      <c r="A1727" t="s">
        <v>1763</v>
      </c>
      <c r="B1727" s="2">
        <v>59</v>
      </c>
      <c r="C1727" t="s">
        <v>23</v>
      </c>
      <c r="D1727" t="s">
        <v>24</v>
      </c>
      <c r="E1727" t="s">
        <v>34</v>
      </c>
      <c r="F1727" s="3">
        <v>45318</v>
      </c>
      <c r="G1727" s="3">
        <v>45342</v>
      </c>
      <c r="H1727" s="2">
        <v>3</v>
      </c>
      <c r="I1727" s="1">
        <v>375.15</v>
      </c>
      <c r="J1727" s="1">
        <v>125.05</v>
      </c>
      <c r="K1727" t="s">
        <v>19</v>
      </c>
      <c r="L1727" t="s">
        <v>30</v>
      </c>
      <c r="M1727" s="2">
        <v>6</v>
      </c>
      <c r="N1727" t="s">
        <v>31</v>
      </c>
    </row>
    <row r="1728" spans="1:14" x14ac:dyDescent="0.3">
      <c r="A1728" t="s">
        <v>1764</v>
      </c>
      <c r="B1728" s="2">
        <v>54</v>
      </c>
      <c r="C1728" t="s">
        <v>16</v>
      </c>
      <c r="D1728" t="s">
        <v>17</v>
      </c>
      <c r="E1728" t="s">
        <v>34</v>
      </c>
      <c r="F1728" s="3">
        <v>45719</v>
      </c>
      <c r="G1728" s="3">
        <v>45870</v>
      </c>
      <c r="H1728" s="2">
        <v>5</v>
      </c>
      <c r="I1728" s="1">
        <v>374.65</v>
      </c>
      <c r="J1728" s="1">
        <v>74.930000000000007</v>
      </c>
      <c r="K1728" t="s">
        <v>45</v>
      </c>
      <c r="L1728" t="s">
        <v>26</v>
      </c>
      <c r="M1728" s="2">
        <v>8</v>
      </c>
      <c r="N1728" t="s">
        <v>21</v>
      </c>
    </row>
    <row r="1729" spans="1:14" x14ac:dyDescent="0.3">
      <c r="A1729" t="s">
        <v>1765</v>
      </c>
      <c r="B1729" s="2">
        <v>46</v>
      </c>
      <c r="C1729" t="s">
        <v>16</v>
      </c>
      <c r="D1729" t="s">
        <v>44</v>
      </c>
      <c r="E1729" t="s">
        <v>29</v>
      </c>
      <c r="F1729" s="3">
        <v>45532</v>
      </c>
      <c r="G1729" s="3">
        <v>45607</v>
      </c>
      <c r="H1729" s="2">
        <v>6</v>
      </c>
      <c r="I1729" s="1">
        <v>373.32</v>
      </c>
      <c r="J1729" s="1">
        <v>62.22</v>
      </c>
      <c r="K1729" t="s">
        <v>19</v>
      </c>
      <c r="L1729" t="s">
        <v>20</v>
      </c>
      <c r="M1729" s="2">
        <v>10</v>
      </c>
      <c r="N1729" t="s">
        <v>21</v>
      </c>
    </row>
    <row r="1730" spans="1:14" x14ac:dyDescent="0.3">
      <c r="A1730" t="s">
        <v>1766</v>
      </c>
      <c r="B1730" s="2">
        <v>27</v>
      </c>
      <c r="C1730" t="s">
        <v>23</v>
      </c>
      <c r="D1730" t="s">
        <v>44</v>
      </c>
      <c r="E1730" t="s">
        <v>38</v>
      </c>
      <c r="F1730" s="3">
        <v>45321</v>
      </c>
      <c r="G1730" s="3">
        <v>45536</v>
      </c>
      <c r="H1730" s="2">
        <v>3</v>
      </c>
      <c r="I1730" s="1">
        <v>369.66</v>
      </c>
      <c r="J1730" s="1">
        <v>123.22</v>
      </c>
      <c r="K1730" t="s">
        <v>19</v>
      </c>
      <c r="L1730" t="s">
        <v>30</v>
      </c>
      <c r="M1730" s="2">
        <v>10</v>
      </c>
      <c r="N1730" t="s">
        <v>21</v>
      </c>
    </row>
    <row r="1731" spans="1:14" x14ac:dyDescent="0.3">
      <c r="A1731" t="s">
        <v>1767</v>
      </c>
      <c r="B1731" s="2">
        <v>30</v>
      </c>
      <c r="C1731" t="s">
        <v>23</v>
      </c>
      <c r="D1731" t="s">
        <v>42</v>
      </c>
      <c r="E1731" t="s">
        <v>34</v>
      </c>
      <c r="F1731" s="3">
        <v>45413</v>
      </c>
      <c r="G1731" s="3">
        <v>45449</v>
      </c>
      <c r="H1731" s="2">
        <v>12</v>
      </c>
      <c r="I1731" s="1">
        <v>368.64</v>
      </c>
      <c r="J1731" s="1">
        <v>30.72</v>
      </c>
      <c r="K1731" t="s">
        <v>45</v>
      </c>
      <c r="L1731" t="s">
        <v>30</v>
      </c>
      <c r="M1731" s="2">
        <v>10</v>
      </c>
      <c r="N1731" t="s">
        <v>21</v>
      </c>
    </row>
    <row r="1732" spans="1:14" x14ac:dyDescent="0.3">
      <c r="A1732" t="s">
        <v>1768</v>
      </c>
      <c r="B1732" s="2">
        <v>21</v>
      </c>
      <c r="C1732" t="s">
        <v>16</v>
      </c>
      <c r="D1732" t="s">
        <v>44</v>
      </c>
      <c r="E1732" t="s">
        <v>34</v>
      </c>
      <c r="F1732" s="3">
        <v>45969</v>
      </c>
      <c r="G1732" s="3">
        <v>46218</v>
      </c>
      <c r="H1732" s="2">
        <v>5</v>
      </c>
      <c r="I1732" s="1">
        <v>365.85</v>
      </c>
      <c r="J1732" s="1">
        <v>73.17</v>
      </c>
      <c r="K1732" t="s">
        <v>39</v>
      </c>
      <c r="L1732" t="s">
        <v>30</v>
      </c>
      <c r="M1732" s="2">
        <v>10</v>
      </c>
      <c r="N1732" t="s">
        <v>21</v>
      </c>
    </row>
    <row r="1733" spans="1:14" x14ac:dyDescent="0.3">
      <c r="A1733" t="s">
        <v>1769</v>
      </c>
      <c r="B1733" s="2">
        <v>38</v>
      </c>
      <c r="C1733" t="s">
        <v>16</v>
      </c>
      <c r="D1733" t="s">
        <v>28</v>
      </c>
      <c r="E1733" t="s">
        <v>18</v>
      </c>
      <c r="F1733" s="3">
        <v>45541</v>
      </c>
      <c r="G1733" s="3">
        <v>45759</v>
      </c>
      <c r="H1733" s="2">
        <v>2</v>
      </c>
      <c r="I1733" s="1">
        <v>361.42</v>
      </c>
      <c r="J1733" s="1">
        <v>180.71</v>
      </c>
      <c r="K1733" t="s">
        <v>39</v>
      </c>
      <c r="L1733" t="s">
        <v>26</v>
      </c>
      <c r="M1733" s="2">
        <v>6</v>
      </c>
      <c r="N1733" t="s">
        <v>21</v>
      </c>
    </row>
    <row r="1734" spans="1:14" x14ac:dyDescent="0.3">
      <c r="A1734" t="s">
        <v>1770</v>
      </c>
      <c r="B1734" s="2">
        <v>55</v>
      </c>
      <c r="C1734" t="s">
        <v>23</v>
      </c>
      <c r="D1734" t="s">
        <v>44</v>
      </c>
      <c r="E1734" t="s">
        <v>18</v>
      </c>
      <c r="F1734" s="3">
        <v>45405</v>
      </c>
      <c r="G1734" s="3">
        <v>45431</v>
      </c>
      <c r="H1734" s="2">
        <v>6</v>
      </c>
      <c r="I1734" s="1">
        <v>361.02</v>
      </c>
      <c r="J1734" s="1">
        <v>60.17</v>
      </c>
      <c r="K1734" t="s">
        <v>25</v>
      </c>
      <c r="L1734" t="s">
        <v>26</v>
      </c>
      <c r="M1734" s="2">
        <v>9</v>
      </c>
      <c r="N1734" t="s">
        <v>21</v>
      </c>
    </row>
    <row r="1735" spans="1:14" x14ac:dyDescent="0.3">
      <c r="A1735" t="s">
        <v>1771</v>
      </c>
      <c r="B1735" s="2">
        <v>35</v>
      </c>
      <c r="C1735" t="s">
        <v>16</v>
      </c>
      <c r="D1735" t="s">
        <v>24</v>
      </c>
      <c r="E1735" t="s">
        <v>34</v>
      </c>
      <c r="F1735" s="3">
        <v>45615</v>
      </c>
      <c r="G1735" s="3">
        <v>45649</v>
      </c>
      <c r="H1735" s="2">
        <v>13</v>
      </c>
      <c r="I1735" s="1">
        <v>361.01</v>
      </c>
      <c r="J1735" s="1">
        <v>27.77</v>
      </c>
      <c r="K1735" t="s">
        <v>19</v>
      </c>
      <c r="L1735" t="s">
        <v>26</v>
      </c>
      <c r="M1735" s="2">
        <v>9</v>
      </c>
      <c r="N1735" t="s">
        <v>31</v>
      </c>
    </row>
    <row r="1736" spans="1:14" x14ac:dyDescent="0.3">
      <c r="A1736" t="s">
        <v>1772</v>
      </c>
      <c r="B1736" s="2">
        <v>60</v>
      </c>
      <c r="C1736" t="s">
        <v>23</v>
      </c>
      <c r="D1736" t="s">
        <v>61</v>
      </c>
      <c r="E1736" t="s">
        <v>34</v>
      </c>
      <c r="F1736" s="3">
        <v>45488</v>
      </c>
      <c r="G1736" s="3">
        <v>45538</v>
      </c>
      <c r="H1736" s="2">
        <v>2</v>
      </c>
      <c r="I1736" s="1">
        <v>359.76</v>
      </c>
      <c r="J1736" s="1">
        <v>179.88</v>
      </c>
      <c r="K1736" t="s">
        <v>39</v>
      </c>
      <c r="L1736" t="s">
        <v>26</v>
      </c>
      <c r="M1736" s="2">
        <v>4</v>
      </c>
      <c r="N1736" t="s">
        <v>21</v>
      </c>
    </row>
    <row r="1737" spans="1:14" x14ac:dyDescent="0.3">
      <c r="A1737" t="s">
        <v>1773</v>
      </c>
      <c r="B1737" s="2">
        <v>32</v>
      </c>
      <c r="C1737" t="s">
        <v>16</v>
      </c>
      <c r="D1737" t="s">
        <v>61</v>
      </c>
      <c r="E1737" t="s">
        <v>18</v>
      </c>
      <c r="F1737" s="3">
        <v>45582</v>
      </c>
      <c r="G1737" s="3">
        <v>45825</v>
      </c>
      <c r="H1737" s="2">
        <v>15</v>
      </c>
      <c r="I1737" s="1">
        <v>358.5</v>
      </c>
      <c r="J1737" s="1">
        <v>23.9</v>
      </c>
      <c r="K1737" t="s">
        <v>19</v>
      </c>
      <c r="L1737" t="s">
        <v>30</v>
      </c>
      <c r="M1737" s="2">
        <v>6</v>
      </c>
      <c r="N1737" t="s">
        <v>21</v>
      </c>
    </row>
    <row r="1738" spans="1:14" x14ac:dyDescent="0.3">
      <c r="A1738" t="s">
        <v>1774</v>
      </c>
      <c r="B1738" s="2">
        <v>33</v>
      </c>
      <c r="C1738" t="s">
        <v>16</v>
      </c>
      <c r="D1738" t="s">
        <v>44</v>
      </c>
      <c r="E1738" t="s">
        <v>38</v>
      </c>
      <c r="F1738" s="3">
        <v>45739</v>
      </c>
      <c r="G1738" s="3">
        <v>45815</v>
      </c>
      <c r="H1738" s="2">
        <v>3</v>
      </c>
      <c r="I1738" s="1">
        <v>356.73</v>
      </c>
      <c r="J1738" s="1">
        <v>118.91</v>
      </c>
      <c r="K1738" t="s">
        <v>39</v>
      </c>
      <c r="L1738" t="s">
        <v>30</v>
      </c>
      <c r="M1738" s="2">
        <v>1</v>
      </c>
      <c r="N1738" t="s">
        <v>31</v>
      </c>
    </row>
    <row r="1739" spans="1:14" x14ac:dyDescent="0.3">
      <c r="A1739" t="s">
        <v>1775</v>
      </c>
      <c r="B1739" s="2">
        <v>25</v>
      </c>
      <c r="C1739" t="s">
        <v>23</v>
      </c>
      <c r="D1739" t="s">
        <v>44</v>
      </c>
      <c r="E1739" t="s">
        <v>18</v>
      </c>
      <c r="F1739" s="3">
        <v>45968</v>
      </c>
      <c r="G1739" s="3">
        <v>46055</v>
      </c>
      <c r="H1739" s="2">
        <v>3</v>
      </c>
      <c r="I1739" s="1">
        <v>356.16</v>
      </c>
      <c r="J1739" s="1">
        <v>118.72</v>
      </c>
      <c r="K1739" t="s">
        <v>45</v>
      </c>
      <c r="L1739" t="s">
        <v>20</v>
      </c>
      <c r="M1739" s="2">
        <v>2</v>
      </c>
      <c r="N1739" t="s">
        <v>21</v>
      </c>
    </row>
    <row r="1740" spans="1:14" x14ac:dyDescent="0.3">
      <c r="A1740" t="s">
        <v>1776</v>
      </c>
      <c r="B1740" s="2">
        <v>56</v>
      </c>
      <c r="C1740" t="s">
        <v>16</v>
      </c>
      <c r="D1740" t="s">
        <v>17</v>
      </c>
      <c r="E1740" t="s">
        <v>38</v>
      </c>
      <c r="F1740" s="3">
        <v>45410</v>
      </c>
      <c r="G1740" s="3">
        <v>45461</v>
      </c>
      <c r="H1740" s="2">
        <v>6</v>
      </c>
      <c r="I1740" s="1">
        <v>353.88</v>
      </c>
      <c r="J1740" s="1">
        <v>58.98</v>
      </c>
      <c r="K1740" t="s">
        <v>45</v>
      </c>
      <c r="L1740" t="s">
        <v>20</v>
      </c>
      <c r="M1740" s="2">
        <v>7</v>
      </c>
      <c r="N1740" t="s">
        <v>21</v>
      </c>
    </row>
    <row r="1741" spans="1:14" x14ac:dyDescent="0.3">
      <c r="A1741" t="s">
        <v>1777</v>
      </c>
      <c r="B1741" s="2">
        <v>65</v>
      </c>
      <c r="C1741" t="s">
        <v>16</v>
      </c>
      <c r="D1741" t="s">
        <v>44</v>
      </c>
      <c r="E1741" t="s">
        <v>38</v>
      </c>
      <c r="F1741" s="3">
        <v>45599</v>
      </c>
      <c r="G1741" s="3">
        <v>45739</v>
      </c>
      <c r="H1741" s="2">
        <v>2</v>
      </c>
      <c r="I1741" s="1">
        <v>351.76</v>
      </c>
      <c r="J1741" s="1">
        <v>175.88</v>
      </c>
      <c r="K1741" t="s">
        <v>19</v>
      </c>
      <c r="L1741" t="s">
        <v>26</v>
      </c>
      <c r="M1741" s="2">
        <v>1</v>
      </c>
      <c r="N1741" t="s">
        <v>21</v>
      </c>
    </row>
    <row r="1742" spans="1:14" x14ac:dyDescent="0.3">
      <c r="A1742" t="s">
        <v>1778</v>
      </c>
      <c r="B1742" s="2">
        <v>52</v>
      </c>
      <c r="C1742" t="s">
        <v>23</v>
      </c>
      <c r="D1742" t="s">
        <v>24</v>
      </c>
      <c r="E1742" t="s">
        <v>29</v>
      </c>
      <c r="F1742" s="3">
        <v>45698</v>
      </c>
      <c r="G1742" s="3">
        <v>45896</v>
      </c>
      <c r="H1742" s="2">
        <v>8</v>
      </c>
      <c r="I1742" s="1">
        <v>349.6</v>
      </c>
      <c r="J1742" s="1">
        <v>43.7</v>
      </c>
      <c r="K1742" t="s">
        <v>45</v>
      </c>
      <c r="L1742" t="s">
        <v>30</v>
      </c>
      <c r="M1742" s="2">
        <v>4</v>
      </c>
      <c r="N1742" t="s">
        <v>21</v>
      </c>
    </row>
    <row r="1743" spans="1:14" x14ac:dyDescent="0.3">
      <c r="A1743" t="s">
        <v>1779</v>
      </c>
      <c r="B1743" s="2">
        <v>21</v>
      </c>
      <c r="C1743" t="s">
        <v>23</v>
      </c>
      <c r="D1743" t="s">
        <v>42</v>
      </c>
      <c r="E1743" t="s">
        <v>18</v>
      </c>
      <c r="F1743" s="3">
        <v>45742</v>
      </c>
      <c r="G1743" s="3">
        <v>46038</v>
      </c>
      <c r="H1743" s="2">
        <v>11</v>
      </c>
      <c r="I1743" s="1">
        <v>349.25</v>
      </c>
      <c r="J1743" s="1">
        <v>31.75</v>
      </c>
      <c r="K1743" t="s">
        <v>45</v>
      </c>
      <c r="L1743" t="s">
        <v>20</v>
      </c>
      <c r="M1743" s="2">
        <v>1</v>
      </c>
      <c r="N1743" t="s">
        <v>21</v>
      </c>
    </row>
    <row r="1744" spans="1:14" x14ac:dyDescent="0.3">
      <c r="A1744" t="s">
        <v>1780</v>
      </c>
      <c r="B1744" s="2">
        <v>30</v>
      </c>
      <c r="C1744" t="s">
        <v>23</v>
      </c>
      <c r="D1744" t="s">
        <v>50</v>
      </c>
      <c r="E1744" t="s">
        <v>18</v>
      </c>
      <c r="F1744" s="3">
        <v>45828</v>
      </c>
      <c r="G1744" s="3">
        <v>46101</v>
      </c>
      <c r="H1744" s="2">
        <v>9</v>
      </c>
      <c r="I1744" s="1">
        <v>349.2</v>
      </c>
      <c r="J1744" s="1">
        <v>38.799999999999997</v>
      </c>
      <c r="K1744" t="s">
        <v>25</v>
      </c>
      <c r="L1744" t="s">
        <v>26</v>
      </c>
      <c r="M1744" s="2">
        <v>6</v>
      </c>
      <c r="N1744" t="s">
        <v>21</v>
      </c>
    </row>
    <row r="1745" spans="1:14" x14ac:dyDescent="0.3">
      <c r="A1745" t="s">
        <v>1781</v>
      </c>
      <c r="B1745" s="2">
        <v>59</v>
      </c>
      <c r="C1745" t="s">
        <v>23</v>
      </c>
      <c r="D1745" t="s">
        <v>44</v>
      </c>
      <c r="E1745" t="s">
        <v>29</v>
      </c>
      <c r="F1745" s="3">
        <v>45845</v>
      </c>
      <c r="G1745" s="3">
        <v>45859</v>
      </c>
      <c r="H1745" s="2">
        <v>2</v>
      </c>
      <c r="I1745" s="1">
        <v>349.2</v>
      </c>
      <c r="J1745" s="1">
        <v>174.6</v>
      </c>
      <c r="K1745" t="s">
        <v>19</v>
      </c>
      <c r="L1745" t="s">
        <v>26</v>
      </c>
      <c r="M1745" s="2">
        <v>7</v>
      </c>
      <c r="N1745" t="s">
        <v>21</v>
      </c>
    </row>
    <row r="1746" spans="1:14" x14ac:dyDescent="0.3">
      <c r="A1746" t="s">
        <v>1782</v>
      </c>
      <c r="B1746" s="2">
        <v>52</v>
      </c>
      <c r="C1746" t="s">
        <v>23</v>
      </c>
      <c r="D1746" t="s">
        <v>44</v>
      </c>
      <c r="E1746" t="s">
        <v>29</v>
      </c>
      <c r="F1746" s="3">
        <v>45896</v>
      </c>
      <c r="G1746" s="3">
        <v>46004</v>
      </c>
      <c r="H1746" s="2">
        <v>2</v>
      </c>
      <c r="I1746" s="1">
        <v>348.88</v>
      </c>
      <c r="J1746" s="1">
        <v>174.44</v>
      </c>
      <c r="K1746" t="s">
        <v>45</v>
      </c>
      <c r="L1746" t="s">
        <v>26</v>
      </c>
      <c r="M1746" s="2">
        <v>4</v>
      </c>
      <c r="N1746" t="s">
        <v>21</v>
      </c>
    </row>
    <row r="1747" spans="1:14" x14ac:dyDescent="0.3">
      <c r="A1747" t="s">
        <v>1783</v>
      </c>
      <c r="B1747" s="2">
        <v>18</v>
      </c>
      <c r="C1747" t="s">
        <v>23</v>
      </c>
      <c r="D1747" t="s">
        <v>44</v>
      </c>
      <c r="E1747" t="s">
        <v>34</v>
      </c>
      <c r="F1747" s="3">
        <v>45415</v>
      </c>
      <c r="G1747" s="3">
        <v>45533</v>
      </c>
      <c r="H1747" s="2">
        <v>7</v>
      </c>
      <c r="I1747" s="1">
        <v>347.55</v>
      </c>
      <c r="J1747" s="1">
        <v>49.65</v>
      </c>
      <c r="K1747" t="s">
        <v>39</v>
      </c>
      <c r="L1747" t="s">
        <v>26</v>
      </c>
      <c r="M1747" s="2">
        <v>4</v>
      </c>
      <c r="N1747" t="s">
        <v>21</v>
      </c>
    </row>
    <row r="1748" spans="1:14" x14ac:dyDescent="0.3">
      <c r="A1748" t="s">
        <v>1784</v>
      </c>
      <c r="B1748" s="2">
        <v>54</v>
      </c>
      <c r="C1748" t="s">
        <v>23</v>
      </c>
      <c r="D1748" t="s">
        <v>50</v>
      </c>
      <c r="E1748" t="s">
        <v>38</v>
      </c>
      <c r="F1748" s="3">
        <v>45615</v>
      </c>
      <c r="G1748" s="3">
        <v>45820</v>
      </c>
      <c r="H1748" s="2">
        <v>9</v>
      </c>
      <c r="I1748" s="1">
        <v>346.77</v>
      </c>
      <c r="J1748" s="1">
        <v>38.53</v>
      </c>
      <c r="K1748" t="s">
        <v>35</v>
      </c>
      <c r="L1748" t="s">
        <v>20</v>
      </c>
      <c r="M1748" s="2">
        <v>8</v>
      </c>
      <c r="N1748" t="s">
        <v>21</v>
      </c>
    </row>
    <row r="1749" spans="1:14" x14ac:dyDescent="0.3">
      <c r="A1749" t="s">
        <v>1785</v>
      </c>
      <c r="B1749" s="2">
        <v>42</v>
      </c>
      <c r="C1749" t="s">
        <v>23</v>
      </c>
      <c r="D1749" t="s">
        <v>61</v>
      </c>
      <c r="E1749" t="s">
        <v>29</v>
      </c>
      <c r="F1749" s="3">
        <v>45881</v>
      </c>
      <c r="G1749" s="3">
        <v>46075</v>
      </c>
      <c r="H1749" s="2">
        <v>16</v>
      </c>
      <c r="I1749" s="1">
        <v>346.4</v>
      </c>
      <c r="J1749" s="1">
        <v>21.65</v>
      </c>
      <c r="K1749" t="s">
        <v>35</v>
      </c>
      <c r="L1749" t="s">
        <v>30</v>
      </c>
      <c r="M1749" s="2">
        <v>5</v>
      </c>
      <c r="N1749" t="s">
        <v>21</v>
      </c>
    </row>
    <row r="1750" spans="1:14" x14ac:dyDescent="0.3">
      <c r="A1750" t="s">
        <v>1786</v>
      </c>
      <c r="B1750" s="2">
        <v>54</v>
      </c>
      <c r="C1750" t="s">
        <v>23</v>
      </c>
      <c r="D1750" t="s">
        <v>44</v>
      </c>
      <c r="E1750" t="s">
        <v>34</v>
      </c>
      <c r="F1750" s="3">
        <v>45685</v>
      </c>
      <c r="G1750" s="3">
        <v>45932</v>
      </c>
      <c r="H1750" s="2">
        <v>4</v>
      </c>
      <c r="I1750" s="1">
        <v>345.68</v>
      </c>
      <c r="J1750" s="1">
        <v>86.42</v>
      </c>
      <c r="K1750" t="s">
        <v>39</v>
      </c>
      <c r="L1750" t="s">
        <v>20</v>
      </c>
      <c r="M1750" s="2">
        <v>7</v>
      </c>
      <c r="N1750" t="s">
        <v>21</v>
      </c>
    </row>
    <row r="1751" spans="1:14" x14ac:dyDescent="0.3">
      <c r="A1751" t="s">
        <v>1787</v>
      </c>
      <c r="B1751" s="2">
        <v>45</v>
      </c>
      <c r="C1751" t="s">
        <v>16</v>
      </c>
      <c r="D1751" t="s">
        <v>42</v>
      </c>
      <c r="E1751" t="s">
        <v>34</v>
      </c>
      <c r="F1751" s="3">
        <v>45601</v>
      </c>
      <c r="G1751" s="3">
        <v>45823</v>
      </c>
      <c r="H1751" s="2">
        <v>3</v>
      </c>
      <c r="I1751" s="1">
        <v>345.24</v>
      </c>
      <c r="J1751" s="1">
        <v>115.08</v>
      </c>
      <c r="K1751" t="s">
        <v>35</v>
      </c>
      <c r="L1751" t="s">
        <v>20</v>
      </c>
      <c r="M1751" s="2">
        <v>8</v>
      </c>
      <c r="N1751" t="s">
        <v>21</v>
      </c>
    </row>
    <row r="1752" spans="1:14" x14ac:dyDescent="0.3">
      <c r="A1752" t="s">
        <v>1788</v>
      </c>
      <c r="B1752" s="2">
        <v>42</v>
      </c>
      <c r="C1752" t="s">
        <v>16</v>
      </c>
      <c r="D1752" t="s">
        <v>42</v>
      </c>
      <c r="E1752" t="s">
        <v>34</v>
      </c>
      <c r="F1752" s="3">
        <v>45678</v>
      </c>
      <c r="G1752" s="3">
        <v>45966</v>
      </c>
      <c r="H1752" s="2">
        <v>4</v>
      </c>
      <c r="I1752" s="1">
        <v>344.12</v>
      </c>
      <c r="J1752" s="1">
        <v>86.03</v>
      </c>
      <c r="K1752" t="s">
        <v>39</v>
      </c>
      <c r="L1752" t="s">
        <v>26</v>
      </c>
      <c r="M1752" s="2">
        <v>5</v>
      </c>
      <c r="N1752" t="s">
        <v>31</v>
      </c>
    </row>
    <row r="1753" spans="1:14" x14ac:dyDescent="0.3">
      <c r="A1753" t="s">
        <v>1789</v>
      </c>
      <c r="B1753" s="2">
        <v>36</v>
      </c>
      <c r="C1753" t="s">
        <v>23</v>
      </c>
      <c r="D1753" t="s">
        <v>50</v>
      </c>
      <c r="E1753" t="s">
        <v>34</v>
      </c>
      <c r="F1753" s="3">
        <v>45302</v>
      </c>
      <c r="G1753" s="3">
        <v>45339</v>
      </c>
      <c r="H1753" s="2">
        <v>12</v>
      </c>
      <c r="I1753" s="1">
        <v>340.92</v>
      </c>
      <c r="J1753" s="1">
        <v>28.41</v>
      </c>
      <c r="K1753" t="s">
        <v>39</v>
      </c>
      <c r="L1753" t="s">
        <v>30</v>
      </c>
      <c r="M1753" s="2">
        <v>4</v>
      </c>
      <c r="N1753" t="s">
        <v>31</v>
      </c>
    </row>
    <row r="1754" spans="1:14" x14ac:dyDescent="0.3">
      <c r="A1754" t="s">
        <v>1790</v>
      </c>
      <c r="B1754" s="2">
        <v>30</v>
      </c>
      <c r="C1754" t="s">
        <v>16</v>
      </c>
      <c r="D1754" t="s">
        <v>50</v>
      </c>
      <c r="E1754" t="s">
        <v>18</v>
      </c>
      <c r="F1754" s="3">
        <v>45912</v>
      </c>
      <c r="G1754" s="3">
        <v>46158</v>
      </c>
      <c r="H1754" s="2">
        <v>3</v>
      </c>
      <c r="I1754" s="1">
        <v>339.93</v>
      </c>
      <c r="J1754" s="1">
        <v>113.31</v>
      </c>
      <c r="K1754" t="s">
        <v>39</v>
      </c>
      <c r="L1754" t="s">
        <v>20</v>
      </c>
      <c r="M1754" s="2">
        <v>6</v>
      </c>
      <c r="N1754" t="s">
        <v>21</v>
      </c>
    </row>
    <row r="1755" spans="1:14" x14ac:dyDescent="0.3">
      <c r="A1755" t="s">
        <v>1791</v>
      </c>
      <c r="B1755" s="2">
        <v>35</v>
      </c>
      <c r="C1755" t="s">
        <v>23</v>
      </c>
      <c r="D1755" t="s">
        <v>50</v>
      </c>
      <c r="E1755" t="s">
        <v>18</v>
      </c>
      <c r="F1755" s="3">
        <v>45671</v>
      </c>
      <c r="G1755" s="3">
        <v>45769</v>
      </c>
      <c r="H1755" s="2">
        <v>15</v>
      </c>
      <c r="I1755" s="1">
        <v>339.3</v>
      </c>
      <c r="J1755" s="1">
        <v>22.62</v>
      </c>
      <c r="K1755" t="s">
        <v>19</v>
      </c>
      <c r="L1755" t="s">
        <v>20</v>
      </c>
      <c r="M1755" s="2">
        <v>5</v>
      </c>
      <c r="N1755" t="s">
        <v>21</v>
      </c>
    </row>
    <row r="1756" spans="1:14" x14ac:dyDescent="0.3">
      <c r="A1756" t="s">
        <v>1792</v>
      </c>
      <c r="B1756" s="2">
        <v>44</v>
      </c>
      <c r="C1756" t="s">
        <v>16</v>
      </c>
      <c r="D1756" t="s">
        <v>28</v>
      </c>
      <c r="E1756" t="s">
        <v>29</v>
      </c>
      <c r="F1756" s="3">
        <v>45436</v>
      </c>
      <c r="G1756" s="3">
        <v>45476</v>
      </c>
      <c r="H1756" s="2">
        <v>8</v>
      </c>
      <c r="I1756" s="1">
        <v>332.64</v>
      </c>
      <c r="J1756" s="1">
        <v>41.58</v>
      </c>
      <c r="K1756" t="s">
        <v>35</v>
      </c>
      <c r="L1756" t="s">
        <v>20</v>
      </c>
      <c r="M1756" s="2">
        <v>3</v>
      </c>
      <c r="N1756" t="s">
        <v>21</v>
      </c>
    </row>
    <row r="1757" spans="1:14" x14ac:dyDescent="0.3">
      <c r="A1757" t="s">
        <v>1793</v>
      </c>
      <c r="B1757" s="2">
        <v>58</v>
      </c>
      <c r="C1757" t="s">
        <v>23</v>
      </c>
      <c r="D1757" t="s">
        <v>24</v>
      </c>
      <c r="E1757" t="s">
        <v>38</v>
      </c>
      <c r="F1757" s="3">
        <v>45969</v>
      </c>
      <c r="G1757" s="3">
        <v>46214</v>
      </c>
      <c r="H1757" s="2">
        <v>7</v>
      </c>
      <c r="I1757" s="1">
        <v>330.12</v>
      </c>
      <c r="J1757" s="1">
        <v>47.16</v>
      </c>
      <c r="K1757" t="s">
        <v>39</v>
      </c>
      <c r="L1757" t="s">
        <v>26</v>
      </c>
      <c r="M1757" s="2">
        <v>7</v>
      </c>
      <c r="N1757" t="s">
        <v>21</v>
      </c>
    </row>
    <row r="1758" spans="1:14" x14ac:dyDescent="0.3">
      <c r="A1758" t="s">
        <v>1794</v>
      </c>
      <c r="B1758" s="2">
        <v>26</v>
      </c>
      <c r="C1758" t="s">
        <v>16</v>
      </c>
      <c r="D1758" t="s">
        <v>44</v>
      </c>
      <c r="E1758" t="s">
        <v>18</v>
      </c>
      <c r="F1758" s="3">
        <v>45484</v>
      </c>
      <c r="G1758" s="3">
        <v>45568</v>
      </c>
      <c r="H1758" s="2">
        <v>13</v>
      </c>
      <c r="I1758" s="1">
        <v>329.55</v>
      </c>
      <c r="J1758" s="1">
        <v>25.35</v>
      </c>
      <c r="K1758" t="s">
        <v>19</v>
      </c>
      <c r="L1758" t="s">
        <v>20</v>
      </c>
      <c r="M1758" s="2">
        <v>3</v>
      </c>
      <c r="N1758" t="s">
        <v>21</v>
      </c>
    </row>
    <row r="1759" spans="1:14" x14ac:dyDescent="0.3">
      <c r="A1759" t="s">
        <v>1795</v>
      </c>
      <c r="B1759" s="2">
        <v>64</v>
      </c>
      <c r="C1759" t="s">
        <v>16</v>
      </c>
      <c r="D1759" t="s">
        <v>42</v>
      </c>
      <c r="E1759" t="s">
        <v>34</v>
      </c>
      <c r="F1759" s="3">
        <v>45719</v>
      </c>
      <c r="G1759" s="3">
        <v>45744</v>
      </c>
      <c r="H1759" s="2">
        <v>3</v>
      </c>
      <c r="I1759" s="1">
        <v>328.38</v>
      </c>
      <c r="J1759" s="1">
        <v>109.46</v>
      </c>
      <c r="K1759" t="s">
        <v>35</v>
      </c>
      <c r="L1759" t="s">
        <v>20</v>
      </c>
      <c r="M1759" s="2">
        <v>10</v>
      </c>
      <c r="N1759" t="s">
        <v>21</v>
      </c>
    </row>
    <row r="1760" spans="1:14" x14ac:dyDescent="0.3">
      <c r="A1760" t="s">
        <v>1796</v>
      </c>
      <c r="B1760" s="2">
        <v>44</v>
      </c>
      <c r="C1760" t="s">
        <v>16</v>
      </c>
      <c r="D1760" t="s">
        <v>17</v>
      </c>
      <c r="E1760" t="s">
        <v>34</v>
      </c>
      <c r="F1760" s="3">
        <v>45856</v>
      </c>
      <c r="G1760" s="3">
        <v>45895</v>
      </c>
      <c r="H1760" s="2">
        <v>2</v>
      </c>
      <c r="I1760" s="1">
        <v>327.5</v>
      </c>
      <c r="J1760" s="1">
        <v>163.75</v>
      </c>
      <c r="K1760" t="s">
        <v>45</v>
      </c>
      <c r="L1760" t="s">
        <v>26</v>
      </c>
      <c r="M1760" s="2">
        <v>10</v>
      </c>
      <c r="N1760" t="s">
        <v>21</v>
      </c>
    </row>
    <row r="1761" spans="1:14" x14ac:dyDescent="0.3">
      <c r="A1761" t="s">
        <v>1797</v>
      </c>
      <c r="B1761" s="2">
        <v>27</v>
      </c>
      <c r="C1761" t="s">
        <v>23</v>
      </c>
      <c r="D1761" t="s">
        <v>42</v>
      </c>
      <c r="E1761" t="s">
        <v>29</v>
      </c>
      <c r="F1761" s="3">
        <v>45446</v>
      </c>
      <c r="G1761" s="3">
        <v>45540</v>
      </c>
      <c r="H1761" s="2">
        <v>7</v>
      </c>
      <c r="I1761" s="1">
        <v>325.92</v>
      </c>
      <c r="J1761" s="1">
        <v>46.56</v>
      </c>
      <c r="K1761" t="s">
        <v>39</v>
      </c>
      <c r="L1761" t="s">
        <v>26</v>
      </c>
      <c r="M1761" s="2">
        <v>7</v>
      </c>
      <c r="N1761" t="s">
        <v>21</v>
      </c>
    </row>
    <row r="1762" spans="1:14" x14ac:dyDescent="0.3">
      <c r="A1762" t="s">
        <v>1798</v>
      </c>
      <c r="B1762" s="2">
        <v>40</v>
      </c>
      <c r="C1762" t="s">
        <v>16</v>
      </c>
      <c r="D1762" t="s">
        <v>61</v>
      </c>
      <c r="E1762" t="s">
        <v>38</v>
      </c>
      <c r="F1762" s="3">
        <v>45603</v>
      </c>
      <c r="G1762" s="3">
        <v>45876</v>
      </c>
      <c r="H1762" s="2">
        <v>5</v>
      </c>
      <c r="I1762" s="1">
        <v>325</v>
      </c>
      <c r="J1762" s="1">
        <v>65</v>
      </c>
      <c r="K1762" t="s">
        <v>19</v>
      </c>
      <c r="L1762" t="s">
        <v>26</v>
      </c>
      <c r="M1762" s="2">
        <v>8</v>
      </c>
      <c r="N1762" t="s">
        <v>31</v>
      </c>
    </row>
    <row r="1763" spans="1:14" x14ac:dyDescent="0.3">
      <c r="A1763" t="s">
        <v>1799</v>
      </c>
      <c r="B1763" s="2">
        <v>60</v>
      </c>
      <c r="C1763" t="s">
        <v>23</v>
      </c>
      <c r="D1763" t="s">
        <v>28</v>
      </c>
      <c r="E1763" t="s">
        <v>34</v>
      </c>
      <c r="F1763" s="3">
        <v>45699</v>
      </c>
      <c r="G1763" s="3">
        <v>45737</v>
      </c>
      <c r="H1763" s="2">
        <v>7</v>
      </c>
      <c r="I1763" s="1">
        <v>322.98</v>
      </c>
      <c r="J1763" s="1">
        <v>46.14</v>
      </c>
      <c r="K1763" t="s">
        <v>25</v>
      </c>
      <c r="L1763" t="s">
        <v>20</v>
      </c>
      <c r="M1763" s="2">
        <v>6</v>
      </c>
      <c r="N1763" t="s">
        <v>21</v>
      </c>
    </row>
    <row r="1764" spans="1:14" x14ac:dyDescent="0.3">
      <c r="A1764" t="s">
        <v>1800</v>
      </c>
      <c r="B1764" s="2">
        <v>57</v>
      </c>
      <c r="C1764" t="s">
        <v>23</v>
      </c>
      <c r="D1764" t="s">
        <v>42</v>
      </c>
      <c r="E1764" t="s">
        <v>34</v>
      </c>
      <c r="F1764" s="3">
        <v>45515</v>
      </c>
      <c r="G1764" s="3">
        <v>45781</v>
      </c>
      <c r="H1764" s="2">
        <v>12</v>
      </c>
      <c r="I1764" s="1">
        <v>321.12</v>
      </c>
      <c r="J1764" s="1">
        <v>26.76</v>
      </c>
      <c r="K1764" t="s">
        <v>45</v>
      </c>
      <c r="L1764" t="s">
        <v>26</v>
      </c>
      <c r="M1764" s="2">
        <v>1</v>
      </c>
      <c r="N1764" t="s">
        <v>21</v>
      </c>
    </row>
    <row r="1765" spans="1:14" x14ac:dyDescent="0.3">
      <c r="A1765" t="s">
        <v>1801</v>
      </c>
      <c r="B1765" s="2">
        <v>46</v>
      </c>
      <c r="C1765" t="s">
        <v>23</v>
      </c>
      <c r="D1765" t="s">
        <v>61</v>
      </c>
      <c r="E1765" t="s">
        <v>18</v>
      </c>
      <c r="F1765" s="3">
        <v>45807</v>
      </c>
      <c r="G1765" s="3">
        <v>46023</v>
      </c>
      <c r="H1765" s="2">
        <v>9</v>
      </c>
      <c r="I1765" s="1">
        <v>317.25</v>
      </c>
      <c r="J1765" s="1">
        <v>35.25</v>
      </c>
      <c r="K1765" t="s">
        <v>35</v>
      </c>
      <c r="L1765" t="s">
        <v>20</v>
      </c>
      <c r="M1765" s="2">
        <v>9</v>
      </c>
      <c r="N1765" t="s">
        <v>21</v>
      </c>
    </row>
    <row r="1766" spans="1:14" x14ac:dyDescent="0.3">
      <c r="A1766" t="s">
        <v>1802</v>
      </c>
      <c r="B1766" s="2">
        <v>33</v>
      </c>
      <c r="C1766" t="s">
        <v>16</v>
      </c>
      <c r="D1766" t="s">
        <v>17</v>
      </c>
      <c r="E1766" t="s">
        <v>34</v>
      </c>
      <c r="F1766" s="3">
        <v>45655</v>
      </c>
      <c r="G1766" s="3">
        <v>45873</v>
      </c>
      <c r="H1766" s="2">
        <v>2</v>
      </c>
      <c r="I1766" s="1">
        <v>316.83999999999997</v>
      </c>
      <c r="J1766" s="1">
        <v>158.41999999999999</v>
      </c>
      <c r="K1766" t="s">
        <v>19</v>
      </c>
      <c r="L1766" t="s">
        <v>20</v>
      </c>
      <c r="M1766" s="2">
        <v>4</v>
      </c>
      <c r="N1766" t="s">
        <v>21</v>
      </c>
    </row>
    <row r="1767" spans="1:14" x14ac:dyDescent="0.3">
      <c r="A1767" t="s">
        <v>1803</v>
      </c>
      <c r="B1767" s="2">
        <v>64</v>
      </c>
      <c r="C1767" t="s">
        <v>23</v>
      </c>
      <c r="D1767" t="s">
        <v>61</v>
      </c>
      <c r="E1767" t="s">
        <v>29</v>
      </c>
      <c r="F1767" s="3">
        <v>45737</v>
      </c>
      <c r="G1767" s="3">
        <v>45817</v>
      </c>
      <c r="H1767" s="2">
        <v>15</v>
      </c>
      <c r="I1767" s="1">
        <v>313.64999999999998</v>
      </c>
      <c r="J1767" s="1">
        <v>20.91</v>
      </c>
      <c r="K1767" t="s">
        <v>19</v>
      </c>
      <c r="L1767" t="s">
        <v>30</v>
      </c>
      <c r="M1767" s="2">
        <v>5</v>
      </c>
      <c r="N1767" t="s">
        <v>21</v>
      </c>
    </row>
    <row r="1768" spans="1:14" x14ac:dyDescent="0.3">
      <c r="A1768" t="s">
        <v>1804</v>
      </c>
      <c r="B1768" s="2">
        <v>34</v>
      </c>
      <c r="C1768" t="s">
        <v>16</v>
      </c>
      <c r="D1768" t="s">
        <v>50</v>
      </c>
      <c r="E1768" t="s">
        <v>18</v>
      </c>
      <c r="F1768" s="3">
        <v>45504</v>
      </c>
      <c r="G1768" s="3">
        <v>45733</v>
      </c>
      <c r="H1768" s="2">
        <v>6</v>
      </c>
      <c r="I1768" s="1">
        <v>313.62</v>
      </c>
      <c r="J1768" s="1">
        <v>52.27</v>
      </c>
      <c r="K1768" t="s">
        <v>19</v>
      </c>
      <c r="L1768" t="s">
        <v>30</v>
      </c>
      <c r="M1768" s="2">
        <v>1</v>
      </c>
      <c r="N1768" t="s">
        <v>21</v>
      </c>
    </row>
    <row r="1769" spans="1:14" x14ac:dyDescent="0.3">
      <c r="A1769" t="s">
        <v>1805</v>
      </c>
      <c r="B1769" s="2">
        <v>49</v>
      </c>
      <c r="C1769" t="s">
        <v>16</v>
      </c>
      <c r="D1769" t="s">
        <v>24</v>
      </c>
      <c r="E1769" t="s">
        <v>18</v>
      </c>
      <c r="F1769" s="3">
        <v>45575</v>
      </c>
      <c r="G1769" s="3">
        <v>45607</v>
      </c>
      <c r="H1769" s="2">
        <v>11</v>
      </c>
      <c r="I1769" s="1">
        <v>311.41000000000003</v>
      </c>
      <c r="J1769" s="1">
        <v>28.31</v>
      </c>
      <c r="K1769" t="s">
        <v>45</v>
      </c>
      <c r="L1769" t="s">
        <v>30</v>
      </c>
      <c r="M1769" s="2">
        <v>10</v>
      </c>
      <c r="N1769" t="s">
        <v>21</v>
      </c>
    </row>
    <row r="1770" spans="1:14" x14ac:dyDescent="0.3">
      <c r="A1770" t="s">
        <v>1806</v>
      </c>
      <c r="B1770" s="2">
        <v>39</v>
      </c>
      <c r="C1770" t="s">
        <v>16</v>
      </c>
      <c r="D1770" t="s">
        <v>61</v>
      </c>
      <c r="E1770" t="s">
        <v>29</v>
      </c>
      <c r="F1770" s="3">
        <v>45364</v>
      </c>
      <c r="G1770" s="3">
        <v>45394</v>
      </c>
      <c r="H1770" s="2">
        <v>8</v>
      </c>
      <c r="I1770" s="1">
        <v>310.95999999999998</v>
      </c>
      <c r="J1770" s="1">
        <v>38.869999999999997</v>
      </c>
      <c r="K1770" t="s">
        <v>45</v>
      </c>
      <c r="L1770" t="s">
        <v>20</v>
      </c>
      <c r="M1770" s="2">
        <v>8</v>
      </c>
      <c r="N1770" t="s">
        <v>31</v>
      </c>
    </row>
    <row r="1771" spans="1:14" x14ac:dyDescent="0.3">
      <c r="A1771" t="s">
        <v>1807</v>
      </c>
      <c r="B1771" s="2">
        <v>25</v>
      </c>
      <c r="C1771" t="s">
        <v>23</v>
      </c>
      <c r="D1771" t="s">
        <v>42</v>
      </c>
      <c r="E1771" t="s">
        <v>38</v>
      </c>
      <c r="F1771" s="3">
        <v>45713</v>
      </c>
      <c r="G1771" s="3">
        <v>45939</v>
      </c>
      <c r="H1771" s="2">
        <v>7</v>
      </c>
      <c r="I1771" s="1">
        <v>309.89</v>
      </c>
      <c r="J1771" s="1">
        <v>44.27</v>
      </c>
      <c r="K1771" t="s">
        <v>45</v>
      </c>
      <c r="L1771" t="s">
        <v>30</v>
      </c>
      <c r="M1771" s="2">
        <v>4</v>
      </c>
      <c r="N1771" t="s">
        <v>31</v>
      </c>
    </row>
    <row r="1772" spans="1:14" x14ac:dyDescent="0.3">
      <c r="A1772" t="s">
        <v>1808</v>
      </c>
      <c r="B1772" s="2">
        <v>52</v>
      </c>
      <c r="C1772" t="s">
        <v>16</v>
      </c>
      <c r="D1772" t="s">
        <v>61</v>
      </c>
      <c r="E1772" t="s">
        <v>38</v>
      </c>
      <c r="F1772" s="3">
        <v>45400</v>
      </c>
      <c r="G1772" s="3">
        <v>45493</v>
      </c>
      <c r="H1772" s="2">
        <v>9</v>
      </c>
      <c r="I1772" s="1">
        <v>306.08999999999997</v>
      </c>
      <c r="J1772" s="1">
        <v>34.01</v>
      </c>
      <c r="K1772" t="s">
        <v>25</v>
      </c>
      <c r="L1772" t="s">
        <v>20</v>
      </c>
      <c r="M1772" s="2">
        <v>8</v>
      </c>
      <c r="N1772" t="s">
        <v>21</v>
      </c>
    </row>
    <row r="1773" spans="1:14" x14ac:dyDescent="0.3">
      <c r="A1773" t="s">
        <v>1809</v>
      </c>
      <c r="B1773" s="2">
        <v>50</v>
      </c>
      <c r="C1773" t="s">
        <v>23</v>
      </c>
      <c r="D1773" t="s">
        <v>50</v>
      </c>
      <c r="E1773" t="s">
        <v>18</v>
      </c>
      <c r="F1773" s="3">
        <v>45884</v>
      </c>
      <c r="G1773" s="3">
        <v>46167</v>
      </c>
      <c r="H1773" s="2">
        <v>10</v>
      </c>
      <c r="I1773" s="1">
        <v>303.60000000000002</v>
      </c>
      <c r="J1773" s="1">
        <v>30.36</v>
      </c>
      <c r="K1773" t="s">
        <v>19</v>
      </c>
      <c r="L1773" t="s">
        <v>30</v>
      </c>
      <c r="M1773" s="2">
        <v>7</v>
      </c>
      <c r="N1773" t="s">
        <v>21</v>
      </c>
    </row>
    <row r="1774" spans="1:14" x14ac:dyDescent="0.3">
      <c r="A1774" t="s">
        <v>1810</v>
      </c>
      <c r="B1774" s="2">
        <v>42</v>
      </c>
      <c r="C1774" t="s">
        <v>16</v>
      </c>
      <c r="D1774" t="s">
        <v>24</v>
      </c>
      <c r="E1774" t="s">
        <v>34</v>
      </c>
      <c r="F1774" s="3">
        <v>45846</v>
      </c>
      <c r="G1774" s="3">
        <v>46033</v>
      </c>
      <c r="H1774" s="2">
        <v>15</v>
      </c>
      <c r="I1774" s="1">
        <v>303</v>
      </c>
      <c r="J1774" s="1">
        <v>20.2</v>
      </c>
      <c r="K1774" t="s">
        <v>19</v>
      </c>
      <c r="L1774" t="s">
        <v>30</v>
      </c>
      <c r="M1774" s="2">
        <v>6</v>
      </c>
      <c r="N1774" t="s">
        <v>21</v>
      </c>
    </row>
    <row r="1775" spans="1:14" x14ac:dyDescent="0.3">
      <c r="A1775" t="s">
        <v>1811</v>
      </c>
      <c r="B1775" s="2">
        <v>61</v>
      </c>
      <c r="C1775" t="s">
        <v>16</v>
      </c>
      <c r="D1775" t="s">
        <v>17</v>
      </c>
      <c r="E1775" t="s">
        <v>34</v>
      </c>
      <c r="F1775" s="3">
        <v>45802</v>
      </c>
      <c r="G1775" s="3">
        <v>45850</v>
      </c>
      <c r="H1775" s="2">
        <v>11</v>
      </c>
      <c r="I1775" s="1">
        <v>299.97000000000003</v>
      </c>
      <c r="J1775" s="1">
        <v>27.27</v>
      </c>
      <c r="K1775" t="s">
        <v>19</v>
      </c>
      <c r="L1775" t="s">
        <v>30</v>
      </c>
      <c r="M1775" s="2">
        <v>6</v>
      </c>
      <c r="N1775" t="s">
        <v>21</v>
      </c>
    </row>
    <row r="1776" spans="1:14" x14ac:dyDescent="0.3">
      <c r="A1776" t="s">
        <v>1812</v>
      </c>
      <c r="B1776" s="2">
        <v>55</v>
      </c>
      <c r="C1776" t="s">
        <v>23</v>
      </c>
      <c r="D1776" t="s">
        <v>44</v>
      </c>
      <c r="E1776" t="s">
        <v>18</v>
      </c>
      <c r="F1776" s="3">
        <v>45496</v>
      </c>
      <c r="G1776" s="3">
        <v>45518</v>
      </c>
      <c r="H1776" s="2">
        <v>2</v>
      </c>
      <c r="I1776" s="1">
        <v>298.94</v>
      </c>
      <c r="J1776" s="1">
        <v>149.47</v>
      </c>
      <c r="K1776" t="s">
        <v>39</v>
      </c>
      <c r="L1776" t="s">
        <v>26</v>
      </c>
      <c r="M1776" s="2">
        <v>5</v>
      </c>
      <c r="N1776" t="s">
        <v>21</v>
      </c>
    </row>
    <row r="1777" spans="1:14" x14ac:dyDescent="0.3">
      <c r="A1777" t="s">
        <v>1813</v>
      </c>
      <c r="B1777" s="2">
        <v>44</v>
      </c>
      <c r="C1777" t="s">
        <v>23</v>
      </c>
      <c r="D1777" t="s">
        <v>50</v>
      </c>
      <c r="E1777" t="s">
        <v>18</v>
      </c>
      <c r="F1777" s="3">
        <v>45780</v>
      </c>
      <c r="G1777" s="3">
        <v>45899</v>
      </c>
      <c r="H1777" s="2">
        <v>3</v>
      </c>
      <c r="I1777" s="1">
        <v>297.93</v>
      </c>
      <c r="J1777" s="1">
        <v>99.31</v>
      </c>
      <c r="K1777" t="s">
        <v>39</v>
      </c>
      <c r="L1777" t="s">
        <v>20</v>
      </c>
      <c r="M1777" s="2">
        <v>9</v>
      </c>
      <c r="N1777" t="s">
        <v>21</v>
      </c>
    </row>
    <row r="1778" spans="1:14" x14ac:dyDescent="0.3">
      <c r="A1778" t="s">
        <v>1814</v>
      </c>
      <c r="B1778" s="2">
        <v>55</v>
      </c>
      <c r="C1778" t="s">
        <v>23</v>
      </c>
      <c r="D1778" t="s">
        <v>24</v>
      </c>
      <c r="E1778" t="s">
        <v>29</v>
      </c>
      <c r="F1778" s="3">
        <v>45567</v>
      </c>
      <c r="G1778" s="3">
        <v>45861</v>
      </c>
      <c r="H1778" s="2">
        <v>2</v>
      </c>
      <c r="I1778" s="1">
        <v>297.74</v>
      </c>
      <c r="J1778" s="1">
        <v>148.87</v>
      </c>
      <c r="K1778" t="s">
        <v>39</v>
      </c>
      <c r="L1778" t="s">
        <v>20</v>
      </c>
      <c r="M1778" s="2">
        <v>8</v>
      </c>
      <c r="N1778" t="s">
        <v>21</v>
      </c>
    </row>
    <row r="1779" spans="1:14" x14ac:dyDescent="0.3">
      <c r="A1779" t="s">
        <v>1815</v>
      </c>
      <c r="B1779" s="2">
        <v>20</v>
      </c>
      <c r="C1779" t="s">
        <v>23</v>
      </c>
      <c r="D1779" t="s">
        <v>44</v>
      </c>
      <c r="E1779" t="s">
        <v>38</v>
      </c>
      <c r="F1779" s="3">
        <v>45553</v>
      </c>
      <c r="G1779" s="3">
        <v>45660</v>
      </c>
      <c r="H1779" s="2">
        <v>1</v>
      </c>
      <c r="I1779" s="1">
        <v>297.49</v>
      </c>
      <c r="J1779" s="1">
        <v>297.49</v>
      </c>
      <c r="K1779" t="s">
        <v>39</v>
      </c>
      <c r="L1779" t="s">
        <v>30</v>
      </c>
      <c r="M1779" s="2">
        <v>8</v>
      </c>
      <c r="N1779" t="s">
        <v>31</v>
      </c>
    </row>
    <row r="1780" spans="1:14" x14ac:dyDescent="0.3">
      <c r="A1780" t="s">
        <v>1816</v>
      </c>
      <c r="B1780" s="2">
        <v>30</v>
      </c>
      <c r="C1780" t="s">
        <v>16</v>
      </c>
      <c r="D1780" t="s">
        <v>50</v>
      </c>
      <c r="E1780" t="s">
        <v>18</v>
      </c>
      <c r="F1780" s="3">
        <v>45308</v>
      </c>
      <c r="G1780" s="3">
        <v>45523</v>
      </c>
      <c r="H1780" s="2">
        <v>1</v>
      </c>
      <c r="I1780" s="1">
        <v>297</v>
      </c>
      <c r="J1780" s="1">
        <v>297</v>
      </c>
      <c r="K1780" t="s">
        <v>25</v>
      </c>
      <c r="L1780" t="s">
        <v>20</v>
      </c>
      <c r="M1780" s="2">
        <v>3</v>
      </c>
      <c r="N1780" t="s">
        <v>21</v>
      </c>
    </row>
    <row r="1781" spans="1:14" x14ac:dyDescent="0.3">
      <c r="A1781" t="s">
        <v>1817</v>
      </c>
      <c r="B1781" s="2">
        <v>63</v>
      </c>
      <c r="C1781" t="s">
        <v>16</v>
      </c>
      <c r="D1781" t="s">
        <v>42</v>
      </c>
      <c r="E1781" t="s">
        <v>34</v>
      </c>
      <c r="F1781" s="3">
        <v>45351</v>
      </c>
      <c r="G1781" s="3">
        <v>45478</v>
      </c>
      <c r="H1781" s="2">
        <v>2</v>
      </c>
      <c r="I1781" s="1">
        <v>295.62</v>
      </c>
      <c r="J1781" s="1">
        <v>147.81</v>
      </c>
      <c r="K1781" t="s">
        <v>35</v>
      </c>
      <c r="L1781" t="s">
        <v>20</v>
      </c>
      <c r="M1781" s="2">
        <v>7</v>
      </c>
      <c r="N1781" t="s">
        <v>21</v>
      </c>
    </row>
    <row r="1782" spans="1:14" x14ac:dyDescent="0.3">
      <c r="A1782" t="s">
        <v>1818</v>
      </c>
      <c r="B1782" s="2">
        <v>37</v>
      </c>
      <c r="C1782" t="s">
        <v>16</v>
      </c>
      <c r="D1782" t="s">
        <v>24</v>
      </c>
      <c r="E1782" t="s">
        <v>34</v>
      </c>
      <c r="F1782" s="3">
        <v>45725</v>
      </c>
      <c r="G1782" s="3">
        <v>45915</v>
      </c>
      <c r="H1782" s="2">
        <v>3</v>
      </c>
      <c r="I1782" s="1">
        <v>295.17</v>
      </c>
      <c r="J1782" s="1">
        <v>98.39</v>
      </c>
      <c r="K1782" t="s">
        <v>25</v>
      </c>
      <c r="L1782" t="s">
        <v>26</v>
      </c>
      <c r="M1782" s="2">
        <v>8</v>
      </c>
      <c r="N1782" t="s">
        <v>21</v>
      </c>
    </row>
    <row r="1783" spans="1:14" x14ac:dyDescent="0.3">
      <c r="A1783" t="s">
        <v>1819</v>
      </c>
      <c r="B1783" s="2">
        <v>63</v>
      </c>
      <c r="C1783" t="s">
        <v>16</v>
      </c>
      <c r="D1783" t="s">
        <v>28</v>
      </c>
      <c r="E1783" t="s">
        <v>29</v>
      </c>
      <c r="F1783" s="3">
        <v>45708</v>
      </c>
      <c r="G1783" s="3">
        <v>45719</v>
      </c>
      <c r="H1783" s="2">
        <v>1</v>
      </c>
      <c r="I1783" s="1">
        <v>294.75</v>
      </c>
      <c r="J1783" s="1">
        <v>294.75</v>
      </c>
      <c r="K1783" t="s">
        <v>19</v>
      </c>
      <c r="L1783" t="s">
        <v>20</v>
      </c>
      <c r="M1783" s="2">
        <v>10</v>
      </c>
      <c r="N1783" t="s">
        <v>21</v>
      </c>
    </row>
    <row r="1784" spans="1:14" x14ac:dyDescent="0.3">
      <c r="A1784" t="s">
        <v>1820</v>
      </c>
      <c r="B1784" s="2">
        <v>36</v>
      </c>
      <c r="C1784" t="s">
        <v>16</v>
      </c>
      <c r="D1784" t="s">
        <v>44</v>
      </c>
      <c r="E1784" t="s">
        <v>38</v>
      </c>
      <c r="F1784" s="3">
        <v>45838</v>
      </c>
      <c r="G1784" s="3">
        <v>45902</v>
      </c>
      <c r="H1784" s="2">
        <v>9</v>
      </c>
      <c r="I1784" s="1">
        <v>294.66000000000003</v>
      </c>
      <c r="J1784" s="1">
        <v>32.74</v>
      </c>
      <c r="K1784" t="s">
        <v>39</v>
      </c>
      <c r="L1784" t="s">
        <v>30</v>
      </c>
      <c r="M1784" s="2">
        <v>10</v>
      </c>
      <c r="N1784" t="s">
        <v>31</v>
      </c>
    </row>
    <row r="1785" spans="1:14" x14ac:dyDescent="0.3">
      <c r="A1785" t="s">
        <v>1821</v>
      </c>
      <c r="B1785" s="2">
        <v>43</v>
      </c>
      <c r="C1785" t="s">
        <v>16</v>
      </c>
      <c r="D1785" t="s">
        <v>42</v>
      </c>
      <c r="E1785" t="s">
        <v>38</v>
      </c>
      <c r="F1785" s="3">
        <v>45387</v>
      </c>
      <c r="G1785" s="3">
        <v>45545</v>
      </c>
      <c r="H1785" s="2">
        <v>1</v>
      </c>
      <c r="I1785" s="1">
        <v>294.55</v>
      </c>
      <c r="J1785" s="1">
        <v>294.55</v>
      </c>
      <c r="K1785" t="s">
        <v>45</v>
      </c>
      <c r="L1785" t="s">
        <v>30</v>
      </c>
      <c r="M1785" s="2">
        <v>2</v>
      </c>
      <c r="N1785" t="s">
        <v>21</v>
      </c>
    </row>
    <row r="1786" spans="1:14" x14ac:dyDescent="0.3">
      <c r="A1786" t="s">
        <v>1822</v>
      </c>
      <c r="B1786" s="2">
        <v>26</v>
      </c>
      <c r="C1786" t="s">
        <v>23</v>
      </c>
      <c r="D1786" t="s">
        <v>50</v>
      </c>
      <c r="E1786" t="s">
        <v>34</v>
      </c>
      <c r="F1786" s="3">
        <v>45876</v>
      </c>
      <c r="G1786" s="3">
        <v>46174</v>
      </c>
      <c r="H1786" s="2">
        <v>1</v>
      </c>
      <c r="I1786" s="1">
        <v>293.39999999999998</v>
      </c>
      <c r="J1786" s="1">
        <v>293.39999999999998</v>
      </c>
      <c r="K1786" t="s">
        <v>35</v>
      </c>
      <c r="L1786" t="s">
        <v>20</v>
      </c>
      <c r="M1786" s="2">
        <v>1</v>
      </c>
      <c r="N1786" t="s">
        <v>21</v>
      </c>
    </row>
    <row r="1787" spans="1:14" x14ac:dyDescent="0.3">
      <c r="A1787" t="s">
        <v>1823</v>
      </c>
      <c r="B1787" s="2">
        <v>38</v>
      </c>
      <c r="C1787" t="s">
        <v>16</v>
      </c>
      <c r="D1787" t="s">
        <v>17</v>
      </c>
      <c r="E1787" t="s">
        <v>29</v>
      </c>
      <c r="F1787" s="3">
        <v>45351</v>
      </c>
      <c r="G1787" s="3">
        <v>45647</v>
      </c>
      <c r="H1787" s="2">
        <v>3</v>
      </c>
      <c r="I1787" s="1">
        <v>292.2</v>
      </c>
      <c r="J1787" s="1">
        <v>97.4</v>
      </c>
      <c r="K1787" t="s">
        <v>45</v>
      </c>
      <c r="L1787" t="s">
        <v>26</v>
      </c>
      <c r="M1787" s="2">
        <v>5</v>
      </c>
      <c r="N1787" t="s">
        <v>21</v>
      </c>
    </row>
    <row r="1788" spans="1:14" x14ac:dyDescent="0.3">
      <c r="A1788" t="s">
        <v>1824</v>
      </c>
      <c r="B1788" s="2">
        <v>26</v>
      </c>
      <c r="C1788" t="s">
        <v>23</v>
      </c>
      <c r="D1788" t="s">
        <v>50</v>
      </c>
      <c r="E1788" t="s">
        <v>38</v>
      </c>
      <c r="F1788" s="3">
        <v>45941</v>
      </c>
      <c r="G1788" s="3">
        <v>46157</v>
      </c>
      <c r="H1788" s="2">
        <v>9</v>
      </c>
      <c r="I1788" s="1">
        <v>291.06000000000012</v>
      </c>
      <c r="J1788" s="1">
        <v>32.340000000000003</v>
      </c>
      <c r="K1788" t="s">
        <v>19</v>
      </c>
      <c r="L1788" t="s">
        <v>20</v>
      </c>
      <c r="M1788" s="2">
        <v>7</v>
      </c>
      <c r="N1788" t="s">
        <v>21</v>
      </c>
    </row>
    <row r="1789" spans="1:14" x14ac:dyDescent="0.3">
      <c r="A1789" t="s">
        <v>1825</v>
      </c>
      <c r="B1789" s="2">
        <v>33</v>
      </c>
      <c r="C1789" t="s">
        <v>23</v>
      </c>
      <c r="D1789" t="s">
        <v>28</v>
      </c>
      <c r="E1789" t="s">
        <v>29</v>
      </c>
      <c r="F1789" s="3">
        <v>45842</v>
      </c>
      <c r="G1789" s="3">
        <v>45882</v>
      </c>
      <c r="H1789" s="2">
        <v>2</v>
      </c>
      <c r="I1789" s="1">
        <v>290.12</v>
      </c>
      <c r="J1789" s="1">
        <v>145.06</v>
      </c>
      <c r="K1789" t="s">
        <v>25</v>
      </c>
      <c r="L1789" t="s">
        <v>30</v>
      </c>
      <c r="M1789" s="2">
        <v>8</v>
      </c>
      <c r="N1789" t="s">
        <v>21</v>
      </c>
    </row>
    <row r="1790" spans="1:14" x14ac:dyDescent="0.3">
      <c r="A1790" t="s">
        <v>1826</v>
      </c>
      <c r="B1790" s="2">
        <v>23</v>
      </c>
      <c r="C1790" t="s">
        <v>16</v>
      </c>
      <c r="D1790" t="s">
        <v>44</v>
      </c>
      <c r="E1790" t="s">
        <v>38</v>
      </c>
      <c r="F1790" s="3">
        <v>45663</v>
      </c>
      <c r="G1790" s="3">
        <v>45820</v>
      </c>
      <c r="H1790" s="2">
        <v>8</v>
      </c>
      <c r="I1790" s="1">
        <v>289.76</v>
      </c>
      <c r="J1790" s="1">
        <v>36.22</v>
      </c>
      <c r="K1790" t="s">
        <v>39</v>
      </c>
      <c r="L1790" t="s">
        <v>20</v>
      </c>
      <c r="M1790" s="2">
        <v>3</v>
      </c>
      <c r="N1790" t="s">
        <v>21</v>
      </c>
    </row>
    <row r="1791" spans="1:14" x14ac:dyDescent="0.3">
      <c r="A1791" t="s">
        <v>1827</v>
      </c>
      <c r="B1791" s="2">
        <v>63</v>
      </c>
      <c r="C1791" t="s">
        <v>16</v>
      </c>
      <c r="D1791" t="s">
        <v>42</v>
      </c>
      <c r="E1791" t="s">
        <v>18</v>
      </c>
      <c r="F1791" s="3">
        <v>45972</v>
      </c>
      <c r="G1791" s="3">
        <v>45997</v>
      </c>
      <c r="H1791" s="2">
        <v>9</v>
      </c>
      <c r="I1791" s="1">
        <v>288.72000000000003</v>
      </c>
      <c r="J1791" s="1">
        <v>32.08</v>
      </c>
      <c r="K1791" t="s">
        <v>19</v>
      </c>
      <c r="L1791" t="s">
        <v>26</v>
      </c>
      <c r="M1791" s="2">
        <v>2</v>
      </c>
      <c r="N1791" t="s">
        <v>21</v>
      </c>
    </row>
    <row r="1792" spans="1:14" x14ac:dyDescent="0.3">
      <c r="A1792" t="s">
        <v>1828</v>
      </c>
      <c r="B1792" s="2">
        <v>58</v>
      </c>
      <c r="C1792" t="s">
        <v>16</v>
      </c>
      <c r="D1792" t="s">
        <v>28</v>
      </c>
      <c r="E1792" t="s">
        <v>29</v>
      </c>
      <c r="F1792" s="3">
        <v>45462</v>
      </c>
      <c r="G1792" s="3">
        <v>45653</v>
      </c>
      <c r="H1792" s="2">
        <v>6</v>
      </c>
      <c r="I1792" s="1">
        <v>288.24</v>
      </c>
      <c r="J1792" s="1">
        <v>48.04</v>
      </c>
      <c r="K1792" t="s">
        <v>19</v>
      </c>
      <c r="L1792" t="s">
        <v>20</v>
      </c>
      <c r="M1792" s="2">
        <v>7</v>
      </c>
      <c r="N1792" t="s">
        <v>31</v>
      </c>
    </row>
    <row r="1793" spans="1:14" x14ac:dyDescent="0.3">
      <c r="A1793" t="s">
        <v>1829</v>
      </c>
      <c r="B1793" s="2">
        <v>39</v>
      </c>
      <c r="C1793" t="s">
        <v>23</v>
      </c>
      <c r="D1793" t="s">
        <v>44</v>
      </c>
      <c r="E1793" t="s">
        <v>38</v>
      </c>
      <c r="F1793" s="3">
        <v>45718</v>
      </c>
      <c r="G1793" s="3">
        <v>45969</v>
      </c>
      <c r="H1793" s="2">
        <v>1</v>
      </c>
      <c r="I1793" s="1">
        <v>287.92</v>
      </c>
      <c r="J1793" s="1">
        <v>287.92</v>
      </c>
      <c r="K1793" t="s">
        <v>19</v>
      </c>
      <c r="L1793" t="s">
        <v>30</v>
      </c>
      <c r="M1793" s="2">
        <v>10</v>
      </c>
      <c r="N1793" t="s">
        <v>21</v>
      </c>
    </row>
    <row r="1794" spans="1:14" x14ac:dyDescent="0.3">
      <c r="A1794" t="s">
        <v>1830</v>
      </c>
      <c r="B1794" s="2">
        <v>52</v>
      </c>
      <c r="C1794" t="s">
        <v>16</v>
      </c>
      <c r="D1794" t="s">
        <v>44</v>
      </c>
      <c r="E1794" t="s">
        <v>38</v>
      </c>
      <c r="F1794" s="3">
        <v>45454</v>
      </c>
      <c r="G1794" s="3">
        <v>45696</v>
      </c>
      <c r="H1794" s="2">
        <v>13</v>
      </c>
      <c r="I1794" s="1">
        <v>287.69</v>
      </c>
      <c r="J1794" s="1">
        <v>22.13</v>
      </c>
      <c r="K1794" t="s">
        <v>39</v>
      </c>
      <c r="L1794" t="s">
        <v>30</v>
      </c>
      <c r="M1794" s="2">
        <v>3</v>
      </c>
      <c r="N1794" t="s">
        <v>21</v>
      </c>
    </row>
    <row r="1795" spans="1:14" x14ac:dyDescent="0.3">
      <c r="A1795" t="s">
        <v>1831</v>
      </c>
      <c r="B1795" s="2">
        <v>20</v>
      </c>
      <c r="C1795" t="s">
        <v>23</v>
      </c>
      <c r="D1795" t="s">
        <v>28</v>
      </c>
      <c r="E1795" t="s">
        <v>18</v>
      </c>
      <c r="F1795" s="3">
        <v>45587</v>
      </c>
      <c r="G1795" s="3">
        <v>45866</v>
      </c>
      <c r="H1795" s="2">
        <v>1</v>
      </c>
      <c r="I1795" s="1">
        <v>286.86</v>
      </c>
      <c r="J1795" s="1">
        <v>286.86</v>
      </c>
      <c r="K1795" t="s">
        <v>19</v>
      </c>
      <c r="L1795" t="s">
        <v>20</v>
      </c>
      <c r="M1795" s="2">
        <v>4</v>
      </c>
      <c r="N1795" t="s">
        <v>31</v>
      </c>
    </row>
    <row r="1796" spans="1:14" x14ac:dyDescent="0.3">
      <c r="A1796" t="s">
        <v>1832</v>
      </c>
      <c r="B1796" s="2">
        <v>42</v>
      </c>
      <c r="C1796" t="s">
        <v>16</v>
      </c>
      <c r="D1796" t="s">
        <v>28</v>
      </c>
      <c r="E1796" t="s">
        <v>34</v>
      </c>
      <c r="F1796" s="3">
        <v>45424</v>
      </c>
      <c r="G1796" s="3">
        <v>45700</v>
      </c>
      <c r="H1796" s="2">
        <v>1</v>
      </c>
      <c r="I1796" s="1">
        <v>286.08</v>
      </c>
      <c r="J1796" s="1">
        <v>286.08</v>
      </c>
      <c r="K1796" t="s">
        <v>45</v>
      </c>
      <c r="L1796" t="s">
        <v>20</v>
      </c>
      <c r="M1796" s="2">
        <v>2</v>
      </c>
      <c r="N1796" t="s">
        <v>31</v>
      </c>
    </row>
    <row r="1797" spans="1:14" x14ac:dyDescent="0.3">
      <c r="A1797" t="s">
        <v>1833</v>
      </c>
      <c r="B1797" s="2">
        <v>58</v>
      </c>
      <c r="C1797" t="s">
        <v>16</v>
      </c>
      <c r="D1797" t="s">
        <v>44</v>
      </c>
      <c r="E1797" t="s">
        <v>38</v>
      </c>
      <c r="F1797" s="3">
        <v>45544</v>
      </c>
      <c r="G1797" s="3">
        <v>45581</v>
      </c>
      <c r="H1797" s="2">
        <v>3</v>
      </c>
      <c r="I1797" s="1">
        <v>285.08999999999997</v>
      </c>
      <c r="J1797" s="1">
        <v>95.03</v>
      </c>
      <c r="K1797" t="s">
        <v>45</v>
      </c>
      <c r="L1797" t="s">
        <v>26</v>
      </c>
      <c r="M1797" s="2">
        <v>2</v>
      </c>
      <c r="N1797" t="s">
        <v>21</v>
      </c>
    </row>
    <row r="1798" spans="1:14" x14ac:dyDescent="0.3">
      <c r="A1798" t="s">
        <v>1834</v>
      </c>
      <c r="B1798" s="2">
        <v>40</v>
      </c>
      <c r="C1798" t="s">
        <v>16</v>
      </c>
      <c r="D1798" t="s">
        <v>44</v>
      </c>
      <c r="E1798" t="s">
        <v>18</v>
      </c>
      <c r="F1798" s="3">
        <v>45444</v>
      </c>
      <c r="G1798" s="3">
        <v>45556</v>
      </c>
      <c r="H1798" s="2">
        <v>5</v>
      </c>
      <c r="I1798" s="1">
        <v>282.8</v>
      </c>
      <c r="J1798" s="1">
        <v>56.56</v>
      </c>
      <c r="K1798" t="s">
        <v>25</v>
      </c>
      <c r="L1798" t="s">
        <v>26</v>
      </c>
      <c r="M1798" s="2">
        <v>4</v>
      </c>
      <c r="N1798" t="s">
        <v>21</v>
      </c>
    </row>
    <row r="1799" spans="1:14" x14ac:dyDescent="0.3">
      <c r="A1799" t="s">
        <v>1835</v>
      </c>
      <c r="B1799" s="2">
        <v>60</v>
      </c>
      <c r="C1799" t="s">
        <v>16</v>
      </c>
      <c r="D1799" t="s">
        <v>61</v>
      </c>
      <c r="E1799" t="s">
        <v>34</v>
      </c>
      <c r="F1799" s="3">
        <v>45791</v>
      </c>
      <c r="G1799" s="3">
        <v>45909</v>
      </c>
      <c r="H1799" s="2">
        <v>3</v>
      </c>
      <c r="I1799" s="1">
        <v>282.06</v>
      </c>
      <c r="J1799" s="1">
        <v>94.02</v>
      </c>
      <c r="K1799" t="s">
        <v>35</v>
      </c>
      <c r="L1799" t="s">
        <v>26</v>
      </c>
      <c r="M1799" s="2">
        <v>8</v>
      </c>
      <c r="N1799" t="s">
        <v>21</v>
      </c>
    </row>
    <row r="1800" spans="1:14" x14ac:dyDescent="0.3">
      <c r="A1800" t="s">
        <v>1836</v>
      </c>
      <c r="B1800" s="2">
        <v>60</v>
      </c>
      <c r="C1800" t="s">
        <v>23</v>
      </c>
      <c r="D1800" t="s">
        <v>61</v>
      </c>
      <c r="E1800" t="s">
        <v>18</v>
      </c>
      <c r="F1800" s="3">
        <v>45972</v>
      </c>
      <c r="G1800" s="3">
        <v>46064</v>
      </c>
      <c r="H1800" s="2">
        <v>2</v>
      </c>
      <c r="I1800" s="1">
        <v>281.62</v>
      </c>
      <c r="J1800" s="1">
        <v>140.81</v>
      </c>
      <c r="K1800" t="s">
        <v>19</v>
      </c>
      <c r="L1800" t="s">
        <v>26</v>
      </c>
      <c r="M1800" s="2">
        <v>2</v>
      </c>
      <c r="N1800" t="s">
        <v>31</v>
      </c>
    </row>
    <row r="1801" spans="1:14" x14ac:dyDescent="0.3">
      <c r="A1801" t="s">
        <v>1837</v>
      </c>
      <c r="B1801" s="2">
        <v>40</v>
      </c>
      <c r="C1801" t="s">
        <v>23</v>
      </c>
      <c r="D1801" t="s">
        <v>17</v>
      </c>
      <c r="E1801" t="s">
        <v>29</v>
      </c>
      <c r="F1801" s="3">
        <v>45360</v>
      </c>
      <c r="G1801" s="3">
        <v>45393</v>
      </c>
      <c r="H1801" s="2">
        <v>3</v>
      </c>
      <c r="I1801" s="1">
        <v>280.74</v>
      </c>
      <c r="J1801" s="1">
        <v>93.58</v>
      </c>
      <c r="K1801" t="s">
        <v>25</v>
      </c>
      <c r="L1801" t="s">
        <v>30</v>
      </c>
      <c r="M1801" s="2">
        <v>1</v>
      </c>
      <c r="N1801" t="s">
        <v>21</v>
      </c>
    </row>
    <row r="1802" spans="1:14" x14ac:dyDescent="0.3">
      <c r="A1802" t="s">
        <v>1838</v>
      </c>
      <c r="B1802" s="2">
        <v>39</v>
      </c>
      <c r="C1802" t="s">
        <v>16</v>
      </c>
      <c r="D1802" t="s">
        <v>24</v>
      </c>
      <c r="E1802" t="s">
        <v>34</v>
      </c>
      <c r="F1802" s="3">
        <v>45755</v>
      </c>
      <c r="G1802" s="3">
        <v>45807</v>
      </c>
      <c r="H1802" s="2">
        <v>8</v>
      </c>
      <c r="I1802" s="1">
        <v>280.72000000000003</v>
      </c>
      <c r="J1802" s="1">
        <v>35.090000000000003</v>
      </c>
      <c r="K1802" t="s">
        <v>45</v>
      </c>
      <c r="L1802" t="s">
        <v>20</v>
      </c>
      <c r="M1802" s="2">
        <v>5</v>
      </c>
      <c r="N1802" t="s">
        <v>21</v>
      </c>
    </row>
    <row r="1803" spans="1:14" x14ac:dyDescent="0.3">
      <c r="A1803" t="s">
        <v>1839</v>
      </c>
      <c r="B1803" s="2">
        <v>49</v>
      </c>
      <c r="C1803" t="s">
        <v>16</v>
      </c>
      <c r="D1803" t="s">
        <v>17</v>
      </c>
      <c r="E1803" t="s">
        <v>18</v>
      </c>
      <c r="F1803" s="3">
        <v>45912</v>
      </c>
      <c r="G1803" s="3">
        <v>45948</v>
      </c>
      <c r="H1803" s="2">
        <v>1</v>
      </c>
      <c r="I1803" s="1">
        <v>280.45999999999998</v>
      </c>
      <c r="J1803" s="1">
        <v>280.45999999999998</v>
      </c>
      <c r="K1803" t="s">
        <v>45</v>
      </c>
      <c r="L1803" t="s">
        <v>20</v>
      </c>
      <c r="M1803" s="2">
        <v>7</v>
      </c>
      <c r="N1803" t="s">
        <v>21</v>
      </c>
    </row>
    <row r="1804" spans="1:14" x14ac:dyDescent="0.3">
      <c r="A1804" t="s">
        <v>1840</v>
      </c>
      <c r="B1804" s="2">
        <v>26</v>
      </c>
      <c r="C1804" t="s">
        <v>16</v>
      </c>
      <c r="D1804" t="s">
        <v>61</v>
      </c>
      <c r="E1804" t="s">
        <v>34</v>
      </c>
      <c r="F1804" s="3">
        <v>45414</v>
      </c>
      <c r="G1804" s="3">
        <v>45607</v>
      </c>
      <c r="H1804" s="2">
        <v>2</v>
      </c>
      <c r="I1804" s="1">
        <v>279.95999999999998</v>
      </c>
      <c r="J1804" s="1">
        <v>139.97999999999999</v>
      </c>
      <c r="K1804" t="s">
        <v>39</v>
      </c>
      <c r="L1804" t="s">
        <v>26</v>
      </c>
      <c r="M1804" s="2">
        <v>8</v>
      </c>
      <c r="N1804" t="s">
        <v>21</v>
      </c>
    </row>
    <row r="1805" spans="1:14" x14ac:dyDescent="0.3">
      <c r="A1805" t="s">
        <v>1841</v>
      </c>
      <c r="B1805" s="2">
        <v>25</v>
      </c>
      <c r="C1805" t="s">
        <v>23</v>
      </c>
      <c r="D1805" t="s">
        <v>44</v>
      </c>
      <c r="E1805" t="s">
        <v>29</v>
      </c>
      <c r="F1805" s="3">
        <v>45573</v>
      </c>
      <c r="G1805" s="3">
        <v>45800</v>
      </c>
      <c r="H1805" s="2">
        <v>12</v>
      </c>
      <c r="I1805" s="1">
        <v>279</v>
      </c>
      <c r="J1805" s="1">
        <v>23.25</v>
      </c>
      <c r="K1805" t="s">
        <v>39</v>
      </c>
      <c r="L1805" t="s">
        <v>20</v>
      </c>
      <c r="M1805" s="2">
        <v>10</v>
      </c>
      <c r="N1805" t="s">
        <v>31</v>
      </c>
    </row>
    <row r="1806" spans="1:14" x14ac:dyDescent="0.3">
      <c r="A1806" t="s">
        <v>1842</v>
      </c>
      <c r="B1806" s="2">
        <v>45</v>
      </c>
      <c r="C1806" t="s">
        <v>16</v>
      </c>
      <c r="D1806" t="s">
        <v>28</v>
      </c>
      <c r="E1806" t="s">
        <v>29</v>
      </c>
      <c r="F1806" s="3">
        <v>45489</v>
      </c>
      <c r="G1806" s="3">
        <v>45553</v>
      </c>
      <c r="H1806" s="2">
        <v>2</v>
      </c>
      <c r="I1806" s="1">
        <v>277.08</v>
      </c>
      <c r="J1806" s="1">
        <v>138.54</v>
      </c>
      <c r="K1806" t="s">
        <v>19</v>
      </c>
      <c r="L1806" t="s">
        <v>26</v>
      </c>
      <c r="M1806" s="2">
        <v>6</v>
      </c>
      <c r="N1806" t="s">
        <v>21</v>
      </c>
    </row>
    <row r="1807" spans="1:14" x14ac:dyDescent="0.3">
      <c r="A1807" t="s">
        <v>1843</v>
      </c>
      <c r="B1807" s="2">
        <v>44</v>
      </c>
      <c r="C1807" t="s">
        <v>16</v>
      </c>
      <c r="D1807" t="s">
        <v>28</v>
      </c>
      <c r="E1807" t="s">
        <v>29</v>
      </c>
      <c r="F1807" s="3">
        <v>45712</v>
      </c>
      <c r="G1807" s="3">
        <v>45948</v>
      </c>
      <c r="H1807" s="2">
        <v>1</v>
      </c>
      <c r="I1807" s="1">
        <v>275.52</v>
      </c>
      <c r="J1807" s="1">
        <v>275.52</v>
      </c>
      <c r="K1807" t="s">
        <v>19</v>
      </c>
      <c r="L1807" t="s">
        <v>26</v>
      </c>
      <c r="M1807" s="2">
        <v>4</v>
      </c>
      <c r="N1807" t="s">
        <v>31</v>
      </c>
    </row>
    <row r="1808" spans="1:14" x14ac:dyDescent="0.3">
      <c r="A1808" t="s">
        <v>1844</v>
      </c>
      <c r="B1808" s="2">
        <v>19</v>
      </c>
      <c r="C1808" t="s">
        <v>16</v>
      </c>
      <c r="D1808" t="s">
        <v>24</v>
      </c>
      <c r="E1808" t="s">
        <v>38</v>
      </c>
      <c r="F1808" s="3">
        <v>45825</v>
      </c>
      <c r="G1808" s="3">
        <v>45920</v>
      </c>
      <c r="H1808" s="2">
        <v>3</v>
      </c>
      <c r="I1808" s="1">
        <v>274.89</v>
      </c>
      <c r="J1808" s="1">
        <v>91.63</v>
      </c>
      <c r="K1808" t="s">
        <v>39</v>
      </c>
      <c r="L1808" t="s">
        <v>30</v>
      </c>
      <c r="M1808" s="2">
        <v>6</v>
      </c>
      <c r="N1808" t="s">
        <v>21</v>
      </c>
    </row>
    <row r="1809" spans="1:14" x14ac:dyDescent="0.3">
      <c r="A1809" t="s">
        <v>1845</v>
      </c>
      <c r="B1809" s="2">
        <v>34</v>
      </c>
      <c r="C1809" t="s">
        <v>23</v>
      </c>
      <c r="D1809" t="s">
        <v>24</v>
      </c>
      <c r="E1809" t="s">
        <v>29</v>
      </c>
      <c r="F1809" s="3">
        <v>45745</v>
      </c>
      <c r="G1809" s="3">
        <v>45943</v>
      </c>
      <c r="H1809" s="2">
        <v>1</v>
      </c>
      <c r="I1809" s="1">
        <v>274.74</v>
      </c>
      <c r="J1809" s="1">
        <v>274.74</v>
      </c>
      <c r="K1809" t="s">
        <v>45</v>
      </c>
      <c r="L1809" t="s">
        <v>30</v>
      </c>
      <c r="M1809" s="2">
        <v>3</v>
      </c>
      <c r="N1809" t="s">
        <v>21</v>
      </c>
    </row>
    <row r="1810" spans="1:14" x14ac:dyDescent="0.3">
      <c r="A1810" t="s">
        <v>1846</v>
      </c>
      <c r="B1810" s="2">
        <v>54</v>
      </c>
      <c r="C1810" t="s">
        <v>23</v>
      </c>
      <c r="D1810" t="s">
        <v>42</v>
      </c>
      <c r="E1810" t="s">
        <v>38</v>
      </c>
      <c r="F1810" s="3">
        <v>45649</v>
      </c>
      <c r="G1810" s="3">
        <v>45683</v>
      </c>
      <c r="H1810" s="2">
        <v>2</v>
      </c>
      <c r="I1810" s="1">
        <v>273.83999999999997</v>
      </c>
      <c r="J1810" s="1">
        <v>136.91999999999999</v>
      </c>
      <c r="K1810" t="s">
        <v>35</v>
      </c>
      <c r="L1810" t="s">
        <v>20</v>
      </c>
      <c r="M1810" s="2">
        <v>10</v>
      </c>
      <c r="N1810" t="s">
        <v>21</v>
      </c>
    </row>
    <row r="1811" spans="1:14" x14ac:dyDescent="0.3">
      <c r="A1811" t="s">
        <v>1847</v>
      </c>
      <c r="B1811" s="2">
        <v>39</v>
      </c>
      <c r="C1811" t="s">
        <v>16</v>
      </c>
      <c r="D1811" t="s">
        <v>17</v>
      </c>
      <c r="E1811" t="s">
        <v>29</v>
      </c>
      <c r="F1811" s="3">
        <v>45411</v>
      </c>
      <c r="G1811" s="3">
        <v>45559</v>
      </c>
      <c r="H1811" s="2">
        <v>1</v>
      </c>
      <c r="I1811" s="1">
        <v>273.23</v>
      </c>
      <c r="J1811" s="1">
        <v>273.23</v>
      </c>
      <c r="K1811" t="s">
        <v>45</v>
      </c>
      <c r="L1811" t="s">
        <v>26</v>
      </c>
      <c r="M1811" s="2">
        <v>1</v>
      </c>
      <c r="N1811" t="s">
        <v>21</v>
      </c>
    </row>
    <row r="1812" spans="1:14" x14ac:dyDescent="0.3">
      <c r="A1812" t="s">
        <v>1848</v>
      </c>
      <c r="B1812" s="2">
        <v>29</v>
      </c>
      <c r="C1812" t="s">
        <v>23</v>
      </c>
      <c r="D1812" t="s">
        <v>42</v>
      </c>
      <c r="E1812" t="s">
        <v>34</v>
      </c>
      <c r="F1812" s="3">
        <v>45377</v>
      </c>
      <c r="G1812" s="3">
        <v>45467</v>
      </c>
      <c r="H1812" s="2">
        <v>1</v>
      </c>
      <c r="I1812" s="1">
        <v>270.02999999999997</v>
      </c>
      <c r="J1812" s="1">
        <v>270.02999999999997</v>
      </c>
      <c r="K1812" t="s">
        <v>39</v>
      </c>
      <c r="L1812" t="s">
        <v>30</v>
      </c>
      <c r="M1812" s="2">
        <v>3</v>
      </c>
      <c r="N1812" t="s">
        <v>21</v>
      </c>
    </row>
    <row r="1813" spans="1:14" x14ac:dyDescent="0.3">
      <c r="A1813" t="s">
        <v>1849</v>
      </c>
      <c r="B1813" s="2">
        <v>53</v>
      </c>
      <c r="C1813" t="s">
        <v>16</v>
      </c>
      <c r="D1813" t="s">
        <v>44</v>
      </c>
      <c r="E1813" t="s">
        <v>34</v>
      </c>
      <c r="F1813" s="3">
        <v>45828</v>
      </c>
      <c r="G1813" s="3">
        <v>45959</v>
      </c>
      <c r="H1813" s="2">
        <v>1</v>
      </c>
      <c r="I1813" s="1">
        <v>266.2</v>
      </c>
      <c r="J1813" s="1">
        <v>266.2</v>
      </c>
      <c r="K1813" t="s">
        <v>39</v>
      </c>
      <c r="L1813" t="s">
        <v>30</v>
      </c>
      <c r="M1813" s="2">
        <v>1</v>
      </c>
      <c r="N1813" t="s">
        <v>31</v>
      </c>
    </row>
    <row r="1814" spans="1:14" x14ac:dyDescent="0.3">
      <c r="A1814" t="s">
        <v>1850</v>
      </c>
      <c r="B1814" s="2">
        <v>62</v>
      </c>
      <c r="C1814" t="s">
        <v>23</v>
      </c>
      <c r="D1814" t="s">
        <v>17</v>
      </c>
      <c r="E1814" t="s">
        <v>38</v>
      </c>
      <c r="F1814" s="3">
        <v>45724</v>
      </c>
      <c r="G1814" s="3">
        <v>45735</v>
      </c>
      <c r="H1814" s="2">
        <v>4</v>
      </c>
      <c r="I1814" s="1">
        <v>266.04000000000002</v>
      </c>
      <c r="J1814" s="1">
        <v>66.510000000000005</v>
      </c>
      <c r="K1814" t="s">
        <v>39</v>
      </c>
      <c r="L1814" t="s">
        <v>26</v>
      </c>
      <c r="M1814" s="2">
        <v>10</v>
      </c>
      <c r="N1814" t="s">
        <v>31</v>
      </c>
    </row>
    <row r="1815" spans="1:14" x14ac:dyDescent="0.3">
      <c r="A1815" t="s">
        <v>1851</v>
      </c>
      <c r="B1815" s="2">
        <v>41</v>
      </c>
      <c r="C1815" t="s">
        <v>23</v>
      </c>
      <c r="D1815" t="s">
        <v>42</v>
      </c>
      <c r="E1815" t="s">
        <v>38</v>
      </c>
      <c r="F1815" s="3">
        <v>45333</v>
      </c>
      <c r="G1815" s="3">
        <v>45600</v>
      </c>
      <c r="H1815" s="2">
        <v>5</v>
      </c>
      <c r="I1815" s="1">
        <v>264.85000000000002</v>
      </c>
      <c r="J1815" s="1">
        <v>52.97</v>
      </c>
      <c r="K1815" t="s">
        <v>39</v>
      </c>
      <c r="L1815" t="s">
        <v>30</v>
      </c>
      <c r="M1815" s="2">
        <v>3</v>
      </c>
      <c r="N1815" t="s">
        <v>21</v>
      </c>
    </row>
    <row r="1816" spans="1:14" x14ac:dyDescent="0.3">
      <c r="A1816" t="s">
        <v>1852</v>
      </c>
      <c r="B1816" s="2">
        <v>42</v>
      </c>
      <c r="C1816" t="s">
        <v>16</v>
      </c>
      <c r="D1816" t="s">
        <v>17</v>
      </c>
      <c r="E1816" t="s">
        <v>34</v>
      </c>
      <c r="F1816" s="3">
        <v>45686</v>
      </c>
      <c r="G1816" s="3">
        <v>45900</v>
      </c>
      <c r="H1816" s="2">
        <v>1</v>
      </c>
      <c r="I1816" s="1">
        <v>264.54000000000002</v>
      </c>
      <c r="J1816" s="1">
        <v>264.54000000000002</v>
      </c>
      <c r="K1816" t="s">
        <v>39</v>
      </c>
      <c r="L1816" t="s">
        <v>26</v>
      </c>
      <c r="M1816" s="2">
        <v>3</v>
      </c>
      <c r="N1816" t="s">
        <v>21</v>
      </c>
    </row>
    <row r="1817" spans="1:14" x14ac:dyDescent="0.3">
      <c r="A1817" t="s">
        <v>1853</v>
      </c>
      <c r="B1817" s="2">
        <v>23</v>
      </c>
      <c r="C1817" t="s">
        <v>23</v>
      </c>
      <c r="D1817" t="s">
        <v>44</v>
      </c>
      <c r="E1817" t="s">
        <v>34</v>
      </c>
      <c r="F1817" s="3">
        <v>45627</v>
      </c>
      <c r="G1817" s="3">
        <v>45924</v>
      </c>
      <c r="H1817" s="2">
        <v>1</v>
      </c>
      <c r="I1817" s="1">
        <v>263.29000000000002</v>
      </c>
      <c r="J1817" s="1">
        <v>263.29000000000002</v>
      </c>
      <c r="K1817" t="s">
        <v>39</v>
      </c>
      <c r="L1817" t="s">
        <v>20</v>
      </c>
      <c r="M1817" s="2">
        <v>7</v>
      </c>
      <c r="N1817" t="s">
        <v>21</v>
      </c>
    </row>
    <row r="1818" spans="1:14" x14ac:dyDescent="0.3">
      <c r="A1818" t="s">
        <v>1854</v>
      </c>
      <c r="B1818" s="2">
        <v>25</v>
      </c>
      <c r="C1818" t="s">
        <v>23</v>
      </c>
      <c r="D1818" t="s">
        <v>24</v>
      </c>
      <c r="E1818" t="s">
        <v>29</v>
      </c>
      <c r="F1818" s="3">
        <v>45849</v>
      </c>
      <c r="G1818" s="3">
        <v>46032</v>
      </c>
      <c r="H1818" s="2">
        <v>2</v>
      </c>
      <c r="I1818" s="1">
        <v>262.95999999999998</v>
      </c>
      <c r="J1818" s="1">
        <v>131.47999999999999</v>
      </c>
      <c r="K1818" t="s">
        <v>19</v>
      </c>
      <c r="L1818" t="s">
        <v>30</v>
      </c>
      <c r="M1818" s="2">
        <v>1</v>
      </c>
      <c r="N1818" t="s">
        <v>21</v>
      </c>
    </row>
    <row r="1819" spans="1:14" x14ac:dyDescent="0.3">
      <c r="A1819" t="s">
        <v>1855</v>
      </c>
      <c r="B1819" s="2">
        <v>46</v>
      </c>
      <c r="C1819" t="s">
        <v>23</v>
      </c>
      <c r="D1819" t="s">
        <v>50</v>
      </c>
      <c r="E1819" t="s">
        <v>34</v>
      </c>
      <c r="F1819" s="3">
        <v>45793</v>
      </c>
      <c r="G1819" s="3">
        <v>46001</v>
      </c>
      <c r="H1819" s="2">
        <v>9</v>
      </c>
      <c r="I1819" s="1">
        <v>262.44</v>
      </c>
      <c r="J1819" s="1">
        <v>29.16</v>
      </c>
      <c r="K1819" t="s">
        <v>39</v>
      </c>
      <c r="L1819" t="s">
        <v>20</v>
      </c>
      <c r="M1819" s="2">
        <v>6</v>
      </c>
      <c r="N1819" t="s">
        <v>21</v>
      </c>
    </row>
    <row r="1820" spans="1:14" x14ac:dyDescent="0.3">
      <c r="A1820" t="s">
        <v>1856</v>
      </c>
      <c r="B1820" s="2">
        <v>39</v>
      </c>
      <c r="C1820" t="s">
        <v>23</v>
      </c>
      <c r="D1820" t="s">
        <v>24</v>
      </c>
      <c r="E1820" t="s">
        <v>18</v>
      </c>
      <c r="F1820" s="3">
        <v>45809</v>
      </c>
      <c r="G1820" s="3">
        <v>45884</v>
      </c>
      <c r="H1820" s="2">
        <v>3</v>
      </c>
      <c r="I1820" s="1">
        <v>261.72000000000003</v>
      </c>
      <c r="J1820" s="1">
        <v>87.24</v>
      </c>
      <c r="K1820" t="s">
        <v>45</v>
      </c>
      <c r="L1820" t="s">
        <v>30</v>
      </c>
      <c r="M1820" s="2">
        <v>5</v>
      </c>
      <c r="N1820" t="s">
        <v>21</v>
      </c>
    </row>
    <row r="1821" spans="1:14" x14ac:dyDescent="0.3">
      <c r="A1821" t="s">
        <v>1857</v>
      </c>
      <c r="B1821" s="2">
        <v>62</v>
      </c>
      <c r="C1821" t="s">
        <v>16</v>
      </c>
      <c r="D1821" t="s">
        <v>24</v>
      </c>
      <c r="E1821" t="s">
        <v>38</v>
      </c>
      <c r="F1821" s="3">
        <v>45915</v>
      </c>
      <c r="G1821" s="3">
        <v>46120</v>
      </c>
      <c r="H1821" s="2">
        <v>2</v>
      </c>
      <c r="I1821" s="1">
        <v>261.64</v>
      </c>
      <c r="J1821" s="1">
        <v>130.82</v>
      </c>
      <c r="K1821" t="s">
        <v>45</v>
      </c>
      <c r="L1821" t="s">
        <v>26</v>
      </c>
      <c r="M1821" s="2">
        <v>1</v>
      </c>
      <c r="N1821" t="s">
        <v>21</v>
      </c>
    </row>
    <row r="1822" spans="1:14" x14ac:dyDescent="0.3">
      <c r="A1822" t="s">
        <v>1858</v>
      </c>
      <c r="B1822" s="2">
        <v>41</v>
      </c>
      <c r="C1822" t="s">
        <v>23</v>
      </c>
      <c r="D1822" t="s">
        <v>61</v>
      </c>
      <c r="E1822" t="s">
        <v>18</v>
      </c>
      <c r="F1822" s="3">
        <v>45327</v>
      </c>
      <c r="G1822" s="3">
        <v>45391</v>
      </c>
      <c r="H1822" s="2">
        <v>3</v>
      </c>
      <c r="I1822" s="1">
        <v>258.24</v>
      </c>
      <c r="J1822" s="1">
        <v>86.08</v>
      </c>
      <c r="K1822" t="s">
        <v>19</v>
      </c>
      <c r="L1822" t="s">
        <v>30</v>
      </c>
      <c r="M1822" s="2">
        <v>8</v>
      </c>
      <c r="N1822" t="s">
        <v>21</v>
      </c>
    </row>
    <row r="1823" spans="1:14" x14ac:dyDescent="0.3">
      <c r="A1823" t="s">
        <v>1859</v>
      </c>
      <c r="B1823" s="2">
        <v>61</v>
      </c>
      <c r="C1823" t="s">
        <v>16</v>
      </c>
      <c r="D1823" t="s">
        <v>44</v>
      </c>
      <c r="E1823" t="s">
        <v>29</v>
      </c>
      <c r="F1823" s="3">
        <v>45337</v>
      </c>
      <c r="G1823" s="3">
        <v>45395</v>
      </c>
      <c r="H1823" s="2">
        <v>1</v>
      </c>
      <c r="I1823" s="1">
        <v>257.77</v>
      </c>
      <c r="J1823" s="1">
        <v>257.77</v>
      </c>
      <c r="K1823" t="s">
        <v>19</v>
      </c>
      <c r="L1823" t="s">
        <v>30</v>
      </c>
      <c r="M1823" s="2">
        <v>9</v>
      </c>
      <c r="N1823" t="s">
        <v>21</v>
      </c>
    </row>
    <row r="1824" spans="1:14" x14ac:dyDescent="0.3">
      <c r="A1824" t="s">
        <v>1860</v>
      </c>
      <c r="B1824" s="2">
        <v>41</v>
      </c>
      <c r="C1824" t="s">
        <v>23</v>
      </c>
      <c r="D1824" t="s">
        <v>28</v>
      </c>
      <c r="E1824" t="s">
        <v>18</v>
      </c>
      <c r="F1824" s="3">
        <v>45809</v>
      </c>
      <c r="G1824" s="3">
        <v>45873</v>
      </c>
      <c r="H1824" s="2">
        <v>1</v>
      </c>
      <c r="I1824" s="1">
        <v>256.58</v>
      </c>
      <c r="J1824" s="1">
        <v>256.58</v>
      </c>
      <c r="K1824" t="s">
        <v>19</v>
      </c>
      <c r="L1824" t="s">
        <v>30</v>
      </c>
      <c r="M1824" s="2">
        <v>1</v>
      </c>
      <c r="N1824" t="s">
        <v>31</v>
      </c>
    </row>
    <row r="1825" spans="1:14" x14ac:dyDescent="0.3">
      <c r="A1825" t="s">
        <v>1861</v>
      </c>
      <c r="B1825" s="2">
        <v>59</v>
      </c>
      <c r="C1825" t="s">
        <v>16</v>
      </c>
      <c r="D1825" t="s">
        <v>61</v>
      </c>
      <c r="E1825" t="s">
        <v>29</v>
      </c>
      <c r="F1825" s="3">
        <v>45306</v>
      </c>
      <c r="G1825" s="3">
        <v>45557</v>
      </c>
      <c r="H1825" s="2">
        <v>4</v>
      </c>
      <c r="I1825" s="1">
        <v>254.68</v>
      </c>
      <c r="J1825" s="1">
        <v>63.67</v>
      </c>
      <c r="K1825" t="s">
        <v>39</v>
      </c>
      <c r="L1825" t="s">
        <v>26</v>
      </c>
      <c r="M1825" s="2">
        <v>7</v>
      </c>
      <c r="N1825" t="s">
        <v>31</v>
      </c>
    </row>
    <row r="1826" spans="1:14" x14ac:dyDescent="0.3">
      <c r="A1826" t="s">
        <v>1862</v>
      </c>
      <c r="B1826" s="2">
        <v>24</v>
      </c>
      <c r="C1826" t="s">
        <v>16</v>
      </c>
      <c r="D1826" t="s">
        <v>42</v>
      </c>
      <c r="E1826" t="s">
        <v>34</v>
      </c>
      <c r="F1826" s="3">
        <v>45427</v>
      </c>
      <c r="G1826" s="3">
        <v>45671</v>
      </c>
      <c r="H1826" s="2">
        <v>3</v>
      </c>
      <c r="I1826" s="1">
        <v>252.33</v>
      </c>
      <c r="J1826" s="1">
        <v>84.11</v>
      </c>
      <c r="K1826" t="s">
        <v>45</v>
      </c>
      <c r="L1826" t="s">
        <v>30</v>
      </c>
      <c r="M1826" s="2">
        <v>7</v>
      </c>
      <c r="N1826" t="s">
        <v>31</v>
      </c>
    </row>
    <row r="1827" spans="1:14" x14ac:dyDescent="0.3">
      <c r="A1827" t="s">
        <v>1863</v>
      </c>
      <c r="B1827" s="2">
        <v>43</v>
      </c>
      <c r="C1827" t="s">
        <v>16</v>
      </c>
      <c r="D1827" t="s">
        <v>17</v>
      </c>
      <c r="E1827" t="s">
        <v>38</v>
      </c>
      <c r="F1827" s="3">
        <v>45489</v>
      </c>
      <c r="G1827" s="3">
        <v>45637</v>
      </c>
      <c r="H1827" s="2">
        <v>9</v>
      </c>
      <c r="I1827" s="1">
        <v>251.19</v>
      </c>
      <c r="J1827" s="1">
        <v>27.91</v>
      </c>
      <c r="K1827" t="s">
        <v>39</v>
      </c>
      <c r="L1827" t="s">
        <v>20</v>
      </c>
      <c r="M1827" s="2">
        <v>3</v>
      </c>
      <c r="N1827" t="s">
        <v>21</v>
      </c>
    </row>
    <row r="1828" spans="1:14" x14ac:dyDescent="0.3">
      <c r="A1828" t="s">
        <v>1864</v>
      </c>
      <c r="B1828" s="2">
        <v>60</v>
      </c>
      <c r="C1828" t="s">
        <v>23</v>
      </c>
      <c r="D1828" t="s">
        <v>24</v>
      </c>
      <c r="E1828" t="s">
        <v>34</v>
      </c>
      <c r="F1828" s="3">
        <v>45563</v>
      </c>
      <c r="G1828" s="3">
        <v>45711</v>
      </c>
      <c r="H1828" s="2">
        <v>11</v>
      </c>
      <c r="I1828" s="1">
        <v>250.47</v>
      </c>
      <c r="J1828" s="1">
        <v>22.77</v>
      </c>
      <c r="K1828" t="s">
        <v>25</v>
      </c>
      <c r="L1828" t="s">
        <v>30</v>
      </c>
      <c r="M1828" s="2">
        <v>1</v>
      </c>
      <c r="N1828" t="s">
        <v>21</v>
      </c>
    </row>
    <row r="1829" spans="1:14" x14ac:dyDescent="0.3">
      <c r="A1829" t="s">
        <v>1865</v>
      </c>
      <c r="B1829" s="2">
        <v>60</v>
      </c>
      <c r="C1829" t="s">
        <v>16</v>
      </c>
      <c r="D1829" t="s">
        <v>42</v>
      </c>
      <c r="E1829" t="s">
        <v>38</v>
      </c>
      <c r="F1829" s="3">
        <v>45875</v>
      </c>
      <c r="G1829" s="3">
        <v>46079</v>
      </c>
      <c r="H1829" s="2">
        <v>3</v>
      </c>
      <c r="I1829" s="1">
        <v>247.35</v>
      </c>
      <c r="J1829" s="1">
        <v>82.45</v>
      </c>
      <c r="K1829" t="s">
        <v>35</v>
      </c>
      <c r="L1829" t="s">
        <v>20</v>
      </c>
      <c r="M1829" s="2">
        <v>9</v>
      </c>
      <c r="N1829" t="s">
        <v>21</v>
      </c>
    </row>
    <row r="1830" spans="1:14" x14ac:dyDescent="0.3">
      <c r="A1830" t="s">
        <v>1866</v>
      </c>
      <c r="B1830" s="2">
        <v>61</v>
      </c>
      <c r="C1830" t="s">
        <v>23</v>
      </c>
      <c r="D1830" t="s">
        <v>42</v>
      </c>
      <c r="E1830" t="s">
        <v>38</v>
      </c>
      <c r="F1830" s="3">
        <v>45667</v>
      </c>
      <c r="G1830" s="3">
        <v>45803</v>
      </c>
      <c r="H1830" s="2">
        <v>5</v>
      </c>
      <c r="I1830" s="1">
        <v>247.35</v>
      </c>
      <c r="J1830" s="1">
        <v>49.47</v>
      </c>
      <c r="K1830" t="s">
        <v>39</v>
      </c>
      <c r="L1830" t="s">
        <v>26</v>
      </c>
      <c r="M1830" s="2">
        <v>7</v>
      </c>
      <c r="N1830" t="s">
        <v>21</v>
      </c>
    </row>
    <row r="1831" spans="1:14" x14ac:dyDescent="0.3">
      <c r="A1831" t="s">
        <v>1867</v>
      </c>
      <c r="B1831" s="2">
        <v>38</v>
      </c>
      <c r="C1831" t="s">
        <v>23</v>
      </c>
      <c r="D1831" t="s">
        <v>17</v>
      </c>
      <c r="E1831" t="s">
        <v>29</v>
      </c>
      <c r="F1831" s="3">
        <v>45363</v>
      </c>
      <c r="G1831" s="3">
        <v>45595</v>
      </c>
      <c r="H1831" s="2">
        <v>2</v>
      </c>
      <c r="I1831" s="1">
        <v>246.44</v>
      </c>
      <c r="J1831" s="1">
        <v>123.22</v>
      </c>
      <c r="K1831" t="s">
        <v>39</v>
      </c>
      <c r="L1831" t="s">
        <v>30</v>
      </c>
      <c r="M1831" s="2">
        <v>9</v>
      </c>
      <c r="N1831" t="s">
        <v>31</v>
      </c>
    </row>
    <row r="1832" spans="1:14" x14ac:dyDescent="0.3">
      <c r="A1832" t="s">
        <v>1868</v>
      </c>
      <c r="B1832" s="2">
        <v>64</v>
      </c>
      <c r="C1832" t="s">
        <v>23</v>
      </c>
      <c r="D1832" t="s">
        <v>61</v>
      </c>
      <c r="E1832" t="s">
        <v>29</v>
      </c>
      <c r="F1832" s="3">
        <v>45435</v>
      </c>
      <c r="G1832" s="3">
        <v>45660</v>
      </c>
      <c r="H1832" s="2">
        <v>3</v>
      </c>
      <c r="I1832" s="1">
        <v>242.31</v>
      </c>
      <c r="J1832" s="1">
        <v>80.77</v>
      </c>
      <c r="K1832" t="s">
        <v>25</v>
      </c>
      <c r="L1832" t="s">
        <v>26</v>
      </c>
      <c r="M1832" s="2">
        <v>4</v>
      </c>
      <c r="N1832" t="s">
        <v>21</v>
      </c>
    </row>
    <row r="1833" spans="1:14" x14ac:dyDescent="0.3">
      <c r="A1833" t="s">
        <v>1869</v>
      </c>
      <c r="B1833" s="2">
        <v>48</v>
      </c>
      <c r="C1833" t="s">
        <v>23</v>
      </c>
      <c r="D1833" t="s">
        <v>50</v>
      </c>
      <c r="E1833" t="s">
        <v>29</v>
      </c>
      <c r="F1833" s="3">
        <v>45969</v>
      </c>
      <c r="G1833" s="3">
        <v>46114</v>
      </c>
      <c r="H1833" s="2">
        <v>3</v>
      </c>
      <c r="I1833" s="1">
        <v>241.95</v>
      </c>
      <c r="J1833" s="1">
        <v>80.650000000000006</v>
      </c>
      <c r="K1833" t="s">
        <v>35</v>
      </c>
      <c r="L1833" t="s">
        <v>20</v>
      </c>
      <c r="M1833" s="2">
        <v>3</v>
      </c>
      <c r="N1833" t="s">
        <v>21</v>
      </c>
    </row>
    <row r="1834" spans="1:14" x14ac:dyDescent="0.3">
      <c r="A1834" t="s">
        <v>1870</v>
      </c>
      <c r="B1834" s="2">
        <v>55</v>
      </c>
      <c r="C1834" t="s">
        <v>16</v>
      </c>
      <c r="D1834" t="s">
        <v>44</v>
      </c>
      <c r="E1834" t="s">
        <v>29</v>
      </c>
      <c r="F1834" s="3">
        <v>45966</v>
      </c>
      <c r="G1834" s="3">
        <v>46009</v>
      </c>
      <c r="H1834" s="2">
        <v>4</v>
      </c>
      <c r="I1834" s="1">
        <v>240.56</v>
      </c>
      <c r="J1834" s="1">
        <v>60.14</v>
      </c>
      <c r="K1834" t="s">
        <v>39</v>
      </c>
      <c r="L1834" t="s">
        <v>26</v>
      </c>
      <c r="M1834" s="2">
        <v>4</v>
      </c>
      <c r="N1834" t="s">
        <v>21</v>
      </c>
    </row>
    <row r="1835" spans="1:14" x14ac:dyDescent="0.3">
      <c r="A1835" t="s">
        <v>1871</v>
      </c>
      <c r="B1835" s="2">
        <v>23</v>
      </c>
      <c r="C1835" t="s">
        <v>16</v>
      </c>
      <c r="D1835" t="s">
        <v>50</v>
      </c>
      <c r="E1835" t="s">
        <v>29</v>
      </c>
      <c r="F1835" s="3">
        <v>45506</v>
      </c>
      <c r="G1835" s="3">
        <v>45592</v>
      </c>
      <c r="H1835" s="2">
        <v>1</v>
      </c>
      <c r="I1835" s="1">
        <v>239.34</v>
      </c>
      <c r="J1835" s="1">
        <v>239.34</v>
      </c>
      <c r="K1835" t="s">
        <v>35</v>
      </c>
      <c r="L1835" t="s">
        <v>30</v>
      </c>
      <c r="M1835" s="2">
        <v>6</v>
      </c>
      <c r="N1835" t="s">
        <v>21</v>
      </c>
    </row>
    <row r="1836" spans="1:14" x14ac:dyDescent="0.3">
      <c r="A1836" t="s">
        <v>1872</v>
      </c>
      <c r="B1836" s="2">
        <v>42</v>
      </c>
      <c r="C1836" t="s">
        <v>23</v>
      </c>
      <c r="D1836" t="s">
        <v>42</v>
      </c>
      <c r="E1836" t="s">
        <v>18</v>
      </c>
      <c r="F1836" s="3">
        <v>45924</v>
      </c>
      <c r="G1836" s="3">
        <v>46173</v>
      </c>
      <c r="H1836" s="2">
        <v>2</v>
      </c>
      <c r="I1836" s="1">
        <v>239.22</v>
      </c>
      <c r="J1836" s="1">
        <v>119.61</v>
      </c>
      <c r="K1836" t="s">
        <v>39</v>
      </c>
      <c r="L1836" t="s">
        <v>26</v>
      </c>
      <c r="M1836" s="2">
        <v>3</v>
      </c>
      <c r="N1836" t="s">
        <v>21</v>
      </c>
    </row>
    <row r="1837" spans="1:14" x14ac:dyDescent="0.3">
      <c r="A1837" t="s">
        <v>1873</v>
      </c>
      <c r="B1837" s="2">
        <v>47</v>
      </c>
      <c r="C1837" t="s">
        <v>16</v>
      </c>
      <c r="D1837" t="s">
        <v>50</v>
      </c>
      <c r="E1837" t="s">
        <v>34</v>
      </c>
      <c r="F1837" s="3">
        <v>45520</v>
      </c>
      <c r="G1837" s="3">
        <v>45684</v>
      </c>
      <c r="H1837" s="2">
        <v>7</v>
      </c>
      <c r="I1837" s="1">
        <v>237.09</v>
      </c>
      <c r="J1837" s="1">
        <v>33.869999999999997</v>
      </c>
      <c r="K1837" t="s">
        <v>45</v>
      </c>
      <c r="L1837" t="s">
        <v>30</v>
      </c>
      <c r="M1837" s="2">
        <v>3</v>
      </c>
      <c r="N1837" t="s">
        <v>21</v>
      </c>
    </row>
    <row r="1838" spans="1:14" x14ac:dyDescent="0.3">
      <c r="A1838" t="s">
        <v>1874</v>
      </c>
      <c r="B1838" s="2">
        <v>37</v>
      </c>
      <c r="C1838" t="s">
        <v>23</v>
      </c>
      <c r="D1838" t="s">
        <v>24</v>
      </c>
      <c r="E1838" t="s">
        <v>18</v>
      </c>
      <c r="F1838" s="3">
        <v>45956</v>
      </c>
      <c r="G1838" s="3">
        <v>46165</v>
      </c>
      <c r="H1838" s="2">
        <v>4</v>
      </c>
      <c r="I1838" s="1">
        <v>236.56</v>
      </c>
      <c r="J1838" s="1">
        <v>59.14</v>
      </c>
      <c r="K1838" t="s">
        <v>25</v>
      </c>
      <c r="L1838" t="s">
        <v>20</v>
      </c>
      <c r="M1838" s="2">
        <v>3</v>
      </c>
      <c r="N1838" t="s">
        <v>21</v>
      </c>
    </row>
    <row r="1839" spans="1:14" x14ac:dyDescent="0.3">
      <c r="A1839" t="s">
        <v>1875</v>
      </c>
      <c r="B1839" s="2">
        <v>44</v>
      </c>
      <c r="C1839" t="s">
        <v>16</v>
      </c>
      <c r="D1839" t="s">
        <v>17</v>
      </c>
      <c r="E1839" t="s">
        <v>29</v>
      </c>
      <c r="F1839" s="3">
        <v>45334</v>
      </c>
      <c r="G1839" s="3">
        <v>45356</v>
      </c>
      <c r="H1839" s="2">
        <v>10</v>
      </c>
      <c r="I1839" s="1">
        <v>233.9</v>
      </c>
      <c r="J1839" s="1">
        <v>23.39</v>
      </c>
      <c r="K1839" t="s">
        <v>35</v>
      </c>
      <c r="L1839" t="s">
        <v>20</v>
      </c>
      <c r="M1839" s="2">
        <v>10</v>
      </c>
      <c r="N1839" t="s">
        <v>31</v>
      </c>
    </row>
    <row r="1840" spans="1:14" x14ac:dyDescent="0.3">
      <c r="A1840" t="s">
        <v>1876</v>
      </c>
      <c r="B1840" s="2">
        <v>47</v>
      </c>
      <c r="C1840" t="s">
        <v>23</v>
      </c>
      <c r="D1840" t="s">
        <v>24</v>
      </c>
      <c r="E1840" t="s">
        <v>18</v>
      </c>
      <c r="F1840" s="3">
        <v>45549</v>
      </c>
      <c r="G1840" s="3">
        <v>45794</v>
      </c>
      <c r="H1840" s="2">
        <v>4</v>
      </c>
      <c r="I1840" s="1">
        <v>233.28</v>
      </c>
      <c r="J1840" s="1">
        <v>58.32</v>
      </c>
      <c r="K1840" t="s">
        <v>39</v>
      </c>
      <c r="L1840" t="s">
        <v>20</v>
      </c>
      <c r="M1840" s="2">
        <v>1</v>
      </c>
      <c r="N1840" t="s">
        <v>21</v>
      </c>
    </row>
    <row r="1841" spans="1:14" x14ac:dyDescent="0.3">
      <c r="A1841" t="s">
        <v>1877</v>
      </c>
      <c r="B1841" s="2">
        <v>62</v>
      </c>
      <c r="C1841" t="s">
        <v>16</v>
      </c>
      <c r="D1841" t="s">
        <v>61</v>
      </c>
      <c r="E1841" t="s">
        <v>18</v>
      </c>
      <c r="F1841" s="3">
        <v>45630</v>
      </c>
      <c r="G1841" s="3">
        <v>45747</v>
      </c>
      <c r="H1841" s="2">
        <v>10</v>
      </c>
      <c r="I1841" s="1">
        <v>233.1</v>
      </c>
      <c r="J1841" s="1">
        <v>23.31</v>
      </c>
      <c r="K1841" t="s">
        <v>35</v>
      </c>
      <c r="L1841" t="s">
        <v>26</v>
      </c>
      <c r="M1841" s="2">
        <v>8</v>
      </c>
      <c r="N1841" t="s">
        <v>21</v>
      </c>
    </row>
    <row r="1842" spans="1:14" x14ac:dyDescent="0.3">
      <c r="A1842" t="s">
        <v>1878</v>
      </c>
      <c r="B1842" s="2">
        <v>54</v>
      </c>
      <c r="C1842" t="s">
        <v>23</v>
      </c>
      <c r="D1842" t="s">
        <v>50</v>
      </c>
      <c r="E1842" t="s">
        <v>18</v>
      </c>
      <c r="F1842" s="3">
        <v>45372</v>
      </c>
      <c r="G1842" s="3">
        <v>45655</v>
      </c>
      <c r="H1842" s="2">
        <v>1</v>
      </c>
      <c r="I1842" s="1">
        <v>233.09</v>
      </c>
      <c r="J1842" s="1">
        <v>233.09</v>
      </c>
      <c r="K1842" t="s">
        <v>35</v>
      </c>
      <c r="L1842" t="s">
        <v>26</v>
      </c>
      <c r="M1842" s="2">
        <v>6</v>
      </c>
      <c r="N1842" t="s">
        <v>21</v>
      </c>
    </row>
    <row r="1843" spans="1:14" x14ac:dyDescent="0.3">
      <c r="A1843" t="s">
        <v>1879</v>
      </c>
      <c r="B1843" s="2">
        <v>43</v>
      </c>
      <c r="C1843" t="s">
        <v>16</v>
      </c>
      <c r="D1843" t="s">
        <v>28</v>
      </c>
      <c r="E1843" t="s">
        <v>18</v>
      </c>
      <c r="F1843" s="3">
        <v>45349</v>
      </c>
      <c r="G1843" s="3">
        <v>45612</v>
      </c>
      <c r="H1843" s="2">
        <v>6</v>
      </c>
      <c r="I1843" s="1">
        <v>230.22</v>
      </c>
      <c r="J1843" s="1">
        <v>38.369999999999997</v>
      </c>
      <c r="K1843" t="s">
        <v>25</v>
      </c>
      <c r="L1843" t="s">
        <v>30</v>
      </c>
      <c r="M1843" s="2">
        <v>4</v>
      </c>
      <c r="N1843" t="s">
        <v>21</v>
      </c>
    </row>
    <row r="1844" spans="1:14" x14ac:dyDescent="0.3">
      <c r="A1844" t="s">
        <v>1880</v>
      </c>
      <c r="B1844" s="2">
        <v>48</v>
      </c>
      <c r="C1844" t="s">
        <v>16</v>
      </c>
      <c r="D1844" t="s">
        <v>28</v>
      </c>
      <c r="E1844" t="s">
        <v>38</v>
      </c>
      <c r="F1844" s="3">
        <v>45838</v>
      </c>
      <c r="G1844" s="3">
        <v>46108</v>
      </c>
      <c r="H1844" s="2">
        <v>2</v>
      </c>
      <c r="I1844" s="1">
        <v>228.94</v>
      </c>
      <c r="J1844" s="1">
        <v>114.47</v>
      </c>
      <c r="K1844" t="s">
        <v>45</v>
      </c>
      <c r="L1844" t="s">
        <v>26</v>
      </c>
      <c r="M1844" s="2">
        <v>6</v>
      </c>
      <c r="N1844" t="s">
        <v>31</v>
      </c>
    </row>
    <row r="1845" spans="1:14" x14ac:dyDescent="0.3">
      <c r="A1845" t="s">
        <v>1881</v>
      </c>
      <c r="B1845" s="2">
        <v>39</v>
      </c>
      <c r="C1845" t="s">
        <v>16</v>
      </c>
      <c r="D1845" t="s">
        <v>24</v>
      </c>
      <c r="E1845" t="s">
        <v>38</v>
      </c>
      <c r="F1845" s="3">
        <v>45494</v>
      </c>
      <c r="G1845" s="3">
        <v>45721</v>
      </c>
      <c r="H1845" s="2">
        <v>5</v>
      </c>
      <c r="I1845" s="1">
        <v>228.75</v>
      </c>
      <c r="J1845" s="1">
        <v>45.75</v>
      </c>
      <c r="K1845" t="s">
        <v>39</v>
      </c>
      <c r="L1845" t="s">
        <v>30</v>
      </c>
      <c r="M1845" s="2">
        <v>10</v>
      </c>
      <c r="N1845" t="s">
        <v>21</v>
      </c>
    </row>
    <row r="1846" spans="1:14" x14ac:dyDescent="0.3">
      <c r="A1846" t="s">
        <v>1882</v>
      </c>
      <c r="B1846" s="2">
        <v>26</v>
      </c>
      <c r="C1846" t="s">
        <v>16</v>
      </c>
      <c r="D1846" t="s">
        <v>44</v>
      </c>
      <c r="E1846" t="s">
        <v>18</v>
      </c>
      <c r="F1846" s="3">
        <v>45946</v>
      </c>
      <c r="G1846" s="3">
        <v>46003</v>
      </c>
      <c r="H1846" s="2">
        <v>1</v>
      </c>
      <c r="I1846" s="1">
        <v>227.63</v>
      </c>
      <c r="J1846" s="1">
        <v>227.63</v>
      </c>
      <c r="K1846" t="s">
        <v>19</v>
      </c>
      <c r="L1846" t="s">
        <v>26</v>
      </c>
      <c r="M1846" s="2">
        <v>1</v>
      </c>
      <c r="N1846" t="s">
        <v>21</v>
      </c>
    </row>
    <row r="1847" spans="1:14" x14ac:dyDescent="0.3">
      <c r="A1847" t="s">
        <v>1883</v>
      </c>
      <c r="B1847" s="2">
        <v>55</v>
      </c>
      <c r="C1847" t="s">
        <v>16</v>
      </c>
      <c r="D1847" t="s">
        <v>28</v>
      </c>
      <c r="E1847" t="s">
        <v>34</v>
      </c>
      <c r="F1847" s="3">
        <v>45853</v>
      </c>
      <c r="G1847" s="3">
        <v>46054</v>
      </c>
      <c r="H1847" s="2">
        <v>4</v>
      </c>
      <c r="I1847" s="1">
        <v>226.6</v>
      </c>
      <c r="J1847" s="1">
        <v>56.65</v>
      </c>
      <c r="K1847" t="s">
        <v>35</v>
      </c>
      <c r="L1847" t="s">
        <v>20</v>
      </c>
      <c r="M1847" s="2">
        <v>3</v>
      </c>
      <c r="N1847" t="s">
        <v>21</v>
      </c>
    </row>
    <row r="1848" spans="1:14" x14ac:dyDescent="0.3">
      <c r="A1848" t="s">
        <v>1884</v>
      </c>
      <c r="B1848" s="2">
        <v>63</v>
      </c>
      <c r="C1848" t="s">
        <v>16</v>
      </c>
      <c r="D1848" t="s">
        <v>24</v>
      </c>
      <c r="E1848" t="s">
        <v>18</v>
      </c>
      <c r="F1848" s="3">
        <v>45724</v>
      </c>
      <c r="G1848" s="3">
        <v>45933</v>
      </c>
      <c r="H1848" s="2">
        <v>1</v>
      </c>
      <c r="I1848" s="1">
        <v>226.5</v>
      </c>
      <c r="J1848" s="1">
        <v>226.5</v>
      </c>
      <c r="K1848" t="s">
        <v>45</v>
      </c>
      <c r="L1848" t="s">
        <v>30</v>
      </c>
      <c r="M1848" s="2">
        <v>3</v>
      </c>
      <c r="N1848" t="s">
        <v>21</v>
      </c>
    </row>
    <row r="1849" spans="1:14" x14ac:dyDescent="0.3">
      <c r="A1849" t="s">
        <v>1885</v>
      </c>
      <c r="B1849" s="2">
        <v>36</v>
      </c>
      <c r="C1849" t="s">
        <v>16</v>
      </c>
      <c r="D1849" t="s">
        <v>28</v>
      </c>
      <c r="E1849" t="s">
        <v>18</v>
      </c>
      <c r="F1849" s="3">
        <v>45795</v>
      </c>
      <c r="G1849" s="3">
        <v>46039</v>
      </c>
      <c r="H1849" s="2">
        <v>10</v>
      </c>
      <c r="I1849" s="1">
        <v>225.6</v>
      </c>
      <c r="J1849" s="1">
        <v>22.56</v>
      </c>
      <c r="K1849" t="s">
        <v>19</v>
      </c>
      <c r="L1849" t="s">
        <v>26</v>
      </c>
      <c r="M1849" s="2">
        <v>4</v>
      </c>
      <c r="N1849" t="s">
        <v>21</v>
      </c>
    </row>
    <row r="1850" spans="1:14" x14ac:dyDescent="0.3">
      <c r="A1850" t="s">
        <v>1886</v>
      </c>
      <c r="B1850" s="2">
        <v>52</v>
      </c>
      <c r="C1850" t="s">
        <v>16</v>
      </c>
      <c r="D1850" t="s">
        <v>17</v>
      </c>
      <c r="E1850" t="s">
        <v>38</v>
      </c>
      <c r="F1850" s="3">
        <v>45303</v>
      </c>
      <c r="G1850" s="3">
        <v>45579</v>
      </c>
      <c r="H1850" s="2">
        <v>6</v>
      </c>
      <c r="I1850" s="1">
        <v>223.68</v>
      </c>
      <c r="J1850" s="1">
        <v>37.28</v>
      </c>
      <c r="K1850" t="s">
        <v>45</v>
      </c>
      <c r="L1850" t="s">
        <v>26</v>
      </c>
      <c r="M1850" s="2">
        <v>2</v>
      </c>
      <c r="N1850" t="s">
        <v>31</v>
      </c>
    </row>
    <row r="1851" spans="1:14" x14ac:dyDescent="0.3">
      <c r="A1851" t="s">
        <v>1887</v>
      </c>
      <c r="B1851" s="2">
        <v>60</v>
      </c>
      <c r="C1851" t="s">
        <v>16</v>
      </c>
      <c r="D1851" t="s">
        <v>50</v>
      </c>
      <c r="E1851" t="s">
        <v>29</v>
      </c>
      <c r="F1851" s="3">
        <v>45568</v>
      </c>
      <c r="G1851" s="3">
        <v>45777</v>
      </c>
      <c r="H1851" s="2">
        <v>9</v>
      </c>
      <c r="I1851" s="1">
        <v>223.29</v>
      </c>
      <c r="J1851" s="1">
        <v>24.81</v>
      </c>
      <c r="K1851" t="s">
        <v>39</v>
      </c>
      <c r="L1851" t="s">
        <v>20</v>
      </c>
      <c r="M1851" s="2">
        <v>6</v>
      </c>
      <c r="N1851" t="s">
        <v>21</v>
      </c>
    </row>
    <row r="1852" spans="1:14" x14ac:dyDescent="0.3">
      <c r="A1852" t="s">
        <v>1888</v>
      </c>
      <c r="B1852" s="2">
        <v>21</v>
      </c>
      <c r="C1852" t="s">
        <v>23</v>
      </c>
      <c r="D1852" t="s">
        <v>61</v>
      </c>
      <c r="E1852" t="s">
        <v>34</v>
      </c>
      <c r="F1852" s="3">
        <v>45735</v>
      </c>
      <c r="G1852" s="3">
        <v>45972</v>
      </c>
      <c r="H1852" s="2">
        <v>6</v>
      </c>
      <c r="I1852" s="1">
        <v>223.14</v>
      </c>
      <c r="J1852" s="1">
        <v>37.19</v>
      </c>
      <c r="K1852" t="s">
        <v>25</v>
      </c>
      <c r="L1852" t="s">
        <v>26</v>
      </c>
      <c r="M1852" s="2">
        <v>2</v>
      </c>
      <c r="N1852" t="s">
        <v>21</v>
      </c>
    </row>
    <row r="1853" spans="1:14" x14ac:dyDescent="0.3">
      <c r="A1853" t="s">
        <v>1889</v>
      </c>
      <c r="B1853" s="2">
        <v>44</v>
      </c>
      <c r="C1853" t="s">
        <v>16</v>
      </c>
      <c r="D1853" t="s">
        <v>42</v>
      </c>
      <c r="E1853" t="s">
        <v>29</v>
      </c>
      <c r="F1853" s="3">
        <v>45637</v>
      </c>
      <c r="G1853" s="3">
        <v>45714</v>
      </c>
      <c r="H1853" s="2">
        <v>2</v>
      </c>
      <c r="I1853" s="1">
        <v>220</v>
      </c>
      <c r="J1853" s="1">
        <v>110</v>
      </c>
      <c r="K1853" t="s">
        <v>19</v>
      </c>
      <c r="L1853" t="s">
        <v>26</v>
      </c>
      <c r="M1853" s="2">
        <v>9</v>
      </c>
      <c r="N1853" t="s">
        <v>21</v>
      </c>
    </row>
    <row r="1854" spans="1:14" x14ac:dyDescent="0.3">
      <c r="A1854" t="s">
        <v>1890</v>
      </c>
      <c r="B1854" s="2">
        <v>28</v>
      </c>
      <c r="C1854" t="s">
        <v>16</v>
      </c>
      <c r="D1854" t="s">
        <v>50</v>
      </c>
      <c r="E1854" t="s">
        <v>29</v>
      </c>
      <c r="F1854" s="3">
        <v>45403</v>
      </c>
      <c r="G1854" s="3">
        <v>45403</v>
      </c>
      <c r="H1854" s="2">
        <v>3</v>
      </c>
      <c r="I1854" s="1">
        <v>219.48</v>
      </c>
      <c r="J1854" s="1">
        <v>73.16</v>
      </c>
      <c r="K1854" t="s">
        <v>39</v>
      </c>
      <c r="L1854" t="s">
        <v>20</v>
      </c>
      <c r="M1854" s="2">
        <v>9</v>
      </c>
      <c r="N1854" t="s">
        <v>21</v>
      </c>
    </row>
    <row r="1855" spans="1:14" x14ac:dyDescent="0.3">
      <c r="A1855" t="s">
        <v>1891</v>
      </c>
      <c r="B1855" s="2">
        <v>64</v>
      </c>
      <c r="C1855" t="s">
        <v>16</v>
      </c>
      <c r="D1855" t="s">
        <v>17</v>
      </c>
      <c r="E1855" t="s">
        <v>29</v>
      </c>
      <c r="F1855" s="3">
        <v>45981</v>
      </c>
      <c r="G1855" s="3">
        <v>46001</v>
      </c>
      <c r="H1855" s="2">
        <v>3</v>
      </c>
      <c r="I1855" s="1">
        <v>218.07</v>
      </c>
      <c r="J1855" s="1">
        <v>72.69</v>
      </c>
      <c r="K1855" t="s">
        <v>45</v>
      </c>
      <c r="L1855" t="s">
        <v>26</v>
      </c>
      <c r="M1855" s="2">
        <v>1</v>
      </c>
      <c r="N1855" t="s">
        <v>21</v>
      </c>
    </row>
    <row r="1856" spans="1:14" x14ac:dyDescent="0.3">
      <c r="A1856" t="s">
        <v>1892</v>
      </c>
      <c r="B1856" s="2">
        <v>40</v>
      </c>
      <c r="C1856" t="s">
        <v>16</v>
      </c>
      <c r="D1856" t="s">
        <v>28</v>
      </c>
      <c r="E1856" t="s">
        <v>34</v>
      </c>
      <c r="F1856" s="3">
        <v>45854</v>
      </c>
      <c r="G1856" s="3">
        <v>45881</v>
      </c>
      <c r="H1856" s="2">
        <v>1</v>
      </c>
      <c r="I1856" s="1">
        <v>216.94</v>
      </c>
      <c r="J1856" s="1">
        <v>216.94</v>
      </c>
      <c r="K1856" t="s">
        <v>39</v>
      </c>
      <c r="L1856" t="s">
        <v>30</v>
      </c>
      <c r="M1856" s="2">
        <v>7</v>
      </c>
      <c r="N1856" t="s">
        <v>21</v>
      </c>
    </row>
    <row r="1857" spans="1:14" x14ac:dyDescent="0.3">
      <c r="A1857" t="s">
        <v>1893</v>
      </c>
      <c r="B1857" s="2">
        <v>32</v>
      </c>
      <c r="C1857" t="s">
        <v>16</v>
      </c>
      <c r="D1857" t="s">
        <v>24</v>
      </c>
      <c r="E1857" t="s">
        <v>18</v>
      </c>
      <c r="F1857" s="3">
        <v>45442</v>
      </c>
      <c r="G1857" s="3">
        <v>45674</v>
      </c>
      <c r="H1857" s="2">
        <v>4</v>
      </c>
      <c r="I1857" s="1">
        <v>216.84</v>
      </c>
      <c r="J1857" s="1">
        <v>54.21</v>
      </c>
      <c r="K1857" t="s">
        <v>39</v>
      </c>
      <c r="L1857" t="s">
        <v>30</v>
      </c>
      <c r="M1857" s="2">
        <v>8</v>
      </c>
      <c r="N1857" t="s">
        <v>21</v>
      </c>
    </row>
    <row r="1858" spans="1:14" x14ac:dyDescent="0.3">
      <c r="A1858" t="s">
        <v>1894</v>
      </c>
      <c r="B1858" s="2">
        <v>42</v>
      </c>
      <c r="C1858" t="s">
        <v>23</v>
      </c>
      <c r="D1858" t="s">
        <v>50</v>
      </c>
      <c r="E1858" t="s">
        <v>34</v>
      </c>
      <c r="F1858" s="3">
        <v>45658</v>
      </c>
      <c r="G1858" s="3">
        <v>45864</v>
      </c>
      <c r="H1858" s="2">
        <v>1</v>
      </c>
      <c r="I1858" s="1">
        <v>215.39</v>
      </c>
      <c r="J1858" s="1">
        <v>215.39</v>
      </c>
      <c r="K1858" t="s">
        <v>35</v>
      </c>
      <c r="L1858" t="s">
        <v>20</v>
      </c>
      <c r="M1858" s="2">
        <v>10</v>
      </c>
      <c r="N1858" t="s">
        <v>21</v>
      </c>
    </row>
    <row r="1859" spans="1:14" x14ac:dyDescent="0.3">
      <c r="A1859" t="s">
        <v>1895</v>
      </c>
      <c r="B1859" s="2">
        <v>32</v>
      </c>
      <c r="C1859" t="s">
        <v>23</v>
      </c>
      <c r="D1859" t="s">
        <v>44</v>
      </c>
      <c r="E1859" t="s">
        <v>18</v>
      </c>
      <c r="F1859" s="3">
        <v>45550</v>
      </c>
      <c r="G1859" s="3">
        <v>45805</v>
      </c>
      <c r="H1859" s="2">
        <v>3</v>
      </c>
      <c r="I1859" s="1">
        <v>215.04</v>
      </c>
      <c r="J1859" s="1">
        <v>71.680000000000007</v>
      </c>
      <c r="K1859" t="s">
        <v>45</v>
      </c>
      <c r="L1859" t="s">
        <v>26</v>
      </c>
      <c r="M1859" s="2">
        <v>2</v>
      </c>
      <c r="N1859" t="s">
        <v>21</v>
      </c>
    </row>
    <row r="1860" spans="1:14" x14ac:dyDescent="0.3">
      <c r="A1860" t="s">
        <v>1896</v>
      </c>
      <c r="B1860" s="2">
        <v>27</v>
      </c>
      <c r="C1860" t="s">
        <v>23</v>
      </c>
      <c r="D1860" t="s">
        <v>44</v>
      </c>
      <c r="E1860" t="s">
        <v>34</v>
      </c>
      <c r="F1860" s="3">
        <v>45437</v>
      </c>
      <c r="G1860" s="3">
        <v>45437</v>
      </c>
      <c r="H1860" s="2">
        <v>8</v>
      </c>
      <c r="I1860" s="1">
        <v>213.76</v>
      </c>
      <c r="J1860" s="1">
        <v>26.72</v>
      </c>
      <c r="K1860" t="s">
        <v>25</v>
      </c>
      <c r="L1860" t="s">
        <v>20</v>
      </c>
      <c r="M1860" s="2">
        <v>7</v>
      </c>
      <c r="N1860" t="s">
        <v>21</v>
      </c>
    </row>
    <row r="1861" spans="1:14" x14ac:dyDescent="0.3">
      <c r="A1861" t="s">
        <v>1897</v>
      </c>
      <c r="B1861" s="2">
        <v>20</v>
      </c>
      <c r="C1861" t="s">
        <v>23</v>
      </c>
      <c r="D1861" t="s">
        <v>50</v>
      </c>
      <c r="E1861" t="s">
        <v>29</v>
      </c>
      <c r="F1861" s="3">
        <v>45732</v>
      </c>
      <c r="G1861" s="3">
        <v>45797</v>
      </c>
      <c r="H1861" s="2">
        <v>2</v>
      </c>
      <c r="I1861" s="1">
        <v>212.62</v>
      </c>
      <c r="J1861" s="1">
        <v>106.31</v>
      </c>
      <c r="K1861" t="s">
        <v>39</v>
      </c>
      <c r="L1861" t="s">
        <v>26</v>
      </c>
      <c r="M1861" s="2">
        <v>9</v>
      </c>
      <c r="N1861" t="s">
        <v>21</v>
      </c>
    </row>
    <row r="1862" spans="1:14" x14ac:dyDescent="0.3">
      <c r="A1862" t="s">
        <v>1898</v>
      </c>
      <c r="B1862" s="2">
        <v>43</v>
      </c>
      <c r="C1862" t="s">
        <v>23</v>
      </c>
      <c r="D1862" t="s">
        <v>50</v>
      </c>
      <c r="E1862" t="s">
        <v>38</v>
      </c>
      <c r="F1862" s="3">
        <v>45768</v>
      </c>
      <c r="G1862" s="3">
        <v>45823</v>
      </c>
      <c r="H1862" s="2">
        <v>3</v>
      </c>
      <c r="I1862" s="1">
        <v>211.44</v>
      </c>
      <c r="J1862" s="1">
        <v>70.48</v>
      </c>
      <c r="K1862" t="s">
        <v>45</v>
      </c>
      <c r="L1862" t="s">
        <v>30</v>
      </c>
      <c r="M1862" s="2">
        <v>6</v>
      </c>
      <c r="N1862" t="s">
        <v>31</v>
      </c>
    </row>
    <row r="1863" spans="1:14" x14ac:dyDescent="0.3">
      <c r="A1863" t="s">
        <v>1899</v>
      </c>
      <c r="B1863" s="2">
        <v>52</v>
      </c>
      <c r="C1863" t="s">
        <v>16</v>
      </c>
      <c r="D1863" t="s">
        <v>42</v>
      </c>
      <c r="E1863" t="s">
        <v>29</v>
      </c>
      <c r="F1863" s="3">
        <v>45303</v>
      </c>
      <c r="G1863" s="3">
        <v>45498</v>
      </c>
      <c r="H1863" s="2">
        <v>2</v>
      </c>
      <c r="I1863" s="1">
        <v>210.68</v>
      </c>
      <c r="J1863" s="1">
        <v>105.34</v>
      </c>
      <c r="K1863" t="s">
        <v>25</v>
      </c>
      <c r="L1863" t="s">
        <v>30</v>
      </c>
      <c r="M1863" s="2">
        <v>7</v>
      </c>
      <c r="N1863" t="s">
        <v>31</v>
      </c>
    </row>
    <row r="1864" spans="1:14" x14ac:dyDescent="0.3">
      <c r="A1864" t="s">
        <v>1900</v>
      </c>
      <c r="B1864" s="2">
        <v>30</v>
      </c>
      <c r="C1864" t="s">
        <v>23</v>
      </c>
      <c r="D1864" t="s">
        <v>44</v>
      </c>
      <c r="E1864" t="s">
        <v>34</v>
      </c>
      <c r="F1864" s="3">
        <v>45913</v>
      </c>
      <c r="G1864" s="3">
        <v>46135</v>
      </c>
      <c r="H1864" s="2">
        <v>6</v>
      </c>
      <c r="I1864" s="1">
        <v>209.94</v>
      </c>
      <c r="J1864" s="1">
        <v>34.99</v>
      </c>
      <c r="K1864" t="s">
        <v>45</v>
      </c>
      <c r="L1864" t="s">
        <v>26</v>
      </c>
      <c r="M1864" s="2">
        <v>4</v>
      </c>
      <c r="N1864" t="s">
        <v>21</v>
      </c>
    </row>
    <row r="1865" spans="1:14" x14ac:dyDescent="0.3">
      <c r="A1865" t="s">
        <v>1901</v>
      </c>
      <c r="B1865" s="2">
        <v>19</v>
      </c>
      <c r="C1865" t="s">
        <v>16</v>
      </c>
      <c r="D1865" t="s">
        <v>61</v>
      </c>
      <c r="E1865" t="s">
        <v>34</v>
      </c>
      <c r="F1865" s="3">
        <v>45579</v>
      </c>
      <c r="G1865" s="3">
        <v>45643</v>
      </c>
      <c r="H1865" s="2">
        <v>3</v>
      </c>
      <c r="I1865" s="1">
        <v>208.74</v>
      </c>
      <c r="J1865" s="1">
        <v>69.58</v>
      </c>
      <c r="K1865" t="s">
        <v>19</v>
      </c>
      <c r="L1865" t="s">
        <v>26</v>
      </c>
      <c r="M1865" s="2">
        <v>9</v>
      </c>
      <c r="N1865" t="s">
        <v>21</v>
      </c>
    </row>
    <row r="1866" spans="1:14" x14ac:dyDescent="0.3">
      <c r="A1866" t="s">
        <v>1902</v>
      </c>
      <c r="B1866" s="2">
        <v>60</v>
      </c>
      <c r="C1866" t="s">
        <v>16</v>
      </c>
      <c r="D1866" t="s">
        <v>50</v>
      </c>
      <c r="E1866" t="s">
        <v>34</v>
      </c>
      <c r="F1866" s="3">
        <v>45918</v>
      </c>
      <c r="G1866" s="3">
        <v>46188</v>
      </c>
      <c r="H1866" s="2">
        <v>1</v>
      </c>
      <c r="I1866" s="1">
        <v>207</v>
      </c>
      <c r="J1866" s="1">
        <v>207</v>
      </c>
      <c r="K1866" t="s">
        <v>39</v>
      </c>
      <c r="L1866" t="s">
        <v>30</v>
      </c>
      <c r="M1866" s="2">
        <v>9</v>
      </c>
      <c r="N1866" t="s">
        <v>21</v>
      </c>
    </row>
    <row r="1867" spans="1:14" x14ac:dyDescent="0.3">
      <c r="A1867" t="s">
        <v>1903</v>
      </c>
      <c r="B1867" s="2">
        <v>19</v>
      </c>
      <c r="C1867" t="s">
        <v>16</v>
      </c>
      <c r="D1867" t="s">
        <v>42</v>
      </c>
      <c r="E1867" t="s">
        <v>18</v>
      </c>
      <c r="F1867" s="3">
        <v>45758</v>
      </c>
      <c r="G1867" s="3">
        <v>45830</v>
      </c>
      <c r="H1867" s="2">
        <v>1</v>
      </c>
      <c r="I1867" s="1">
        <v>206.49</v>
      </c>
      <c r="J1867" s="1">
        <v>206.49</v>
      </c>
      <c r="K1867" t="s">
        <v>25</v>
      </c>
      <c r="L1867" t="s">
        <v>20</v>
      </c>
      <c r="M1867" s="2">
        <v>1</v>
      </c>
      <c r="N1867" t="s">
        <v>21</v>
      </c>
    </row>
    <row r="1868" spans="1:14" x14ac:dyDescent="0.3">
      <c r="A1868" t="s">
        <v>1904</v>
      </c>
      <c r="B1868" s="2">
        <v>53</v>
      </c>
      <c r="C1868" t="s">
        <v>16</v>
      </c>
      <c r="D1868" t="s">
        <v>24</v>
      </c>
      <c r="E1868" t="s">
        <v>38</v>
      </c>
      <c r="F1868" s="3">
        <v>45678</v>
      </c>
      <c r="G1868" s="3">
        <v>45970</v>
      </c>
      <c r="H1868" s="2">
        <v>8</v>
      </c>
      <c r="I1868" s="1">
        <v>206.48</v>
      </c>
      <c r="J1868" s="1">
        <v>25.81</v>
      </c>
      <c r="K1868" t="s">
        <v>25</v>
      </c>
      <c r="L1868" t="s">
        <v>26</v>
      </c>
      <c r="M1868" s="2">
        <v>3</v>
      </c>
      <c r="N1868" t="s">
        <v>31</v>
      </c>
    </row>
    <row r="1869" spans="1:14" x14ac:dyDescent="0.3">
      <c r="A1869" t="s">
        <v>1905</v>
      </c>
      <c r="B1869" s="2">
        <v>26</v>
      </c>
      <c r="C1869" t="s">
        <v>16</v>
      </c>
      <c r="D1869" t="s">
        <v>24</v>
      </c>
      <c r="E1869" t="s">
        <v>18</v>
      </c>
      <c r="F1869" s="3">
        <v>45981</v>
      </c>
      <c r="G1869" s="3">
        <v>46026</v>
      </c>
      <c r="H1869" s="2">
        <v>4</v>
      </c>
      <c r="I1869" s="1">
        <v>206.24</v>
      </c>
      <c r="J1869" s="1">
        <v>51.56</v>
      </c>
      <c r="K1869" t="s">
        <v>19</v>
      </c>
      <c r="L1869" t="s">
        <v>20</v>
      </c>
      <c r="M1869" s="2">
        <v>1</v>
      </c>
      <c r="N1869" t="s">
        <v>21</v>
      </c>
    </row>
    <row r="1870" spans="1:14" x14ac:dyDescent="0.3">
      <c r="A1870" t="s">
        <v>1906</v>
      </c>
      <c r="B1870" s="2">
        <v>47</v>
      </c>
      <c r="C1870" t="s">
        <v>23</v>
      </c>
      <c r="D1870" t="s">
        <v>28</v>
      </c>
      <c r="E1870" t="s">
        <v>29</v>
      </c>
      <c r="F1870" s="3">
        <v>45886</v>
      </c>
      <c r="G1870" s="3">
        <v>46077</v>
      </c>
      <c r="H1870" s="2">
        <v>8</v>
      </c>
      <c r="I1870" s="1">
        <v>205.92</v>
      </c>
      <c r="J1870" s="1">
        <v>25.74</v>
      </c>
      <c r="K1870" t="s">
        <v>45</v>
      </c>
      <c r="L1870" t="s">
        <v>26</v>
      </c>
      <c r="M1870" s="2">
        <v>1</v>
      </c>
      <c r="N1870" t="s">
        <v>21</v>
      </c>
    </row>
    <row r="1871" spans="1:14" x14ac:dyDescent="0.3">
      <c r="A1871" t="s">
        <v>1907</v>
      </c>
      <c r="B1871" s="2">
        <v>32</v>
      </c>
      <c r="C1871" t="s">
        <v>23</v>
      </c>
      <c r="D1871" t="s">
        <v>24</v>
      </c>
      <c r="E1871" t="s">
        <v>18</v>
      </c>
      <c r="F1871" s="3">
        <v>45441</v>
      </c>
      <c r="G1871" s="3">
        <v>45556</v>
      </c>
      <c r="H1871" s="2">
        <v>9</v>
      </c>
      <c r="I1871" s="1">
        <v>204.84</v>
      </c>
      <c r="J1871" s="1">
        <v>22.76</v>
      </c>
      <c r="K1871" t="s">
        <v>25</v>
      </c>
      <c r="L1871" t="s">
        <v>20</v>
      </c>
      <c r="M1871" s="2">
        <v>5</v>
      </c>
      <c r="N1871" t="s">
        <v>21</v>
      </c>
    </row>
    <row r="1872" spans="1:14" x14ac:dyDescent="0.3">
      <c r="A1872" t="s">
        <v>1908</v>
      </c>
      <c r="B1872" s="2">
        <v>42</v>
      </c>
      <c r="C1872" t="s">
        <v>23</v>
      </c>
      <c r="D1872" t="s">
        <v>28</v>
      </c>
      <c r="E1872" t="s">
        <v>38</v>
      </c>
      <c r="F1872" s="3">
        <v>45548</v>
      </c>
      <c r="G1872" s="3">
        <v>45639</v>
      </c>
      <c r="H1872" s="2">
        <v>2</v>
      </c>
      <c r="I1872" s="1">
        <v>204.26</v>
      </c>
      <c r="J1872" s="1">
        <v>102.13</v>
      </c>
      <c r="K1872" t="s">
        <v>35</v>
      </c>
      <c r="L1872" t="s">
        <v>26</v>
      </c>
      <c r="M1872" s="2">
        <v>7</v>
      </c>
      <c r="N1872" t="s">
        <v>21</v>
      </c>
    </row>
    <row r="1873" spans="1:14" x14ac:dyDescent="0.3">
      <c r="A1873" t="s">
        <v>1909</v>
      </c>
      <c r="B1873" s="2">
        <v>25</v>
      </c>
      <c r="C1873" t="s">
        <v>23</v>
      </c>
      <c r="D1873" t="s">
        <v>24</v>
      </c>
      <c r="E1873" t="s">
        <v>18</v>
      </c>
      <c r="F1873" s="3">
        <v>45475</v>
      </c>
      <c r="G1873" s="3">
        <v>45567</v>
      </c>
      <c r="H1873" s="2">
        <v>1</v>
      </c>
      <c r="I1873" s="1">
        <v>201.83</v>
      </c>
      <c r="J1873" s="1">
        <v>201.83</v>
      </c>
      <c r="K1873" t="s">
        <v>35</v>
      </c>
      <c r="L1873" t="s">
        <v>20</v>
      </c>
      <c r="M1873" s="2">
        <v>7</v>
      </c>
      <c r="N1873" t="s">
        <v>21</v>
      </c>
    </row>
    <row r="1874" spans="1:14" x14ac:dyDescent="0.3">
      <c r="A1874" t="s">
        <v>1910</v>
      </c>
      <c r="B1874" s="2">
        <v>40</v>
      </c>
      <c r="C1874" t="s">
        <v>23</v>
      </c>
      <c r="D1874" t="s">
        <v>17</v>
      </c>
      <c r="E1874" t="s">
        <v>18</v>
      </c>
      <c r="F1874" s="3">
        <v>45433</v>
      </c>
      <c r="G1874" s="3">
        <v>45711</v>
      </c>
      <c r="H1874" s="2">
        <v>9</v>
      </c>
      <c r="I1874" s="1">
        <v>201.51</v>
      </c>
      <c r="J1874" s="1">
        <v>22.39</v>
      </c>
      <c r="K1874" t="s">
        <v>35</v>
      </c>
      <c r="L1874" t="s">
        <v>20</v>
      </c>
      <c r="M1874" s="2">
        <v>9</v>
      </c>
      <c r="N1874" t="s">
        <v>21</v>
      </c>
    </row>
    <row r="1875" spans="1:14" x14ac:dyDescent="0.3">
      <c r="A1875" t="s">
        <v>1911</v>
      </c>
      <c r="B1875" s="2">
        <v>42</v>
      </c>
      <c r="C1875" t="s">
        <v>23</v>
      </c>
      <c r="D1875" t="s">
        <v>44</v>
      </c>
      <c r="E1875" t="s">
        <v>38</v>
      </c>
      <c r="F1875" s="3">
        <v>45391</v>
      </c>
      <c r="G1875" s="3">
        <v>45504</v>
      </c>
      <c r="H1875" s="2">
        <v>8</v>
      </c>
      <c r="I1875" s="1">
        <v>200.48</v>
      </c>
      <c r="J1875" s="1">
        <v>25.06</v>
      </c>
      <c r="K1875" t="s">
        <v>19</v>
      </c>
      <c r="L1875" t="s">
        <v>26</v>
      </c>
      <c r="M1875" s="2">
        <v>10</v>
      </c>
      <c r="N1875" t="s">
        <v>21</v>
      </c>
    </row>
    <row r="1876" spans="1:14" x14ac:dyDescent="0.3">
      <c r="A1876" t="s">
        <v>1912</v>
      </c>
      <c r="B1876" s="2">
        <v>52</v>
      </c>
      <c r="C1876" t="s">
        <v>16</v>
      </c>
      <c r="D1876" t="s">
        <v>28</v>
      </c>
      <c r="E1876" t="s">
        <v>18</v>
      </c>
      <c r="F1876" s="3">
        <v>45604</v>
      </c>
      <c r="G1876" s="3">
        <v>45636</v>
      </c>
      <c r="H1876" s="2">
        <v>2</v>
      </c>
      <c r="I1876" s="1">
        <v>199.22</v>
      </c>
      <c r="J1876" s="1">
        <v>99.61</v>
      </c>
      <c r="K1876" t="s">
        <v>45</v>
      </c>
      <c r="L1876" t="s">
        <v>20</v>
      </c>
      <c r="M1876" s="2">
        <v>8</v>
      </c>
      <c r="N1876" t="s">
        <v>21</v>
      </c>
    </row>
    <row r="1877" spans="1:14" x14ac:dyDescent="0.3">
      <c r="A1877" t="s">
        <v>1913</v>
      </c>
      <c r="B1877" s="2">
        <v>53</v>
      </c>
      <c r="C1877" t="s">
        <v>23</v>
      </c>
      <c r="D1877" t="s">
        <v>61</v>
      </c>
      <c r="E1877" t="s">
        <v>34</v>
      </c>
      <c r="F1877" s="3">
        <v>45656</v>
      </c>
      <c r="G1877" s="3">
        <v>45781</v>
      </c>
      <c r="H1877" s="2">
        <v>1</v>
      </c>
      <c r="I1877" s="1">
        <v>198.42</v>
      </c>
      <c r="J1877" s="1">
        <v>198.42</v>
      </c>
      <c r="K1877" t="s">
        <v>25</v>
      </c>
      <c r="L1877" t="s">
        <v>30</v>
      </c>
      <c r="M1877" s="2">
        <v>3</v>
      </c>
      <c r="N1877" t="s">
        <v>21</v>
      </c>
    </row>
    <row r="1878" spans="1:14" x14ac:dyDescent="0.3">
      <c r="A1878" t="s">
        <v>1914</v>
      </c>
      <c r="B1878" s="2">
        <v>46</v>
      </c>
      <c r="C1878" t="s">
        <v>23</v>
      </c>
      <c r="D1878" t="s">
        <v>24</v>
      </c>
      <c r="E1878" t="s">
        <v>38</v>
      </c>
      <c r="F1878" s="3">
        <v>45336</v>
      </c>
      <c r="G1878" s="3">
        <v>45450</v>
      </c>
      <c r="H1878" s="2">
        <v>2</v>
      </c>
      <c r="I1878" s="1">
        <v>195.64</v>
      </c>
      <c r="J1878" s="1">
        <v>97.82</v>
      </c>
      <c r="K1878" t="s">
        <v>25</v>
      </c>
      <c r="L1878" t="s">
        <v>26</v>
      </c>
      <c r="M1878" s="2">
        <v>2</v>
      </c>
      <c r="N1878" t="s">
        <v>21</v>
      </c>
    </row>
    <row r="1879" spans="1:14" x14ac:dyDescent="0.3">
      <c r="A1879" t="s">
        <v>1915</v>
      </c>
      <c r="B1879" s="2">
        <v>53</v>
      </c>
      <c r="C1879" t="s">
        <v>16</v>
      </c>
      <c r="D1879" t="s">
        <v>28</v>
      </c>
      <c r="E1879" t="s">
        <v>34</v>
      </c>
      <c r="F1879" s="3">
        <v>45372</v>
      </c>
      <c r="G1879" s="3">
        <v>45490</v>
      </c>
      <c r="H1879" s="2">
        <v>2</v>
      </c>
      <c r="I1879" s="1">
        <v>194.84</v>
      </c>
      <c r="J1879" s="1">
        <v>97.42</v>
      </c>
      <c r="K1879" t="s">
        <v>19</v>
      </c>
      <c r="L1879" t="s">
        <v>20</v>
      </c>
      <c r="M1879" s="2">
        <v>5</v>
      </c>
      <c r="N1879" t="s">
        <v>21</v>
      </c>
    </row>
    <row r="1880" spans="1:14" x14ac:dyDescent="0.3">
      <c r="A1880" t="s">
        <v>1916</v>
      </c>
      <c r="B1880" s="2">
        <v>28</v>
      </c>
      <c r="C1880" t="s">
        <v>23</v>
      </c>
      <c r="D1880" t="s">
        <v>28</v>
      </c>
      <c r="E1880" t="s">
        <v>34</v>
      </c>
      <c r="F1880" s="3">
        <v>45655</v>
      </c>
      <c r="G1880" s="3">
        <v>45908</v>
      </c>
      <c r="H1880" s="2">
        <v>1</v>
      </c>
      <c r="I1880" s="1">
        <v>194.12</v>
      </c>
      <c r="J1880" s="1">
        <v>194.12</v>
      </c>
      <c r="K1880" t="s">
        <v>25</v>
      </c>
      <c r="L1880" t="s">
        <v>20</v>
      </c>
      <c r="M1880" s="2">
        <v>5</v>
      </c>
      <c r="N1880" t="s">
        <v>21</v>
      </c>
    </row>
    <row r="1881" spans="1:14" x14ac:dyDescent="0.3">
      <c r="A1881" t="s">
        <v>1917</v>
      </c>
      <c r="B1881" s="2">
        <v>44</v>
      </c>
      <c r="C1881" t="s">
        <v>16</v>
      </c>
      <c r="D1881" t="s">
        <v>42</v>
      </c>
      <c r="E1881" t="s">
        <v>34</v>
      </c>
      <c r="F1881" s="3">
        <v>45986</v>
      </c>
      <c r="G1881" s="3">
        <v>46131</v>
      </c>
      <c r="H1881" s="2">
        <v>9</v>
      </c>
      <c r="I1881" s="1">
        <v>192.69</v>
      </c>
      <c r="J1881" s="1">
        <v>21.41</v>
      </c>
      <c r="K1881" t="s">
        <v>35</v>
      </c>
      <c r="L1881" t="s">
        <v>20</v>
      </c>
      <c r="M1881" s="2">
        <v>6</v>
      </c>
      <c r="N1881" t="s">
        <v>21</v>
      </c>
    </row>
    <row r="1882" spans="1:14" x14ac:dyDescent="0.3">
      <c r="A1882" t="s">
        <v>1918</v>
      </c>
      <c r="B1882" s="2">
        <v>22</v>
      </c>
      <c r="C1882" t="s">
        <v>16</v>
      </c>
      <c r="D1882" t="s">
        <v>50</v>
      </c>
      <c r="E1882" t="s">
        <v>38</v>
      </c>
      <c r="F1882" s="3">
        <v>45640</v>
      </c>
      <c r="G1882" s="3">
        <v>45896</v>
      </c>
      <c r="H1882" s="2">
        <v>1</v>
      </c>
      <c r="I1882" s="1">
        <v>190.96</v>
      </c>
      <c r="J1882" s="1">
        <v>190.96</v>
      </c>
      <c r="K1882" t="s">
        <v>25</v>
      </c>
      <c r="L1882" t="s">
        <v>30</v>
      </c>
      <c r="M1882" s="2">
        <v>4</v>
      </c>
      <c r="N1882" t="s">
        <v>21</v>
      </c>
    </row>
    <row r="1883" spans="1:14" x14ac:dyDescent="0.3">
      <c r="A1883" t="s">
        <v>1919</v>
      </c>
      <c r="B1883" s="2">
        <v>53</v>
      </c>
      <c r="C1883" t="s">
        <v>23</v>
      </c>
      <c r="D1883" t="s">
        <v>24</v>
      </c>
      <c r="E1883" t="s">
        <v>38</v>
      </c>
      <c r="F1883" s="3">
        <v>45815</v>
      </c>
      <c r="G1883" s="3">
        <v>45974</v>
      </c>
      <c r="H1883" s="2">
        <v>5</v>
      </c>
      <c r="I1883" s="1">
        <v>190.65</v>
      </c>
      <c r="J1883" s="1">
        <v>38.130000000000003</v>
      </c>
      <c r="K1883" t="s">
        <v>25</v>
      </c>
      <c r="L1883" t="s">
        <v>30</v>
      </c>
      <c r="M1883" s="2">
        <v>6</v>
      </c>
      <c r="N1883" t="s">
        <v>31</v>
      </c>
    </row>
    <row r="1884" spans="1:14" x14ac:dyDescent="0.3">
      <c r="A1884" t="s">
        <v>1920</v>
      </c>
      <c r="B1884" s="2">
        <v>62</v>
      </c>
      <c r="C1884" t="s">
        <v>23</v>
      </c>
      <c r="D1884" t="s">
        <v>24</v>
      </c>
      <c r="E1884" t="s">
        <v>29</v>
      </c>
      <c r="F1884" s="3">
        <v>45983</v>
      </c>
      <c r="G1884" s="3">
        <v>46268</v>
      </c>
      <c r="H1884" s="2">
        <v>1</v>
      </c>
      <c r="I1884" s="1">
        <v>190.52</v>
      </c>
      <c r="J1884" s="1">
        <v>190.52</v>
      </c>
      <c r="K1884" t="s">
        <v>45</v>
      </c>
      <c r="L1884" t="s">
        <v>20</v>
      </c>
      <c r="M1884" s="2">
        <v>5</v>
      </c>
      <c r="N1884" t="s">
        <v>21</v>
      </c>
    </row>
    <row r="1885" spans="1:14" x14ac:dyDescent="0.3">
      <c r="A1885" t="s">
        <v>1921</v>
      </c>
      <c r="B1885" s="2">
        <v>35</v>
      </c>
      <c r="C1885" t="s">
        <v>16</v>
      </c>
      <c r="D1885" t="s">
        <v>50</v>
      </c>
      <c r="E1885" t="s">
        <v>34</v>
      </c>
      <c r="F1885" s="3">
        <v>45478</v>
      </c>
      <c r="G1885" s="3">
        <v>45535</v>
      </c>
      <c r="H1885" s="2">
        <v>8</v>
      </c>
      <c r="I1885" s="1">
        <v>190.32</v>
      </c>
      <c r="J1885" s="1">
        <v>23.79</v>
      </c>
      <c r="K1885" t="s">
        <v>19</v>
      </c>
      <c r="L1885" t="s">
        <v>30</v>
      </c>
      <c r="M1885" s="2">
        <v>5</v>
      </c>
      <c r="N1885" t="s">
        <v>21</v>
      </c>
    </row>
    <row r="1886" spans="1:14" x14ac:dyDescent="0.3">
      <c r="A1886" t="s">
        <v>1922</v>
      </c>
      <c r="B1886" s="2">
        <v>23</v>
      </c>
      <c r="C1886" t="s">
        <v>16</v>
      </c>
      <c r="D1886" t="s">
        <v>24</v>
      </c>
      <c r="E1886" t="s">
        <v>18</v>
      </c>
      <c r="F1886" s="3">
        <v>45473</v>
      </c>
      <c r="G1886" s="3">
        <v>45664</v>
      </c>
      <c r="H1886" s="2">
        <v>3</v>
      </c>
      <c r="I1886" s="1">
        <v>189.36</v>
      </c>
      <c r="J1886" s="1">
        <v>63.12</v>
      </c>
      <c r="K1886" t="s">
        <v>45</v>
      </c>
      <c r="L1886" t="s">
        <v>20</v>
      </c>
      <c r="M1886" s="2">
        <v>2</v>
      </c>
      <c r="N1886" t="s">
        <v>21</v>
      </c>
    </row>
    <row r="1887" spans="1:14" x14ac:dyDescent="0.3">
      <c r="A1887" t="s">
        <v>1923</v>
      </c>
      <c r="B1887" s="2">
        <v>39</v>
      </c>
      <c r="C1887" t="s">
        <v>23</v>
      </c>
      <c r="D1887" t="s">
        <v>24</v>
      </c>
      <c r="E1887" t="s">
        <v>29</v>
      </c>
      <c r="F1887" s="3">
        <v>45394</v>
      </c>
      <c r="G1887" s="3">
        <v>45579</v>
      </c>
      <c r="H1887" s="2">
        <v>4</v>
      </c>
      <c r="I1887" s="1">
        <v>186.6</v>
      </c>
      <c r="J1887" s="1">
        <v>46.65</v>
      </c>
      <c r="K1887" t="s">
        <v>19</v>
      </c>
      <c r="L1887" t="s">
        <v>30</v>
      </c>
      <c r="M1887" s="2">
        <v>10</v>
      </c>
      <c r="N1887" t="s">
        <v>21</v>
      </c>
    </row>
    <row r="1888" spans="1:14" x14ac:dyDescent="0.3">
      <c r="A1888" t="s">
        <v>1924</v>
      </c>
      <c r="B1888" s="2">
        <v>31</v>
      </c>
      <c r="C1888" t="s">
        <v>23</v>
      </c>
      <c r="D1888" t="s">
        <v>42</v>
      </c>
      <c r="E1888" t="s">
        <v>29</v>
      </c>
      <c r="F1888" s="3">
        <v>45711</v>
      </c>
      <c r="G1888" s="3">
        <v>45862</v>
      </c>
      <c r="H1888" s="2">
        <v>6</v>
      </c>
      <c r="I1888" s="1">
        <v>186.18</v>
      </c>
      <c r="J1888" s="1">
        <v>31.03</v>
      </c>
      <c r="K1888" t="s">
        <v>39</v>
      </c>
      <c r="L1888" t="s">
        <v>30</v>
      </c>
      <c r="M1888" s="2">
        <v>2</v>
      </c>
      <c r="N1888" t="s">
        <v>21</v>
      </c>
    </row>
    <row r="1889" spans="1:14" x14ac:dyDescent="0.3">
      <c r="A1889" t="s">
        <v>1925</v>
      </c>
      <c r="B1889" s="2">
        <v>48</v>
      </c>
      <c r="C1889" t="s">
        <v>16</v>
      </c>
      <c r="D1889" t="s">
        <v>17</v>
      </c>
      <c r="E1889" t="s">
        <v>34</v>
      </c>
      <c r="F1889" s="3">
        <v>45876</v>
      </c>
      <c r="G1889" s="3">
        <v>46104</v>
      </c>
      <c r="H1889" s="2">
        <v>5</v>
      </c>
      <c r="I1889" s="1">
        <v>185.7</v>
      </c>
      <c r="J1889" s="1">
        <v>37.14</v>
      </c>
      <c r="K1889" t="s">
        <v>45</v>
      </c>
      <c r="L1889" t="s">
        <v>20</v>
      </c>
      <c r="M1889" s="2">
        <v>6</v>
      </c>
      <c r="N1889" t="s">
        <v>31</v>
      </c>
    </row>
    <row r="1890" spans="1:14" x14ac:dyDescent="0.3">
      <c r="A1890" t="s">
        <v>1926</v>
      </c>
      <c r="B1890" s="2">
        <v>40</v>
      </c>
      <c r="C1890" t="s">
        <v>23</v>
      </c>
      <c r="D1890" t="s">
        <v>50</v>
      </c>
      <c r="E1890" t="s">
        <v>29</v>
      </c>
      <c r="F1890" s="3">
        <v>45510</v>
      </c>
      <c r="G1890" s="3">
        <v>45546</v>
      </c>
      <c r="H1890" s="2">
        <v>2</v>
      </c>
      <c r="I1890" s="1">
        <v>184.38</v>
      </c>
      <c r="J1890" s="1">
        <v>92.19</v>
      </c>
      <c r="K1890" t="s">
        <v>39</v>
      </c>
      <c r="L1890" t="s">
        <v>26</v>
      </c>
      <c r="M1890" s="2">
        <v>5</v>
      </c>
      <c r="N1890" t="s">
        <v>31</v>
      </c>
    </row>
    <row r="1891" spans="1:14" x14ac:dyDescent="0.3">
      <c r="A1891" t="s">
        <v>1927</v>
      </c>
      <c r="B1891" s="2">
        <v>20</v>
      </c>
      <c r="C1891" t="s">
        <v>23</v>
      </c>
      <c r="D1891" t="s">
        <v>44</v>
      </c>
      <c r="E1891" t="s">
        <v>38</v>
      </c>
      <c r="F1891" s="3">
        <v>45616</v>
      </c>
      <c r="G1891" s="3">
        <v>45704</v>
      </c>
      <c r="H1891" s="2">
        <v>2</v>
      </c>
      <c r="I1891" s="1">
        <v>183.1</v>
      </c>
      <c r="J1891" s="1">
        <v>91.55</v>
      </c>
      <c r="K1891" t="s">
        <v>35</v>
      </c>
      <c r="L1891" t="s">
        <v>20</v>
      </c>
      <c r="M1891" s="2">
        <v>9</v>
      </c>
      <c r="N1891" t="s">
        <v>21</v>
      </c>
    </row>
    <row r="1892" spans="1:14" x14ac:dyDescent="0.3">
      <c r="A1892" t="s">
        <v>1928</v>
      </c>
      <c r="B1892" s="2">
        <v>31</v>
      </c>
      <c r="C1892" t="s">
        <v>23</v>
      </c>
      <c r="D1892" t="s">
        <v>50</v>
      </c>
      <c r="E1892" t="s">
        <v>29</v>
      </c>
      <c r="F1892" s="3">
        <v>45966</v>
      </c>
      <c r="G1892" s="3">
        <v>46125</v>
      </c>
      <c r="H1892" s="2">
        <v>1</v>
      </c>
      <c r="I1892" s="1">
        <v>181.72</v>
      </c>
      <c r="J1892" s="1">
        <v>181.72</v>
      </c>
      <c r="K1892" t="s">
        <v>45</v>
      </c>
      <c r="L1892" t="s">
        <v>26</v>
      </c>
      <c r="M1892" s="2">
        <v>9</v>
      </c>
      <c r="N1892" t="s">
        <v>21</v>
      </c>
    </row>
    <row r="1893" spans="1:14" x14ac:dyDescent="0.3">
      <c r="A1893" t="s">
        <v>1929</v>
      </c>
      <c r="B1893" s="2">
        <v>57</v>
      </c>
      <c r="C1893" t="s">
        <v>23</v>
      </c>
      <c r="D1893" t="s">
        <v>17</v>
      </c>
      <c r="E1893" t="s">
        <v>38</v>
      </c>
      <c r="F1893" s="3">
        <v>45519</v>
      </c>
      <c r="G1893" s="3">
        <v>45665</v>
      </c>
      <c r="H1893" s="2">
        <v>2</v>
      </c>
      <c r="I1893" s="1">
        <v>179.84</v>
      </c>
      <c r="J1893" s="1">
        <v>89.92</v>
      </c>
      <c r="K1893" t="s">
        <v>19</v>
      </c>
      <c r="L1893" t="s">
        <v>20</v>
      </c>
      <c r="M1893" s="2">
        <v>8</v>
      </c>
      <c r="N1893" t="s">
        <v>31</v>
      </c>
    </row>
    <row r="1894" spans="1:14" x14ac:dyDescent="0.3">
      <c r="A1894" t="s">
        <v>1930</v>
      </c>
      <c r="B1894" s="2">
        <v>61</v>
      </c>
      <c r="C1894" t="s">
        <v>23</v>
      </c>
      <c r="D1894" t="s">
        <v>28</v>
      </c>
      <c r="E1894" t="s">
        <v>34</v>
      </c>
      <c r="F1894" s="3">
        <v>45409</v>
      </c>
      <c r="G1894" s="3">
        <v>45648</v>
      </c>
      <c r="H1894" s="2">
        <v>3</v>
      </c>
      <c r="I1894" s="1">
        <v>178.23</v>
      </c>
      <c r="J1894" s="1">
        <v>59.41</v>
      </c>
      <c r="K1894" t="s">
        <v>39</v>
      </c>
      <c r="L1894" t="s">
        <v>26</v>
      </c>
      <c r="M1894" s="2">
        <v>1</v>
      </c>
      <c r="N1894" t="s">
        <v>21</v>
      </c>
    </row>
    <row r="1895" spans="1:14" x14ac:dyDescent="0.3">
      <c r="A1895" t="s">
        <v>1931</v>
      </c>
      <c r="B1895" s="2">
        <v>28</v>
      </c>
      <c r="C1895" t="s">
        <v>16</v>
      </c>
      <c r="D1895" t="s">
        <v>24</v>
      </c>
      <c r="E1895" t="s">
        <v>34</v>
      </c>
      <c r="F1895" s="3">
        <v>45800</v>
      </c>
      <c r="G1895" s="3">
        <v>45832</v>
      </c>
      <c r="H1895" s="2">
        <v>3</v>
      </c>
      <c r="I1895" s="1">
        <v>177.54</v>
      </c>
      <c r="J1895" s="1">
        <v>59.18</v>
      </c>
      <c r="K1895" t="s">
        <v>45</v>
      </c>
      <c r="L1895" t="s">
        <v>26</v>
      </c>
      <c r="M1895" s="2">
        <v>2</v>
      </c>
      <c r="N1895" t="s">
        <v>31</v>
      </c>
    </row>
    <row r="1896" spans="1:14" x14ac:dyDescent="0.3">
      <c r="A1896" t="s">
        <v>1932</v>
      </c>
      <c r="B1896" s="2">
        <v>53</v>
      </c>
      <c r="C1896" t="s">
        <v>16</v>
      </c>
      <c r="D1896" t="s">
        <v>17</v>
      </c>
      <c r="E1896" t="s">
        <v>34</v>
      </c>
      <c r="F1896" s="3">
        <v>45965</v>
      </c>
      <c r="G1896" s="3">
        <v>46039</v>
      </c>
      <c r="H1896" s="2">
        <v>2</v>
      </c>
      <c r="I1896" s="1">
        <v>172.94</v>
      </c>
      <c r="J1896" s="1">
        <v>86.47</v>
      </c>
      <c r="K1896" t="s">
        <v>25</v>
      </c>
      <c r="L1896" t="s">
        <v>30</v>
      </c>
      <c r="M1896" s="2">
        <v>4</v>
      </c>
      <c r="N1896" t="s">
        <v>21</v>
      </c>
    </row>
    <row r="1897" spans="1:14" x14ac:dyDescent="0.3">
      <c r="A1897" t="s">
        <v>1933</v>
      </c>
      <c r="B1897" s="2">
        <v>62</v>
      </c>
      <c r="C1897" t="s">
        <v>23</v>
      </c>
      <c r="D1897" t="s">
        <v>28</v>
      </c>
      <c r="E1897" t="s">
        <v>18</v>
      </c>
      <c r="F1897" s="3">
        <v>45760</v>
      </c>
      <c r="G1897" s="3">
        <v>46022</v>
      </c>
      <c r="H1897" s="2">
        <v>2</v>
      </c>
      <c r="I1897" s="1">
        <v>172</v>
      </c>
      <c r="J1897" s="1">
        <v>86</v>
      </c>
      <c r="K1897" t="s">
        <v>39</v>
      </c>
      <c r="L1897" t="s">
        <v>26</v>
      </c>
      <c r="M1897" s="2">
        <v>1</v>
      </c>
      <c r="N1897" t="s">
        <v>21</v>
      </c>
    </row>
    <row r="1898" spans="1:14" x14ac:dyDescent="0.3">
      <c r="A1898" t="s">
        <v>1934</v>
      </c>
      <c r="B1898" s="2">
        <v>18</v>
      </c>
      <c r="C1898" t="s">
        <v>16</v>
      </c>
      <c r="D1898" t="s">
        <v>61</v>
      </c>
      <c r="E1898" t="s">
        <v>38</v>
      </c>
      <c r="F1898" s="3">
        <v>45677</v>
      </c>
      <c r="G1898" s="3">
        <v>45719</v>
      </c>
      <c r="H1898" s="2">
        <v>4</v>
      </c>
      <c r="I1898" s="1">
        <v>171.96</v>
      </c>
      <c r="J1898" s="1">
        <v>42.99</v>
      </c>
      <c r="K1898" t="s">
        <v>35</v>
      </c>
      <c r="L1898" t="s">
        <v>30</v>
      </c>
      <c r="M1898" s="2">
        <v>3</v>
      </c>
      <c r="N1898" t="s">
        <v>21</v>
      </c>
    </row>
    <row r="1899" spans="1:14" x14ac:dyDescent="0.3">
      <c r="A1899" t="s">
        <v>1935</v>
      </c>
      <c r="B1899" s="2">
        <v>60</v>
      </c>
      <c r="C1899" t="s">
        <v>23</v>
      </c>
      <c r="D1899" t="s">
        <v>61</v>
      </c>
      <c r="E1899" t="s">
        <v>38</v>
      </c>
      <c r="F1899" s="3">
        <v>45637</v>
      </c>
      <c r="G1899" s="3">
        <v>45723</v>
      </c>
      <c r="H1899" s="2">
        <v>1</v>
      </c>
      <c r="I1899" s="1">
        <v>170.76</v>
      </c>
      <c r="J1899" s="1">
        <v>170.76</v>
      </c>
      <c r="K1899" t="s">
        <v>45</v>
      </c>
      <c r="L1899" t="s">
        <v>30</v>
      </c>
      <c r="M1899" s="2">
        <v>8</v>
      </c>
      <c r="N1899" t="s">
        <v>31</v>
      </c>
    </row>
    <row r="1900" spans="1:14" x14ac:dyDescent="0.3">
      <c r="A1900" t="s">
        <v>1936</v>
      </c>
      <c r="B1900" s="2">
        <v>39</v>
      </c>
      <c r="C1900" t="s">
        <v>23</v>
      </c>
      <c r="D1900" t="s">
        <v>28</v>
      </c>
      <c r="E1900" t="s">
        <v>38</v>
      </c>
      <c r="F1900" s="3">
        <v>45461</v>
      </c>
      <c r="G1900" s="3">
        <v>45713</v>
      </c>
      <c r="H1900" s="2">
        <v>4</v>
      </c>
      <c r="I1900" s="1">
        <v>169.56</v>
      </c>
      <c r="J1900" s="1">
        <v>42.39</v>
      </c>
      <c r="K1900" t="s">
        <v>45</v>
      </c>
      <c r="L1900" t="s">
        <v>20</v>
      </c>
      <c r="M1900" s="2">
        <v>9</v>
      </c>
      <c r="N1900" t="s">
        <v>21</v>
      </c>
    </row>
    <row r="1901" spans="1:14" x14ac:dyDescent="0.3">
      <c r="A1901" t="s">
        <v>1937</v>
      </c>
      <c r="B1901" s="2">
        <v>45</v>
      </c>
      <c r="C1901" t="s">
        <v>16</v>
      </c>
      <c r="D1901" t="s">
        <v>44</v>
      </c>
      <c r="E1901" t="s">
        <v>29</v>
      </c>
      <c r="F1901" s="3">
        <v>45708</v>
      </c>
      <c r="G1901" s="3">
        <v>45745</v>
      </c>
      <c r="H1901" s="2">
        <v>7</v>
      </c>
      <c r="I1901" s="1">
        <v>169.26</v>
      </c>
      <c r="J1901" s="1">
        <v>24.18</v>
      </c>
      <c r="K1901" t="s">
        <v>25</v>
      </c>
      <c r="L1901" t="s">
        <v>20</v>
      </c>
      <c r="M1901" s="2">
        <v>6</v>
      </c>
      <c r="N1901" t="s">
        <v>21</v>
      </c>
    </row>
    <row r="1902" spans="1:14" x14ac:dyDescent="0.3">
      <c r="A1902" t="s">
        <v>1938</v>
      </c>
      <c r="B1902" s="2">
        <v>57</v>
      </c>
      <c r="C1902" t="s">
        <v>16</v>
      </c>
      <c r="D1902" t="s">
        <v>28</v>
      </c>
      <c r="E1902" t="s">
        <v>29</v>
      </c>
      <c r="F1902" s="3">
        <v>45530</v>
      </c>
      <c r="G1902" s="3">
        <v>45642</v>
      </c>
      <c r="H1902" s="2">
        <v>1</v>
      </c>
      <c r="I1902" s="1">
        <v>167.41</v>
      </c>
      <c r="J1902" s="1">
        <v>167.41</v>
      </c>
      <c r="K1902" t="s">
        <v>45</v>
      </c>
      <c r="L1902" t="s">
        <v>20</v>
      </c>
      <c r="M1902" s="2">
        <v>3</v>
      </c>
      <c r="N1902" t="s">
        <v>31</v>
      </c>
    </row>
    <row r="1903" spans="1:14" x14ac:dyDescent="0.3">
      <c r="A1903" t="s">
        <v>1939</v>
      </c>
      <c r="B1903" s="2">
        <v>27</v>
      </c>
      <c r="C1903" t="s">
        <v>16</v>
      </c>
      <c r="D1903" t="s">
        <v>28</v>
      </c>
      <c r="E1903" t="s">
        <v>34</v>
      </c>
      <c r="F1903" s="3">
        <v>45866</v>
      </c>
      <c r="G1903" s="3">
        <v>45870</v>
      </c>
      <c r="H1903" s="2">
        <v>4</v>
      </c>
      <c r="I1903" s="1">
        <v>164.28</v>
      </c>
      <c r="J1903" s="1">
        <v>41.07</v>
      </c>
      <c r="K1903" t="s">
        <v>19</v>
      </c>
      <c r="L1903" t="s">
        <v>20</v>
      </c>
      <c r="M1903" s="2">
        <v>3</v>
      </c>
      <c r="N1903" t="s">
        <v>21</v>
      </c>
    </row>
    <row r="1904" spans="1:14" x14ac:dyDescent="0.3">
      <c r="A1904" t="s">
        <v>1940</v>
      </c>
      <c r="B1904" s="2">
        <v>20</v>
      </c>
      <c r="C1904" t="s">
        <v>16</v>
      </c>
      <c r="D1904" t="s">
        <v>17</v>
      </c>
      <c r="E1904" t="s">
        <v>38</v>
      </c>
      <c r="F1904" s="3">
        <v>45872</v>
      </c>
      <c r="G1904" s="3">
        <v>46046</v>
      </c>
      <c r="H1904" s="2">
        <v>5</v>
      </c>
      <c r="I1904" s="1">
        <v>164</v>
      </c>
      <c r="J1904" s="1">
        <v>32.799999999999997</v>
      </c>
      <c r="K1904" t="s">
        <v>19</v>
      </c>
      <c r="L1904" t="s">
        <v>20</v>
      </c>
      <c r="M1904" s="2">
        <v>1</v>
      </c>
      <c r="N1904" t="s">
        <v>21</v>
      </c>
    </row>
    <row r="1905" spans="1:14" x14ac:dyDescent="0.3">
      <c r="A1905" t="s">
        <v>1941</v>
      </c>
      <c r="B1905" s="2">
        <v>64</v>
      </c>
      <c r="C1905" t="s">
        <v>23</v>
      </c>
      <c r="D1905" t="s">
        <v>44</v>
      </c>
      <c r="E1905" t="s">
        <v>38</v>
      </c>
      <c r="F1905" s="3">
        <v>45742</v>
      </c>
      <c r="G1905" s="3">
        <v>45882</v>
      </c>
      <c r="H1905" s="2">
        <v>4</v>
      </c>
      <c r="I1905" s="1">
        <v>163.36000000000001</v>
      </c>
      <c r="J1905" s="1">
        <v>40.840000000000003</v>
      </c>
      <c r="K1905" t="s">
        <v>39</v>
      </c>
      <c r="L1905" t="s">
        <v>20</v>
      </c>
      <c r="M1905" s="2">
        <v>7</v>
      </c>
      <c r="N1905" t="s">
        <v>31</v>
      </c>
    </row>
    <row r="1906" spans="1:14" x14ac:dyDescent="0.3">
      <c r="A1906" t="s">
        <v>1942</v>
      </c>
      <c r="B1906" s="2">
        <v>19</v>
      </c>
      <c r="C1906" t="s">
        <v>23</v>
      </c>
      <c r="D1906" t="s">
        <v>61</v>
      </c>
      <c r="E1906" t="s">
        <v>18</v>
      </c>
      <c r="F1906" s="3">
        <v>45688</v>
      </c>
      <c r="G1906" s="3">
        <v>45890</v>
      </c>
      <c r="H1906" s="2">
        <v>1</v>
      </c>
      <c r="I1906" s="1">
        <v>162.87</v>
      </c>
      <c r="J1906" s="1">
        <v>162.87</v>
      </c>
      <c r="K1906" t="s">
        <v>39</v>
      </c>
      <c r="L1906" t="s">
        <v>30</v>
      </c>
      <c r="M1906" s="2">
        <v>10</v>
      </c>
      <c r="N1906" t="s">
        <v>21</v>
      </c>
    </row>
    <row r="1907" spans="1:14" x14ac:dyDescent="0.3">
      <c r="A1907" t="s">
        <v>1943</v>
      </c>
      <c r="B1907" s="2">
        <v>47</v>
      </c>
      <c r="C1907" t="s">
        <v>23</v>
      </c>
      <c r="D1907" t="s">
        <v>44</v>
      </c>
      <c r="E1907" t="s">
        <v>38</v>
      </c>
      <c r="F1907" s="3">
        <v>45959</v>
      </c>
      <c r="G1907" s="3">
        <v>46137</v>
      </c>
      <c r="H1907" s="2">
        <v>6</v>
      </c>
      <c r="I1907" s="1">
        <v>162.47999999999999</v>
      </c>
      <c r="J1907" s="1">
        <v>27.08</v>
      </c>
      <c r="K1907" t="s">
        <v>25</v>
      </c>
      <c r="L1907" t="s">
        <v>20</v>
      </c>
      <c r="M1907" s="2">
        <v>9</v>
      </c>
      <c r="N1907" t="s">
        <v>21</v>
      </c>
    </row>
    <row r="1908" spans="1:14" x14ac:dyDescent="0.3">
      <c r="A1908" t="s">
        <v>1944</v>
      </c>
      <c r="B1908" s="2">
        <v>52</v>
      </c>
      <c r="C1908" t="s">
        <v>16</v>
      </c>
      <c r="D1908" t="s">
        <v>17</v>
      </c>
      <c r="E1908" t="s">
        <v>29</v>
      </c>
      <c r="F1908" s="3">
        <v>45734</v>
      </c>
      <c r="G1908" s="3">
        <v>45887</v>
      </c>
      <c r="H1908" s="2">
        <v>5</v>
      </c>
      <c r="I1908" s="1">
        <v>159.6</v>
      </c>
      <c r="J1908" s="1">
        <v>31.92</v>
      </c>
      <c r="K1908" t="s">
        <v>45</v>
      </c>
      <c r="L1908" t="s">
        <v>30</v>
      </c>
      <c r="M1908" s="2">
        <v>7</v>
      </c>
      <c r="N1908" t="s">
        <v>21</v>
      </c>
    </row>
    <row r="1909" spans="1:14" x14ac:dyDescent="0.3">
      <c r="A1909" t="s">
        <v>1945</v>
      </c>
      <c r="B1909" s="2">
        <v>45</v>
      </c>
      <c r="C1909" t="s">
        <v>16</v>
      </c>
      <c r="D1909" t="s">
        <v>42</v>
      </c>
      <c r="E1909" t="s">
        <v>18</v>
      </c>
      <c r="F1909" s="3">
        <v>45848</v>
      </c>
      <c r="G1909" s="3">
        <v>46091</v>
      </c>
      <c r="H1909" s="2">
        <v>7</v>
      </c>
      <c r="I1909" s="1">
        <v>158.9</v>
      </c>
      <c r="J1909" s="1">
        <v>22.7</v>
      </c>
      <c r="K1909" t="s">
        <v>45</v>
      </c>
      <c r="L1909" t="s">
        <v>30</v>
      </c>
      <c r="M1909" s="2">
        <v>2</v>
      </c>
      <c r="N1909" t="s">
        <v>21</v>
      </c>
    </row>
    <row r="1910" spans="1:14" x14ac:dyDescent="0.3">
      <c r="A1910" t="s">
        <v>1946</v>
      </c>
      <c r="B1910" s="2">
        <v>61</v>
      </c>
      <c r="C1910" t="s">
        <v>16</v>
      </c>
      <c r="D1910" t="s">
        <v>50</v>
      </c>
      <c r="E1910" t="s">
        <v>38</v>
      </c>
      <c r="F1910" s="3">
        <v>45337</v>
      </c>
      <c r="G1910" s="3">
        <v>45516</v>
      </c>
      <c r="H1910" s="2">
        <v>4</v>
      </c>
      <c r="I1910" s="1">
        <v>158.84</v>
      </c>
      <c r="J1910" s="1">
        <v>39.71</v>
      </c>
      <c r="K1910" t="s">
        <v>25</v>
      </c>
      <c r="L1910" t="s">
        <v>26</v>
      </c>
      <c r="M1910" s="2">
        <v>6</v>
      </c>
      <c r="N1910" t="s">
        <v>31</v>
      </c>
    </row>
    <row r="1911" spans="1:14" x14ac:dyDescent="0.3">
      <c r="A1911" t="s">
        <v>1947</v>
      </c>
      <c r="B1911" s="2">
        <v>18</v>
      </c>
      <c r="C1911" t="s">
        <v>16</v>
      </c>
      <c r="D1911" t="s">
        <v>28</v>
      </c>
      <c r="E1911" t="s">
        <v>38</v>
      </c>
      <c r="F1911" s="3">
        <v>45948</v>
      </c>
      <c r="G1911" s="3">
        <v>45978</v>
      </c>
      <c r="H1911" s="2">
        <v>3</v>
      </c>
      <c r="I1911" s="1">
        <v>157.59</v>
      </c>
      <c r="J1911" s="1">
        <v>52.53</v>
      </c>
      <c r="K1911" t="s">
        <v>39</v>
      </c>
      <c r="L1911" t="s">
        <v>20</v>
      </c>
      <c r="M1911" s="2">
        <v>2</v>
      </c>
      <c r="N1911" t="s">
        <v>21</v>
      </c>
    </row>
    <row r="1912" spans="1:14" x14ac:dyDescent="0.3">
      <c r="A1912" t="s">
        <v>1948</v>
      </c>
      <c r="B1912" s="2">
        <v>55</v>
      </c>
      <c r="C1912" t="s">
        <v>23</v>
      </c>
      <c r="D1912" t="s">
        <v>28</v>
      </c>
      <c r="E1912" t="s">
        <v>34</v>
      </c>
      <c r="F1912" s="3">
        <v>45933</v>
      </c>
      <c r="G1912" s="3">
        <v>45982</v>
      </c>
      <c r="H1912" s="2">
        <v>1</v>
      </c>
      <c r="I1912" s="1">
        <v>154.38999999999999</v>
      </c>
      <c r="J1912" s="1">
        <v>154.38999999999999</v>
      </c>
      <c r="K1912" t="s">
        <v>25</v>
      </c>
      <c r="L1912" t="s">
        <v>30</v>
      </c>
      <c r="M1912" s="2">
        <v>8</v>
      </c>
      <c r="N1912" t="s">
        <v>21</v>
      </c>
    </row>
    <row r="1913" spans="1:14" x14ac:dyDescent="0.3">
      <c r="A1913" t="s">
        <v>1949</v>
      </c>
      <c r="B1913" s="2">
        <v>55</v>
      </c>
      <c r="C1913" t="s">
        <v>16</v>
      </c>
      <c r="D1913" t="s">
        <v>44</v>
      </c>
      <c r="E1913" t="s">
        <v>18</v>
      </c>
      <c r="F1913" s="3">
        <v>45410</v>
      </c>
      <c r="G1913" s="3">
        <v>45558</v>
      </c>
      <c r="H1913" s="2">
        <v>3</v>
      </c>
      <c r="I1913" s="1">
        <v>153.57</v>
      </c>
      <c r="J1913" s="1">
        <v>51.19</v>
      </c>
      <c r="K1913" t="s">
        <v>19</v>
      </c>
      <c r="L1913" t="s">
        <v>26</v>
      </c>
      <c r="M1913" s="2">
        <v>3</v>
      </c>
      <c r="N1913" t="s">
        <v>21</v>
      </c>
    </row>
    <row r="1914" spans="1:14" x14ac:dyDescent="0.3">
      <c r="A1914" t="s">
        <v>1950</v>
      </c>
      <c r="B1914" s="2">
        <v>62</v>
      </c>
      <c r="C1914" t="s">
        <v>16</v>
      </c>
      <c r="D1914" t="s">
        <v>17</v>
      </c>
      <c r="E1914" t="s">
        <v>29</v>
      </c>
      <c r="F1914" s="3">
        <v>45475</v>
      </c>
      <c r="G1914" s="3">
        <v>45622</v>
      </c>
      <c r="H1914" s="2">
        <v>3</v>
      </c>
      <c r="I1914" s="1">
        <v>151.86000000000001</v>
      </c>
      <c r="J1914" s="1">
        <v>50.62</v>
      </c>
      <c r="K1914" t="s">
        <v>25</v>
      </c>
      <c r="L1914" t="s">
        <v>20</v>
      </c>
      <c r="M1914" s="2">
        <v>1</v>
      </c>
      <c r="N1914" t="s">
        <v>21</v>
      </c>
    </row>
    <row r="1915" spans="1:14" x14ac:dyDescent="0.3">
      <c r="A1915" t="s">
        <v>1951</v>
      </c>
      <c r="B1915" s="2">
        <v>57</v>
      </c>
      <c r="C1915" t="s">
        <v>23</v>
      </c>
      <c r="D1915" t="s">
        <v>42</v>
      </c>
      <c r="E1915" t="s">
        <v>29</v>
      </c>
      <c r="F1915" s="3">
        <v>45798</v>
      </c>
      <c r="G1915" s="3">
        <v>45882</v>
      </c>
      <c r="H1915" s="2">
        <v>2</v>
      </c>
      <c r="I1915" s="1">
        <v>151.13999999999999</v>
      </c>
      <c r="J1915" s="1">
        <v>75.569999999999993</v>
      </c>
      <c r="K1915" t="s">
        <v>19</v>
      </c>
      <c r="L1915" t="s">
        <v>26</v>
      </c>
      <c r="M1915" s="2">
        <v>3</v>
      </c>
      <c r="N1915" t="s">
        <v>21</v>
      </c>
    </row>
    <row r="1916" spans="1:14" x14ac:dyDescent="0.3">
      <c r="A1916" t="s">
        <v>1952</v>
      </c>
      <c r="B1916" s="2">
        <v>55</v>
      </c>
      <c r="C1916" t="s">
        <v>16</v>
      </c>
      <c r="D1916" t="s">
        <v>17</v>
      </c>
      <c r="E1916" t="s">
        <v>38</v>
      </c>
      <c r="F1916" s="3">
        <v>45486</v>
      </c>
      <c r="G1916" s="3">
        <v>45557</v>
      </c>
      <c r="H1916" s="2">
        <v>2</v>
      </c>
      <c r="I1916" s="1">
        <v>148.12</v>
      </c>
      <c r="J1916" s="1">
        <v>74.06</v>
      </c>
      <c r="K1916" t="s">
        <v>39</v>
      </c>
      <c r="L1916" t="s">
        <v>20</v>
      </c>
      <c r="M1916" s="2">
        <v>5</v>
      </c>
      <c r="N1916" t="s">
        <v>21</v>
      </c>
    </row>
    <row r="1917" spans="1:14" x14ac:dyDescent="0.3">
      <c r="A1917" t="s">
        <v>1953</v>
      </c>
      <c r="B1917" s="2">
        <v>65</v>
      </c>
      <c r="C1917" t="s">
        <v>16</v>
      </c>
      <c r="D1917" t="s">
        <v>17</v>
      </c>
      <c r="E1917" t="s">
        <v>18</v>
      </c>
      <c r="F1917" s="3">
        <v>45418</v>
      </c>
      <c r="G1917" s="3">
        <v>45610</v>
      </c>
      <c r="H1917" s="2">
        <v>1</v>
      </c>
      <c r="I1917" s="1">
        <v>144.31</v>
      </c>
      <c r="J1917" s="1">
        <v>144.31</v>
      </c>
      <c r="K1917" t="s">
        <v>35</v>
      </c>
      <c r="L1917" t="s">
        <v>26</v>
      </c>
      <c r="M1917" s="2">
        <v>7</v>
      </c>
      <c r="N1917" t="s">
        <v>21</v>
      </c>
    </row>
    <row r="1918" spans="1:14" x14ac:dyDescent="0.3">
      <c r="A1918" t="s">
        <v>1954</v>
      </c>
      <c r="B1918" s="2">
        <v>63</v>
      </c>
      <c r="C1918" t="s">
        <v>16</v>
      </c>
      <c r="D1918" t="s">
        <v>24</v>
      </c>
      <c r="E1918" t="s">
        <v>34</v>
      </c>
      <c r="F1918" s="3">
        <v>45820</v>
      </c>
      <c r="G1918" s="3">
        <v>46005</v>
      </c>
      <c r="H1918" s="2">
        <v>1</v>
      </c>
      <c r="I1918" s="1">
        <v>143.91999999999999</v>
      </c>
      <c r="J1918" s="1">
        <v>143.91999999999999</v>
      </c>
      <c r="K1918" t="s">
        <v>45</v>
      </c>
      <c r="L1918" t="s">
        <v>26</v>
      </c>
      <c r="M1918" s="2">
        <v>3</v>
      </c>
      <c r="N1918" t="s">
        <v>21</v>
      </c>
    </row>
    <row r="1919" spans="1:14" x14ac:dyDescent="0.3">
      <c r="A1919" t="s">
        <v>1955</v>
      </c>
      <c r="B1919" s="2">
        <v>59</v>
      </c>
      <c r="C1919" t="s">
        <v>16</v>
      </c>
      <c r="D1919" t="s">
        <v>42</v>
      </c>
      <c r="E1919" t="s">
        <v>18</v>
      </c>
      <c r="F1919" s="3">
        <v>45908</v>
      </c>
      <c r="G1919" s="3">
        <v>46002</v>
      </c>
      <c r="H1919" s="2">
        <v>3</v>
      </c>
      <c r="I1919" s="1">
        <v>141.12</v>
      </c>
      <c r="J1919" s="1">
        <v>47.04</v>
      </c>
      <c r="K1919" t="s">
        <v>19</v>
      </c>
      <c r="L1919" t="s">
        <v>20</v>
      </c>
      <c r="M1919" s="2">
        <v>10</v>
      </c>
      <c r="N1919" t="s">
        <v>21</v>
      </c>
    </row>
    <row r="1920" spans="1:14" x14ac:dyDescent="0.3">
      <c r="A1920" t="s">
        <v>1956</v>
      </c>
      <c r="B1920" s="2">
        <v>58</v>
      </c>
      <c r="C1920" t="s">
        <v>16</v>
      </c>
      <c r="D1920" t="s">
        <v>24</v>
      </c>
      <c r="E1920" t="s">
        <v>18</v>
      </c>
      <c r="F1920" s="3">
        <v>45622</v>
      </c>
      <c r="G1920" s="3">
        <v>45726</v>
      </c>
      <c r="H1920" s="2">
        <v>3</v>
      </c>
      <c r="I1920" s="1">
        <v>138.33000000000001</v>
      </c>
      <c r="J1920" s="1">
        <v>46.11</v>
      </c>
      <c r="K1920" t="s">
        <v>19</v>
      </c>
      <c r="L1920" t="s">
        <v>26</v>
      </c>
      <c r="M1920" s="2">
        <v>1</v>
      </c>
      <c r="N1920" t="s">
        <v>21</v>
      </c>
    </row>
    <row r="1921" spans="1:14" x14ac:dyDescent="0.3">
      <c r="A1921" t="s">
        <v>1957</v>
      </c>
      <c r="B1921" s="2">
        <v>57</v>
      </c>
      <c r="C1921" t="s">
        <v>23</v>
      </c>
      <c r="D1921" t="s">
        <v>50</v>
      </c>
      <c r="E1921" t="s">
        <v>29</v>
      </c>
      <c r="F1921" s="3">
        <v>45545</v>
      </c>
      <c r="G1921" s="3">
        <v>45617</v>
      </c>
      <c r="H1921" s="2">
        <v>4</v>
      </c>
      <c r="I1921" s="1">
        <v>136.68</v>
      </c>
      <c r="J1921" s="1">
        <v>34.17</v>
      </c>
      <c r="K1921" t="s">
        <v>45</v>
      </c>
      <c r="L1921" t="s">
        <v>20</v>
      </c>
      <c r="M1921" s="2">
        <v>6</v>
      </c>
      <c r="N1921" t="s">
        <v>21</v>
      </c>
    </row>
    <row r="1922" spans="1:14" x14ac:dyDescent="0.3">
      <c r="A1922" t="s">
        <v>1958</v>
      </c>
      <c r="B1922" s="2">
        <v>22</v>
      </c>
      <c r="C1922" t="s">
        <v>23</v>
      </c>
      <c r="D1922" t="s">
        <v>28</v>
      </c>
      <c r="E1922" t="s">
        <v>38</v>
      </c>
      <c r="F1922" s="3">
        <v>45583</v>
      </c>
      <c r="G1922" s="3">
        <v>45753</v>
      </c>
      <c r="H1922" s="2">
        <v>1</v>
      </c>
      <c r="I1922" s="1">
        <v>134.05000000000001</v>
      </c>
      <c r="J1922" s="1">
        <v>134.05000000000001</v>
      </c>
      <c r="K1922" t="s">
        <v>35</v>
      </c>
      <c r="L1922" t="s">
        <v>20</v>
      </c>
      <c r="M1922" s="2">
        <v>10</v>
      </c>
      <c r="N1922" t="s">
        <v>21</v>
      </c>
    </row>
    <row r="1923" spans="1:14" x14ac:dyDescent="0.3">
      <c r="A1923" t="s">
        <v>1959</v>
      </c>
      <c r="B1923" s="2">
        <v>29</v>
      </c>
      <c r="C1923" t="s">
        <v>16</v>
      </c>
      <c r="D1923" t="s">
        <v>50</v>
      </c>
      <c r="E1923" t="s">
        <v>18</v>
      </c>
      <c r="F1923" s="3">
        <v>45463</v>
      </c>
      <c r="G1923" s="3">
        <v>45537</v>
      </c>
      <c r="H1923" s="2">
        <v>4</v>
      </c>
      <c r="I1923" s="1">
        <v>130.16</v>
      </c>
      <c r="J1923" s="1">
        <v>32.54</v>
      </c>
      <c r="K1923" t="s">
        <v>39</v>
      </c>
      <c r="L1923" t="s">
        <v>30</v>
      </c>
      <c r="M1923" s="2">
        <v>9</v>
      </c>
      <c r="N1923" t="s">
        <v>31</v>
      </c>
    </row>
    <row r="1924" spans="1:14" x14ac:dyDescent="0.3">
      <c r="A1924" t="s">
        <v>1960</v>
      </c>
      <c r="B1924" s="2">
        <v>24</v>
      </c>
      <c r="C1924" t="s">
        <v>23</v>
      </c>
      <c r="D1924" t="s">
        <v>28</v>
      </c>
      <c r="E1924" t="s">
        <v>34</v>
      </c>
      <c r="F1924" s="3">
        <v>45944</v>
      </c>
      <c r="G1924" s="3">
        <v>46243</v>
      </c>
      <c r="H1924" s="2">
        <v>3</v>
      </c>
      <c r="I1924" s="1">
        <v>129.41999999999999</v>
      </c>
      <c r="J1924" s="1">
        <v>43.14</v>
      </c>
      <c r="K1924" t="s">
        <v>39</v>
      </c>
      <c r="L1924" t="s">
        <v>20</v>
      </c>
      <c r="M1924" s="2">
        <v>10</v>
      </c>
      <c r="N1924" t="s">
        <v>21</v>
      </c>
    </row>
    <row r="1925" spans="1:14" x14ac:dyDescent="0.3">
      <c r="A1925" t="s">
        <v>1961</v>
      </c>
      <c r="B1925" s="2">
        <v>43</v>
      </c>
      <c r="C1925" t="s">
        <v>16</v>
      </c>
      <c r="D1925" t="s">
        <v>28</v>
      </c>
      <c r="E1925" t="s">
        <v>38</v>
      </c>
      <c r="F1925" s="3">
        <v>45738</v>
      </c>
      <c r="G1925" s="3">
        <v>45986</v>
      </c>
      <c r="H1925" s="2">
        <v>1</v>
      </c>
      <c r="I1925" s="1">
        <v>128.88</v>
      </c>
      <c r="J1925" s="1">
        <v>128.88</v>
      </c>
      <c r="K1925" t="s">
        <v>25</v>
      </c>
      <c r="L1925" t="s">
        <v>20</v>
      </c>
      <c r="M1925" s="2">
        <v>9</v>
      </c>
      <c r="N1925" t="s">
        <v>21</v>
      </c>
    </row>
    <row r="1926" spans="1:14" x14ac:dyDescent="0.3">
      <c r="A1926" t="s">
        <v>1962</v>
      </c>
      <c r="B1926" s="2">
        <v>32</v>
      </c>
      <c r="C1926" t="s">
        <v>23</v>
      </c>
      <c r="D1926" t="s">
        <v>42</v>
      </c>
      <c r="E1926" t="s">
        <v>34</v>
      </c>
      <c r="F1926" s="3">
        <v>45615</v>
      </c>
      <c r="G1926" s="3">
        <v>45834</v>
      </c>
      <c r="H1926" s="2">
        <v>6</v>
      </c>
      <c r="I1926" s="1">
        <v>128.1</v>
      </c>
      <c r="J1926" s="1">
        <v>21.35</v>
      </c>
      <c r="K1926" t="s">
        <v>25</v>
      </c>
      <c r="L1926" t="s">
        <v>20</v>
      </c>
      <c r="M1926" s="2">
        <v>6</v>
      </c>
      <c r="N1926" t="s">
        <v>21</v>
      </c>
    </row>
    <row r="1927" spans="1:14" x14ac:dyDescent="0.3">
      <c r="A1927" t="s">
        <v>1963</v>
      </c>
      <c r="B1927" s="2">
        <v>32</v>
      </c>
      <c r="C1927" t="s">
        <v>16</v>
      </c>
      <c r="D1927" t="s">
        <v>24</v>
      </c>
      <c r="E1927" t="s">
        <v>34</v>
      </c>
      <c r="F1927" s="3">
        <v>45699</v>
      </c>
      <c r="G1927" s="3">
        <v>45947</v>
      </c>
      <c r="H1927" s="2">
        <v>2</v>
      </c>
      <c r="I1927" s="1">
        <v>127.9</v>
      </c>
      <c r="J1927" s="1">
        <v>63.95</v>
      </c>
      <c r="K1927" t="s">
        <v>39</v>
      </c>
      <c r="L1927" t="s">
        <v>26</v>
      </c>
      <c r="M1927" s="2">
        <v>7</v>
      </c>
      <c r="N1927" t="s">
        <v>21</v>
      </c>
    </row>
    <row r="1928" spans="1:14" x14ac:dyDescent="0.3">
      <c r="A1928" t="s">
        <v>1964</v>
      </c>
      <c r="B1928" s="2">
        <v>48</v>
      </c>
      <c r="C1928" t="s">
        <v>16</v>
      </c>
      <c r="D1928" t="s">
        <v>61</v>
      </c>
      <c r="E1928" t="s">
        <v>34</v>
      </c>
      <c r="F1928" s="3">
        <v>45845</v>
      </c>
      <c r="G1928" s="3">
        <v>45960</v>
      </c>
      <c r="H1928" s="2">
        <v>1</v>
      </c>
      <c r="I1928" s="1">
        <v>127.64</v>
      </c>
      <c r="J1928" s="1">
        <v>127.64</v>
      </c>
      <c r="K1928" t="s">
        <v>45</v>
      </c>
      <c r="L1928" t="s">
        <v>20</v>
      </c>
      <c r="M1928" s="2">
        <v>5</v>
      </c>
      <c r="N1928" t="s">
        <v>21</v>
      </c>
    </row>
    <row r="1929" spans="1:14" x14ac:dyDescent="0.3">
      <c r="A1929" t="s">
        <v>1965</v>
      </c>
      <c r="B1929" s="2">
        <v>37</v>
      </c>
      <c r="C1929" t="s">
        <v>16</v>
      </c>
      <c r="D1929" t="s">
        <v>44</v>
      </c>
      <c r="E1929" t="s">
        <v>18</v>
      </c>
      <c r="F1929" s="3">
        <v>45633</v>
      </c>
      <c r="G1929" s="3">
        <v>45799</v>
      </c>
      <c r="H1929" s="2">
        <v>4</v>
      </c>
      <c r="I1929" s="1">
        <v>127.6</v>
      </c>
      <c r="J1929" s="1">
        <v>31.9</v>
      </c>
      <c r="K1929" t="s">
        <v>25</v>
      </c>
      <c r="L1929" t="s">
        <v>30</v>
      </c>
      <c r="M1929" s="2">
        <v>2</v>
      </c>
      <c r="N1929" t="s">
        <v>21</v>
      </c>
    </row>
    <row r="1930" spans="1:14" x14ac:dyDescent="0.3">
      <c r="A1930" t="s">
        <v>1966</v>
      </c>
      <c r="B1930" s="2">
        <v>58</v>
      </c>
      <c r="C1930" t="s">
        <v>16</v>
      </c>
      <c r="D1930" t="s">
        <v>61</v>
      </c>
      <c r="E1930" t="s">
        <v>29</v>
      </c>
      <c r="F1930" s="3">
        <v>45298</v>
      </c>
      <c r="G1930" s="3">
        <v>45318</v>
      </c>
      <c r="H1930" s="2">
        <v>2</v>
      </c>
      <c r="I1930" s="1">
        <v>127.32</v>
      </c>
      <c r="J1930" s="1">
        <v>63.66</v>
      </c>
      <c r="K1930" t="s">
        <v>39</v>
      </c>
      <c r="L1930" t="s">
        <v>30</v>
      </c>
      <c r="M1930" s="2">
        <v>3</v>
      </c>
      <c r="N1930" t="s">
        <v>21</v>
      </c>
    </row>
    <row r="1931" spans="1:14" x14ac:dyDescent="0.3">
      <c r="A1931" t="s">
        <v>1967</v>
      </c>
      <c r="B1931" s="2">
        <v>38</v>
      </c>
      <c r="C1931" t="s">
        <v>23</v>
      </c>
      <c r="D1931" t="s">
        <v>44</v>
      </c>
      <c r="E1931" t="s">
        <v>34</v>
      </c>
      <c r="F1931" s="3">
        <v>45877</v>
      </c>
      <c r="G1931" s="3">
        <v>46084</v>
      </c>
      <c r="H1931" s="2">
        <v>3</v>
      </c>
      <c r="I1931" s="1">
        <v>126.45</v>
      </c>
      <c r="J1931" s="1">
        <v>42.15</v>
      </c>
      <c r="K1931" t="s">
        <v>45</v>
      </c>
      <c r="L1931" t="s">
        <v>20</v>
      </c>
      <c r="M1931" s="2">
        <v>7</v>
      </c>
      <c r="N1931" t="s">
        <v>21</v>
      </c>
    </row>
    <row r="1932" spans="1:14" x14ac:dyDescent="0.3">
      <c r="A1932" t="s">
        <v>1968</v>
      </c>
      <c r="B1932" s="2">
        <v>45</v>
      </c>
      <c r="C1932" t="s">
        <v>16</v>
      </c>
      <c r="D1932" t="s">
        <v>28</v>
      </c>
      <c r="E1932" t="s">
        <v>34</v>
      </c>
      <c r="F1932" s="3">
        <v>45372</v>
      </c>
      <c r="G1932" s="3">
        <v>45455</v>
      </c>
      <c r="H1932" s="2">
        <v>1</v>
      </c>
      <c r="I1932" s="1">
        <v>126.35</v>
      </c>
      <c r="J1932" s="1">
        <v>126.35</v>
      </c>
      <c r="K1932" t="s">
        <v>25</v>
      </c>
      <c r="L1932" t="s">
        <v>26</v>
      </c>
      <c r="M1932" s="2">
        <v>8</v>
      </c>
      <c r="N1932" t="s">
        <v>21</v>
      </c>
    </row>
    <row r="1933" spans="1:14" x14ac:dyDescent="0.3">
      <c r="A1933" t="s">
        <v>1969</v>
      </c>
      <c r="B1933" s="2">
        <v>35</v>
      </c>
      <c r="C1933" t="s">
        <v>23</v>
      </c>
      <c r="D1933" t="s">
        <v>44</v>
      </c>
      <c r="E1933" t="s">
        <v>38</v>
      </c>
      <c r="F1933" s="3">
        <v>45760</v>
      </c>
      <c r="G1933" s="3">
        <v>45966</v>
      </c>
      <c r="H1933" s="2">
        <v>6</v>
      </c>
      <c r="I1933" s="1">
        <v>125.88</v>
      </c>
      <c r="J1933" s="1">
        <v>20.98</v>
      </c>
      <c r="K1933" t="s">
        <v>35</v>
      </c>
      <c r="L1933" t="s">
        <v>30</v>
      </c>
      <c r="M1933" s="2">
        <v>6</v>
      </c>
      <c r="N1933" t="s">
        <v>21</v>
      </c>
    </row>
    <row r="1934" spans="1:14" x14ac:dyDescent="0.3">
      <c r="A1934" t="s">
        <v>1970</v>
      </c>
      <c r="B1934" s="2">
        <v>28</v>
      </c>
      <c r="C1934" t="s">
        <v>16</v>
      </c>
      <c r="D1934" t="s">
        <v>24</v>
      </c>
      <c r="E1934" t="s">
        <v>38</v>
      </c>
      <c r="F1934" s="3">
        <v>45780</v>
      </c>
      <c r="G1934" s="3">
        <v>45780</v>
      </c>
      <c r="H1934" s="2">
        <v>5</v>
      </c>
      <c r="I1934" s="1">
        <v>125.4</v>
      </c>
      <c r="J1934" s="1">
        <v>25.08</v>
      </c>
      <c r="K1934" t="s">
        <v>39</v>
      </c>
      <c r="L1934" t="s">
        <v>30</v>
      </c>
      <c r="M1934" s="2">
        <v>2</v>
      </c>
      <c r="N1934" t="s">
        <v>31</v>
      </c>
    </row>
    <row r="1935" spans="1:14" x14ac:dyDescent="0.3">
      <c r="A1935" t="s">
        <v>1971</v>
      </c>
      <c r="B1935" s="2">
        <v>61</v>
      </c>
      <c r="C1935" t="s">
        <v>23</v>
      </c>
      <c r="D1935" t="s">
        <v>42</v>
      </c>
      <c r="E1935" t="s">
        <v>38</v>
      </c>
      <c r="F1935" s="3">
        <v>45730</v>
      </c>
      <c r="G1935" s="3">
        <v>45867</v>
      </c>
      <c r="H1935" s="2">
        <v>3</v>
      </c>
      <c r="I1935" s="1">
        <v>125.1</v>
      </c>
      <c r="J1935" s="1">
        <v>41.7</v>
      </c>
      <c r="K1935" t="s">
        <v>45</v>
      </c>
      <c r="L1935" t="s">
        <v>30</v>
      </c>
      <c r="M1935" s="2">
        <v>10</v>
      </c>
      <c r="N1935" t="s">
        <v>21</v>
      </c>
    </row>
    <row r="1936" spans="1:14" x14ac:dyDescent="0.3">
      <c r="A1936" t="s">
        <v>1972</v>
      </c>
      <c r="B1936" s="2">
        <v>42</v>
      </c>
      <c r="C1936" t="s">
        <v>23</v>
      </c>
      <c r="D1936" t="s">
        <v>42</v>
      </c>
      <c r="E1936" t="s">
        <v>18</v>
      </c>
      <c r="F1936" s="3">
        <v>45412</v>
      </c>
      <c r="G1936" s="3">
        <v>45678</v>
      </c>
      <c r="H1936" s="2">
        <v>1</v>
      </c>
      <c r="I1936" s="1">
        <v>125.01</v>
      </c>
      <c r="J1936" s="1">
        <v>125.01</v>
      </c>
      <c r="K1936" t="s">
        <v>25</v>
      </c>
      <c r="L1936" t="s">
        <v>26</v>
      </c>
      <c r="M1936" s="2">
        <v>10</v>
      </c>
      <c r="N1936" t="s">
        <v>21</v>
      </c>
    </row>
    <row r="1937" spans="1:14" x14ac:dyDescent="0.3">
      <c r="A1937" t="s">
        <v>1973</v>
      </c>
      <c r="B1937" s="2">
        <v>41</v>
      </c>
      <c r="C1937" t="s">
        <v>23</v>
      </c>
      <c r="D1937" t="s">
        <v>28</v>
      </c>
      <c r="E1937" t="s">
        <v>38</v>
      </c>
      <c r="F1937" s="3">
        <v>45803</v>
      </c>
      <c r="G1937" s="3">
        <v>46010</v>
      </c>
      <c r="H1937" s="2">
        <v>1</v>
      </c>
      <c r="I1937" s="1">
        <v>124.68</v>
      </c>
      <c r="J1937" s="1">
        <v>124.68</v>
      </c>
      <c r="K1937" t="s">
        <v>19</v>
      </c>
      <c r="L1937" t="s">
        <v>20</v>
      </c>
      <c r="M1937" s="2">
        <v>5</v>
      </c>
      <c r="N1937" t="s">
        <v>21</v>
      </c>
    </row>
    <row r="1938" spans="1:14" x14ac:dyDescent="0.3">
      <c r="A1938" t="s">
        <v>1974</v>
      </c>
      <c r="B1938" s="2">
        <v>63</v>
      </c>
      <c r="C1938" t="s">
        <v>23</v>
      </c>
      <c r="D1938" t="s">
        <v>24</v>
      </c>
      <c r="E1938" t="s">
        <v>18</v>
      </c>
      <c r="F1938" s="3">
        <v>45426</v>
      </c>
      <c r="G1938" s="3">
        <v>45564</v>
      </c>
      <c r="H1938" s="2">
        <v>3</v>
      </c>
      <c r="I1938" s="1">
        <v>124.29</v>
      </c>
      <c r="J1938" s="1">
        <v>41.43</v>
      </c>
      <c r="K1938" t="s">
        <v>19</v>
      </c>
      <c r="L1938" t="s">
        <v>20</v>
      </c>
      <c r="M1938" s="2">
        <v>3</v>
      </c>
      <c r="N1938" t="s">
        <v>21</v>
      </c>
    </row>
    <row r="1939" spans="1:14" x14ac:dyDescent="0.3">
      <c r="A1939" t="s">
        <v>1975</v>
      </c>
      <c r="B1939" s="2">
        <v>54</v>
      </c>
      <c r="C1939" t="s">
        <v>23</v>
      </c>
      <c r="D1939" t="s">
        <v>44</v>
      </c>
      <c r="E1939" t="s">
        <v>38</v>
      </c>
      <c r="F1939" s="3">
        <v>45298</v>
      </c>
      <c r="G1939" s="3">
        <v>45548</v>
      </c>
      <c r="H1939" s="2">
        <v>1</v>
      </c>
      <c r="I1939" s="1">
        <v>123.47</v>
      </c>
      <c r="J1939" s="1">
        <v>123.47</v>
      </c>
      <c r="K1939" t="s">
        <v>19</v>
      </c>
      <c r="L1939" t="s">
        <v>30</v>
      </c>
      <c r="M1939" s="2">
        <v>8</v>
      </c>
      <c r="N1939" t="s">
        <v>21</v>
      </c>
    </row>
    <row r="1940" spans="1:14" x14ac:dyDescent="0.3">
      <c r="A1940" t="s">
        <v>1976</v>
      </c>
      <c r="B1940" s="2">
        <v>65</v>
      </c>
      <c r="C1940" t="s">
        <v>23</v>
      </c>
      <c r="D1940" t="s">
        <v>61</v>
      </c>
      <c r="E1940" t="s">
        <v>29</v>
      </c>
      <c r="F1940" s="3">
        <v>45413</v>
      </c>
      <c r="G1940" s="3">
        <v>45676</v>
      </c>
      <c r="H1940" s="2">
        <v>4</v>
      </c>
      <c r="I1940" s="1">
        <v>123.36</v>
      </c>
      <c r="J1940" s="1">
        <v>30.84</v>
      </c>
      <c r="K1940" t="s">
        <v>39</v>
      </c>
      <c r="L1940" t="s">
        <v>26</v>
      </c>
      <c r="M1940" s="2">
        <v>7</v>
      </c>
      <c r="N1940" t="s">
        <v>31</v>
      </c>
    </row>
    <row r="1941" spans="1:14" x14ac:dyDescent="0.3">
      <c r="A1941" t="s">
        <v>1977</v>
      </c>
      <c r="B1941" s="2">
        <v>46</v>
      </c>
      <c r="C1941" t="s">
        <v>23</v>
      </c>
      <c r="D1941" t="s">
        <v>61</v>
      </c>
      <c r="E1941" t="s">
        <v>18</v>
      </c>
      <c r="F1941" s="3">
        <v>45918</v>
      </c>
      <c r="G1941" s="3">
        <v>46046</v>
      </c>
      <c r="H1941" s="2">
        <v>4</v>
      </c>
      <c r="I1941" s="1">
        <v>121.92</v>
      </c>
      <c r="J1941" s="1">
        <v>30.48</v>
      </c>
      <c r="K1941" t="s">
        <v>25</v>
      </c>
      <c r="L1941" t="s">
        <v>26</v>
      </c>
      <c r="M1941" s="2">
        <v>2</v>
      </c>
      <c r="N1941" t="s">
        <v>21</v>
      </c>
    </row>
    <row r="1942" spans="1:14" x14ac:dyDescent="0.3">
      <c r="A1942" t="s">
        <v>1978</v>
      </c>
      <c r="B1942" s="2">
        <v>34</v>
      </c>
      <c r="C1942" t="s">
        <v>16</v>
      </c>
      <c r="D1942" t="s">
        <v>61</v>
      </c>
      <c r="E1942" t="s">
        <v>29</v>
      </c>
      <c r="F1942" s="3">
        <v>45631</v>
      </c>
      <c r="G1942" s="3">
        <v>45650</v>
      </c>
      <c r="H1942" s="2">
        <v>3</v>
      </c>
      <c r="I1942" s="1">
        <v>121.53</v>
      </c>
      <c r="J1942" s="1">
        <v>40.51</v>
      </c>
      <c r="K1942" t="s">
        <v>45</v>
      </c>
      <c r="L1942" t="s">
        <v>26</v>
      </c>
      <c r="M1942" s="2">
        <v>7</v>
      </c>
      <c r="N1942" t="s">
        <v>31</v>
      </c>
    </row>
    <row r="1943" spans="1:14" x14ac:dyDescent="0.3">
      <c r="A1943" t="s">
        <v>1979</v>
      </c>
      <c r="B1943" s="2">
        <v>54</v>
      </c>
      <c r="C1943" t="s">
        <v>23</v>
      </c>
      <c r="D1943" t="s">
        <v>42</v>
      </c>
      <c r="E1943" t="s">
        <v>18</v>
      </c>
      <c r="F1943" s="3">
        <v>45348</v>
      </c>
      <c r="G1943" s="3">
        <v>45526</v>
      </c>
      <c r="H1943" s="2">
        <v>2</v>
      </c>
      <c r="I1943" s="1">
        <v>121.4</v>
      </c>
      <c r="J1943" s="1">
        <v>60.7</v>
      </c>
      <c r="K1943" t="s">
        <v>39</v>
      </c>
      <c r="L1943" t="s">
        <v>30</v>
      </c>
      <c r="M1943" s="2">
        <v>7</v>
      </c>
      <c r="N1943" t="s">
        <v>31</v>
      </c>
    </row>
    <row r="1944" spans="1:14" x14ac:dyDescent="0.3">
      <c r="A1944" t="s">
        <v>1980</v>
      </c>
      <c r="B1944" s="2">
        <v>30</v>
      </c>
      <c r="C1944" t="s">
        <v>23</v>
      </c>
      <c r="D1944" t="s">
        <v>44</v>
      </c>
      <c r="E1944" t="s">
        <v>29</v>
      </c>
      <c r="F1944" s="3">
        <v>45946</v>
      </c>
      <c r="G1944" s="3">
        <v>46242</v>
      </c>
      <c r="H1944" s="2">
        <v>4</v>
      </c>
      <c r="I1944" s="1">
        <v>120.84</v>
      </c>
      <c r="J1944" s="1">
        <v>30.21</v>
      </c>
      <c r="K1944" t="s">
        <v>19</v>
      </c>
      <c r="L1944" t="s">
        <v>26</v>
      </c>
      <c r="M1944" s="2">
        <v>4</v>
      </c>
      <c r="N1944" t="s">
        <v>21</v>
      </c>
    </row>
    <row r="1945" spans="1:14" x14ac:dyDescent="0.3">
      <c r="A1945" t="s">
        <v>1981</v>
      </c>
      <c r="B1945" s="2">
        <v>32</v>
      </c>
      <c r="C1945" t="s">
        <v>16</v>
      </c>
      <c r="D1945" t="s">
        <v>17</v>
      </c>
      <c r="E1945" t="s">
        <v>18</v>
      </c>
      <c r="F1945" s="3">
        <v>45621</v>
      </c>
      <c r="G1945" s="3">
        <v>45810</v>
      </c>
      <c r="H1945" s="2">
        <v>2</v>
      </c>
      <c r="I1945" s="1">
        <v>120.34</v>
      </c>
      <c r="J1945" s="1">
        <v>60.17</v>
      </c>
      <c r="K1945" t="s">
        <v>19</v>
      </c>
      <c r="L1945" t="s">
        <v>30</v>
      </c>
      <c r="M1945" s="2">
        <v>7</v>
      </c>
      <c r="N1945" t="s">
        <v>31</v>
      </c>
    </row>
    <row r="1946" spans="1:14" x14ac:dyDescent="0.3">
      <c r="A1946" t="s">
        <v>1982</v>
      </c>
      <c r="B1946" s="2">
        <v>46</v>
      </c>
      <c r="C1946" t="s">
        <v>16</v>
      </c>
      <c r="D1946" t="s">
        <v>17</v>
      </c>
      <c r="E1946" t="s">
        <v>29</v>
      </c>
      <c r="F1946" s="3">
        <v>45397</v>
      </c>
      <c r="G1946" s="3">
        <v>45414</v>
      </c>
      <c r="H1946" s="2">
        <v>3</v>
      </c>
      <c r="I1946" s="1">
        <v>119.16</v>
      </c>
      <c r="J1946" s="1">
        <v>39.72</v>
      </c>
      <c r="K1946" t="s">
        <v>39</v>
      </c>
      <c r="L1946" t="s">
        <v>30</v>
      </c>
      <c r="M1946" s="2">
        <v>7</v>
      </c>
      <c r="N1946" t="s">
        <v>21</v>
      </c>
    </row>
    <row r="1947" spans="1:14" x14ac:dyDescent="0.3">
      <c r="A1947" t="s">
        <v>1983</v>
      </c>
      <c r="B1947" s="2">
        <v>19</v>
      </c>
      <c r="C1947" t="s">
        <v>23</v>
      </c>
      <c r="D1947" t="s">
        <v>28</v>
      </c>
      <c r="E1947" t="s">
        <v>38</v>
      </c>
      <c r="F1947" s="3">
        <v>45955</v>
      </c>
      <c r="G1947" s="3">
        <v>46065</v>
      </c>
      <c r="H1947" s="2">
        <v>5</v>
      </c>
      <c r="I1947" s="1">
        <v>117.4</v>
      </c>
      <c r="J1947" s="1">
        <v>23.48</v>
      </c>
      <c r="K1947" t="s">
        <v>35</v>
      </c>
      <c r="L1947" t="s">
        <v>20</v>
      </c>
      <c r="M1947" s="2">
        <v>9</v>
      </c>
      <c r="N1947" t="s">
        <v>21</v>
      </c>
    </row>
    <row r="1948" spans="1:14" x14ac:dyDescent="0.3">
      <c r="A1948" t="s">
        <v>1984</v>
      </c>
      <c r="B1948" s="2">
        <v>20</v>
      </c>
      <c r="C1948" t="s">
        <v>23</v>
      </c>
      <c r="D1948" t="s">
        <v>42</v>
      </c>
      <c r="E1948" t="s">
        <v>18</v>
      </c>
      <c r="F1948" s="3">
        <v>45778</v>
      </c>
      <c r="G1948" s="3">
        <v>45986</v>
      </c>
      <c r="H1948" s="2">
        <v>1</v>
      </c>
      <c r="I1948" s="1">
        <v>115.68</v>
      </c>
      <c r="J1948" s="1">
        <v>115.68</v>
      </c>
      <c r="K1948" t="s">
        <v>35</v>
      </c>
      <c r="L1948" t="s">
        <v>26</v>
      </c>
      <c r="M1948" s="2">
        <v>1</v>
      </c>
      <c r="N1948" t="s">
        <v>21</v>
      </c>
    </row>
    <row r="1949" spans="1:14" x14ac:dyDescent="0.3">
      <c r="A1949" t="s">
        <v>1985</v>
      </c>
      <c r="B1949" s="2">
        <v>30</v>
      </c>
      <c r="C1949" t="s">
        <v>23</v>
      </c>
      <c r="D1949" t="s">
        <v>50</v>
      </c>
      <c r="E1949" t="s">
        <v>38</v>
      </c>
      <c r="F1949" s="3">
        <v>45415</v>
      </c>
      <c r="G1949" s="3">
        <v>45702</v>
      </c>
      <c r="H1949" s="2">
        <v>1</v>
      </c>
      <c r="I1949" s="1">
        <v>113.45</v>
      </c>
      <c r="J1949" s="1">
        <v>113.45</v>
      </c>
      <c r="K1949" t="s">
        <v>45</v>
      </c>
      <c r="L1949" t="s">
        <v>26</v>
      </c>
      <c r="M1949" s="2">
        <v>7</v>
      </c>
      <c r="N1949" t="s">
        <v>21</v>
      </c>
    </row>
    <row r="1950" spans="1:14" x14ac:dyDescent="0.3">
      <c r="A1950" t="s">
        <v>1986</v>
      </c>
      <c r="B1950" s="2">
        <v>61</v>
      </c>
      <c r="C1950" t="s">
        <v>16</v>
      </c>
      <c r="D1950" t="s">
        <v>24</v>
      </c>
      <c r="E1950" t="s">
        <v>38</v>
      </c>
      <c r="F1950" s="3">
        <v>45845</v>
      </c>
      <c r="G1950" s="3">
        <v>46072</v>
      </c>
      <c r="H1950" s="2">
        <v>2</v>
      </c>
      <c r="I1950" s="1">
        <v>112.84</v>
      </c>
      <c r="J1950" s="1">
        <v>56.42</v>
      </c>
      <c r="K1950" t="s">
        <v>39</v>
      </c>
      <c r="L1950" t="s">
        <v>30</v>
      </c>
      <c r="M1950" s="2">
        <v>7</v>
      </c>
      <c r="N1950" t="s">
        <v>21</v>
      </c>
    </row>
    <row r="1951" spans="1:14" x14ac:dyDescent="0.3">
      <c r="A1951" t="s">
        <v>1987</v>
      </c>
      <c r="B1951" s="2">
        <v>54</v>
      </c>
      <c r="C1951" t="s">
        <v>23</v>
      </c>
      <c r="D1951" t="s">
        <v>28</v>
      </c>
      <c r="E1951" t="s">
        <v>18</v>
      </c>
      <c r="F1951" s="3">
        <v>45833</v>
      </c>
      <c r="G1951" s="3">
        <v>45839</v>
      </c>
      <c r="H1951" s="2">
        <v>1</v>
      </c>
      <c r="I1951" s="1">
        <v>111.52</v>
      </c>
      <c r="J1951" s="1">
        <v>111.52</v>
      </c>
      <c r="K1951" t="s">
        <v>25</v>
      </c>
      <c r="L1951" t="s">
        <v>30</v>
      </c>
      <c r="M1951" s="2">
        <v>10</v>
      </c>
      <c r="N1951" t="s">
        <v>21</v>
      </c>
    </row>
    <row r="1952" spans="1:14" x14ac:dyDescent="0.3">
      <c r="A1952" t="s">
        <v>1988</v>
      </c>
      <c r="B1952" s="2">
        <v>20</v>
      </c>
      <c r="C1952" t="s">
        <v>23</v>
      </c>
      <c r="D1952" t="s">
        <v>42</v>
      </c>
      <c r="E1952" t="s">
        <v>29</v>
      </c>
      <c r="F1952" s="3">
        <v>45350</v>
      </c>
      <c r="G1952" s="3">
        <v>45389</v>
      </c>
      <c r="H1952" s="2">
        <v>2</v>
      </c>
      <c r="I1952" s="1">
        <v>110.96</v>
      </c>
      <c r="J1952" s="1">
        <v>55.48</v>
      </c>
      <c r="K1952" t="s">
        <v>45</v>
      </c>
      <c r="L1952" t="s">
        <v>30</v>
      </c>
      <c r="M1952" s="2">
        <v>10</v>
      </c>
      <c r="N1952" t="s">
        <v>21</v>
      </c>
    </row>
    <row r="1953" spans="1:14" x14ac:dyDescent="0.3">
      <c r="A1953" t="s">
        <v>1989</v>
      </c>
      <c r="B1953" s="2">
        <v>42</v>
      </c>
      <c r="C1953" t="s">
        <v>23</v>
      </c>
      <c r="D1953" t="s">
        <v>24</v>
      </c>
      <c r="E1953" t="s">
        <v>38</v>
      </c>
      <c r="F1953" s="3">
        <v>45685</v>
      </c>
      <c r="G1953" s="3">
        <v>45838</v>
      </c>
      <c r="H1953" s="2">
        <v>3</v>
      </c>
      <c r="I1953" s="1">
        <v>110.16</v>
      </c>
      <c r="J1953" s="1">
        <v>36.72</v>
      </c>
      <c r="K1953" t="s">
        <v>35</v>
      </c>
      <c r="L1953" t="s">
        <v>26</v>
      </c>
      <c r="M1953" s="2">
        <v>1</v>
      </c>
      <c r="N1953" t="s">
        <v>21</v>
      </c>
    </row>
    <row r="1954" spans="1:14" x14ac:dyDescent="0.3">
      <c r="A1954" t="s">
        <v>1990</v>
      </c>
      <c r="B1954" s="2">
        <v>56</v>
      </c>
      <c r="C1954" t="s">
        <v>23</v>
      </c>
      <c r="D1954" t="s">
        <v>17</v>
      </c>
      <c r="E1954" t="s">
        <v>18</v>
      </c>
      <c r="F1954" s="3">
        <v>45564</v>
      </c>
      <c r="G1954" s="3">
        <v>45636</v>
      </c>
      <c r="H1954" s="2">
        <v>3</v>
      </c>
      <c r="I1954" s="1">
        <v>110.1</v>
      </c>
      <c r="J1954" s="1">
        <v>36.700000000000003</v>
      </c>
      <c r="K1954" t="s">
        <v>35</v>
      </c>
      <c r="L1954" t="s">
        <v>20</v>
      </c>
      <c r="M1954" s="2">
        <v>5</v>
      </c>
      <c r="N1954" t="s">
        <v>21</v>
      </c>
    </row>
    <row r="1955" spans="1:14" x14ac:dyDescent="0.3">
      <c r="A1955" t="s">
        <v>1991</v>
      </c>
      <c r="B1955" s="2">
        <v>20</v>
      </c>
      <c r="C1955" t="s">
        <v>16</v>
      </c>
      <c r="D1955" t="s">
        <v>61</v>
      </c>
      <c r="E1955" t="s">
        <v>34</v>
      </c>
      <c r="F1955" s="3">
        <v>45607</v>
      </c>
      <c r="G1955" s="3">
        <v>45699</v>
      </c>
      <c r="H1955" s="2">
        <v>4</v>
      </c>
      <c r="I1955" s="1">
        <v>109.36</v>
      </c>
      <c r="J1955" s="1">
        <v>27.34</v>
      </c>
      <c r="K1955" t="s">
        <v>39</v>
      </c>
      <c r="L1955" t="s">
        <v>26</v>
      </c>
      <c r="M1955" s="2">
        <v>6</v>
      </c>
      <c r="N1955" t="s">
        <v>21</v>
      </c>
    </row>
    <row r="1956" spans="1:14" x14ac:dyDescent="0.3">
      <c r="A1956" t="s">
        <v>1992</v>
      </c>
      <c r="B1956" s="2">
        <v>31</v>
      </c>
      <c r="C1956" t="s">
        <v>23</v>
      </c>
      <c r="D1956" t="s">
        <v>44</v>
      </c>
      <c r="E1956" t="s">
        <v>34</v>
      </c>
      <c r="F1956" s="3">
        <v>45523</v>
      </c>
      <c r="G1956" s="3">
        <v>45591</v>
      </c>
      <c r="H1956" s="2">
        <v>2</v>
      </c>
      <c r="I1956" s="1">
        <v>106.02</v>
      </c>
      <c r="J1956" s="1">
        <v>53.01</v>
      </c>
      <c r="K1956" t="s">
        <v>35</v>
      </c>
      <c r="L1956" t="s">
        <v>30</v>
      </c>
      <c r="M1956" s="2">
        <v>2</v>
      </c>
      <c r="N1956" t="s">
        <v>21</v>
      </c>
    </row>
    <row r="1957" spans="1:14" x14ac:dyDescent="0.3">
      <c r="A1957" t="s">
        <v>1993</v>
      </c>
      <c r="B1957" s="2">
        <v>42</v>
      </c>
      <c r="C1957" t="s">
        <v>16</v>
      </c>
      <c r="D1957" t="s">
        <v>42</v>
      </c>
      <c r="E1957" t="s">
        <v>29</v>
      </c>
      <c r="F1957" s="3">
        <v>45472</v>
      </c>
      <c r="G1957" s="3">
        <v>45606</v>
      </c>
      <c r="H1957" s="2">
        <v>4</v>
      </c>
      <c r="I1957" s="1">
        <v>103.52</v>
      </c>
      <c r="J1957" s="1">
        <v>25.88</v>
      </c>
      <c r="K1957" t="s">
        <v>45</v>
      </c>
      <c r="L1957" t="s">
        <v>26</v>
      </c>
      <c r="M1957" s="2">
        <v>4</v>
      </c>
      <c r="N1957" t="s">
        <v>21</v>
      </c>
    </row>
    <row r="1958" spans="1:14" x14ac:dyDescent="0.3">
      <c r="A1958" t="s">
        <v>1994</v>
      </c>
      <c r="B1958" s="2">
        <v>44</v>
      </c>
      <c r="C1958" t="s">
        <v>16</v>
      </c>
      <c r="D1958" t="s">
        <v>61</v>
      </c>
      <c r="E1958" t="s">
        <v>34</v>
      </c>
      <c r="F1958" s="3">
        <v>45713</v>
      </c>
      <c r="G1958" s="3">
        <v>45833</v>
      </c>
      <c r="H1958" s="2">
        <v>1</v>
      </c>
      <c r="I1958" s="1">
        <v>101.46</v>
      </c>
      <c r="J1958" s="1">
        <v>101.46</v>
      </c>
      <c r="K1958" t="s">
        <v>45</v>
      </c>
      <c r="L1958" t="s">
        <v>20</v>
      </c>
      <c r="M1958" s="2">
        <v>6</v>
      </c>
      <c r="N1958" t="s">
        <v>21</v>
      </c>
    </row>
    <row r="1959" spans="1:14" x14ac:dyDescent="0.3">
      <c r="A1959" t="s">
        <v>1995</v>
      </c>
      <c r="B1959" s="2">
        <v>34</v>
      </c>
      <c r="C1959" t="s">
        <v>23</v>
      </c>
      <c r="D1959" t="s">
        <v>50</v>
      </c>
      <c r="E1959" t="s">
        <v>38</v>
      </c>
      <c r="F1959" s="3">
        <v>45488</v>
      </c>
      <c r="G1959" s="3">
        <v>45664</v>
      </c>
      <c r="H1959" s="2">
        <v>3</v>
      </c>
      <c r="I1959" s="1">
        <v>101.1</v>
      </c>
      <c r="J1959" s="1">
        <v>33.700000000000003</v>
      </c>
      <c r="K1959" t="s">
        <v>35</v>
      </c>
      <c r="L1959" t="s">
        <v>20</v>
      </c>
      <c r="M1959" s="2">
        <v>7</v>
      </c>
      <c r="N1959" t="s">
        <v>21</v>
      </c>
    </row>
    <row r="1960" spans="1:14" x14ac:dyDescent="0.3">
      <c r="A1960" t="s">
        <v>1996</v>
      </c>
      <c r="B1960" s="2">
        <v>42</v>
      </c>
      <c r="C1960" t="s">
        <v>23</v>
      </c>
      <c r="D1960" t="s">
        <v>61</v>
      </c>
      <c r="E1960" t="s">
        <v>18</v>
      </c>
      <c r="F1960" s="3">
        <v>45835</v>
      </c>
      <c r="G1960" s="3">
        <v>46057</v>
      </c>
      <c r="H1960" s="2">
        <v>1</v>
      </c>
      <c r="I1960" s="1">
        <v>100.86</v>
      </c>
      <c r="J1960" s="1">
        <v>100.86</v>
      </c>
      <c r="K1960" t="s">
        <v>39</v>
      </c>
      <c r="L1960" t="s">
        <v>20</v>
      </c>
      <c r="M1960" s="2">
        <v>6</v>
      </c>
      <c r="N1960" t="s">
        <v>21</v>
      </c>
    </row>
    <row r="1961" spans="1:14" x14ac:dyDescent="0.3">
      <c r="A1961" t="s">
        <v>1997</v>
      </c>
      <c r="B1961" s="2">
        <v>52</v>
      </c>
      <c r="C1961" t="s">
        <v>16</v>
      </c>
      <c r="D1961" t="s">
        <v>50</v>
      </c>
      <c r="E1961" t="s">
        <v>18</v>
      </c>
      <c r="F1961" s="3">
        <v>45923</v>
      </c>
      <c r="G1961" s="3">
        <v>46155</v>
      </c>
      <c r="H1961" s="2">
        <v>2</v>
      </c>
      <c r="I1961" s="1">
        <v>98.48</v>
      </c>
      <c r="J1961" s="1">
        <v>49.24</v>
      </c>
      <c r="K1961" t="s">
        <v>35</v>
      </c>
      <c r="L1961" t="s">
        <v>20</v>
      </c>
      <c r="M1961" s="2">
        <v>2</v>
      </c>
      <c r="N1961" t="s">
        <v>31</v>
      </c>
    </row>
    <row r="1962" spans="1:14" x14ac:dyDescent="0.3">
      <c r="A1962" t="s">
        <v>1998</v>
      </c>
      <c r="B1962" s="2">
        <v>22</v>
      </c>
      <c r="C1962" t="s">
        <v>16</v>
      </c>
      <c r="D1962" t="s">
        <v>24</v>
      </c>
      <c r="E1962" t="s">
        <v>38</v>
      </c>
      <c r="F1962" s="3">
        <v>45515</v>
      </c>
      <c r="G1962" s="3">
        <v>45811</v>
      </c>
      <c r="H1962" s="2">
        <v>3</v>
      </c>
      <c r="I1962" s="1">
        <v>98.039999999999992</v>
      </c>
      <c r="J1962" s="1">
        <v>32.68</v>
      </c>
      <c r="K1962" t="s">
        <v>39</v>
      </c>
      <c r="L1962" t="s">
        <v>26</v>
      </c>
      <c r="M1962" s="2">
        <v>7</v>
      </c>
      <c r="N1962" t="s">
        <v>21</v>
      </c>
    </row>
    <row r="1963" spans="1:14" x14ac:dyDescent="0.3">
      <c r="A1963" t="s">
        <v>1999</v>
      </c>
      <c r="B1963" s="2">
        <v>28</v>
      </c>
      <c r="C1963" t="s">
        <v>16</v>
      </c>
      <c r="D1963" t="s">
        <v>24</v>
      </c>
      <c r="E1963" t="s">
        <v>18</v>
      </c>
      <c r="F1963" s="3">
        <v>45890</v>
      </c>
      <c r="G1963" s="3">
        <v>46096</v>
      </c>
      <c r="H1963" s="2">
        <v>3</v>
      </c>
      <c r="I1963" s="1">
        <v>97.74</v>
      </c>
      <c r="J1963" s="1">
        <v>32.58</v>
      </c>
      <c r="K1963" t="s">
        <v>35</v>
      </c>
      <c r="L1963" t="s">
        <v>20</v>
      </c>
      <c r="M1963" s="2">
        <v>8</v>
      </c>
      <c r="N1963" t="s">
        <v>21</v>
      </c>
    </row>
    <row r="1964" spans="1:14" x14ac:dyDescent="0.3">
      <c r="A1964" t="s">
        <v>2000</v>
      </c>
      <c r="B1964" s="2">
        <v>23</v>
      </c>
      <c r="C1964" t="s">
        <v>23</v>
      </c>
      <c r="D1964" t="s">
        <v>24</v>
      </c>
      <c r="E1964" t="s">
        <v>18</v>
      </c>
      <c r="F1964" s="3">
        <v>45465</v>
      </c>
      <c r="G1964" s="3">
        <v>45545</v>
      </c>
      <c r="H1964" s="2">
        <v>4</v>
      </c>
      <c r="I1964" s="1">
        <v>96.72</v>
      </c>
      <c r="J1964" s="1">
        <v>24.18</v>
      </c>
      <c r="K1964" t="s">
        <v>35</v>
      </c>
      <c r="L1964" t="s">
        <v>26</v>
      </c>
      <c r="M1964" s="2">
        <v>7</v>
      </c>
      <c r="N1964" t="s">
        <v>21</v>
      </c>
    </row>
    <row r="1965" spans="1:14" x14ac:dyDescent="0.3">
      <c r="A1965" t="s">
        <v>2001</v>
      </c>
      <c r="B1965" s="2">
        <v>47</v>
      </c>
      <c r="C1965" t="s">
        <v>16</v>
      </c>
      <c r="D1965" t="s">
        <v>24</v>
      </c>
      <c r="E1965" t="s">
        <v>29</v>
      </c>
      <c r="F1965" s="3">
        <v>45990</v>
      </c>
      <c r="G1965" s="3">
        <v>46014</v>
      </c>
      <c r="H1965" s="2">
        <v>2</v>
      </c>
      <c r="I1965" s="1">
        <v>95.76</v>
      </c>
      <c r="J1965" s="1">
        <v>47.88</v>
      </c>
      <c r="K1965" t="s">
        <v>35</v>
      </c>
      <c r="L1965" t="s">
        <v>26</v>
      </c>
      <c r="M1965" s="2">
        <v>1</v>
      </c>
      <c r="N1965" t="s">
        <v>21</v>
      </c>
    </row>
    <row r="1966" spans="1:14" x14ac:dyDescent="0.3">
      <c r="A1966" t="s">
        <v>2002</v>
      </c>
      <c r="B1966" s="2">
        <v>39</v>
      </c>
      <c r="C1966" t="s">
        <v>16</v>
      </c>
      <c r="D1966" t="s">
        <v>24</v>
      </c>
      <c r="E1966" t="s">
        <v>38</v>
      </c>
      <c r="F1966" s="3">
        <v>45612</v>
      </c>
      <c r="G1966" s="3">
        <v>45627</v>
      </c>
      <c r="H1966" s="2">
        <v>2</v>
      </c>
      <c r="I1966" s="1">
        <v>93.64</v>
      </c>
      <c r="J1966" s="1">
        <v>46.82</v>
      </c>
      <c r="K1966" t="s">
        <v>25</v>
      </c>
      <c r="L1966" t="s">
        <v>20</v>
      </c>
      <c r="M1966" s="2">
        <v>8</v>
      </c>
      <c r="N1966" t="s">
        <v>21</v>
      </c>
    </row>
    <row r="1967" spans="1:14" x14ac:dyDescent="0.3">
      <c r="A1967" t="s">
        <v>2003</v>
      </c>
      <c r="B1967" s="2">
        <v>50</v>
      </c>
      <c r="C1967" t="s">
        <v>16</v>
      </c>
      <c r="D1967" t="s">
        <v>17</v>
      </c>
      <c r="E1967" t="s">
        <v>34</v>
      </c>
      <c r="F1967" s="3">
        <v>45631</v>
      </c>
      <c r="G1967" s="3">
        <v>45851</v>
      </c>
      <c r="H1967" s="2">
        <v>4</v>
      </c>
      <c r="I1967" s="1">
        <v>91.8</v>
      </c>
      <c r="J1967" s="1">
        <v>22.95</v>
      </c>
      <c r="K1967" t="s">
        <v>35</v>
      </c>
      <c r="L1967" t="s">
        <v>26</v>
      </c>
      <c r="M1967" s="2">
        <v>10</v>
      </c>
      <c r="N1967" t="s">
        <v>21</v>
      </c>
    </row>
    <row r="1968" spans="1:14" x14ac:dyDescent="0.3">
      <c r="A1968" t="s">
        <v>2004</v>
      </c>
      <c r="B1968" s="2">
        <v>26</v>
      </c>
      <c r="C1968" t="s">
        <v>23</v>
      </c>
      <c r="D1968" t="s">
        <v>42</v>
      </c>
      <c r="E1968" t="s">
        <v>29</v>
      </c>
      <c r="F1968" s="3">
        <v>45890</v>
      </c>
      <c r="G1968" s="3">
        <v>45930</v>
      </c>
      <c r="H1968" s="2">
        <v>1</v>
      </c>
      <c r="I1968" s="1">
        <v>89.61</v>
      </c>
      <c r="J1968" s="1">
        <v>89.61</v>
      </c>
      <c r="K1968" t="s">
        <v>45</v>
      </c>
      <c r="L1968" t="s">
        <v>26</v>
      </c>
      <c r="M1968" s="2">
        <v>2</v>
      </c>
      <c r="N1968" t="s">
        <v>21</v>
      </c>
    </row>
    <row r="1969" spans="1:14" x14ac:dyDescent="0.3">
      <c r="A1969" t="s">
        <v>2005</v>
      </c>
      <c r="B1969" s="2">
        <v>47</v>
      </c>
      <c r="C1969" t="s">
        <v>23</v>
      </c>
      <c r="D1969" t="s">
        <v>61</v>
      </c>
      <c r="E1969" t="s">
        <v>38</v>
      </c>
      <c r="F1969" s="3">
        <v>45445</v>
      </c>
      <c r="G1969" s="3">
        <v>45543</v>
      </c>
      <c r="H1969" s="2">
        <v>1</v>
      </c>
      <c r="I1969" s="1">
        <v>88.76</v>
      </c>
      <c r="J1969" s="1">
        <v>88.76</v>
      </c>
      <c r="K1969" t="s">
        <v>35</v>
      </c>
      <c r="L1969" t="s">
        <v>20</v>
      </c>
      <c r="M1969" s="2">
        <v>1</v>
      </c>
      <c r="N1969" t="s">
        <v>21</v>
      </c>
    </row>
    <row r="1970" spans="1:14" x14ac:dyDescent="0.3">
      <c r="A1970" t="s">
        <v>2006</v>
      </c>
      <c r="B1970" s="2">
        <v>45</v>
      </c>
      <c r="C1970" t="s">
        <v>23</v>
      </c>
      <c r="D1970" t="s">
        <v>17</v>
      </c>
      <c r="E1970" t="s">
        <v>29</v>
      </c>
      <c r="F1970" s="3">
        <v>45517</v>
      </c>
      <c r="G1970" s="3">
        <v>45660</v>
      </c>
      <c r="H1970" s="2">
        <v>4</v>
      </c>
      <c r="I1970" s="1">
        <v>83.56</v>
      </c>
      <c r="J1970" s="1">
        <v>20.89</v>
      </c>
      <c r="K1970" t="s">
        <v>25</v>
      </c>
      <c r="L1970" t="s">
        <v>30</v>
      </c>
      <c r="M1970" s="2">
        <v>2</v>
      </c>
      <c r="N1970" t="s">
        <v>21</v>
      </c>
    </row>
    <row r="1971" spans="1:14" x14ac:dyDescent="0.3">
      <c r="A1971" t="s">
        <v>2007</v>
      </c>
      <c r="B1971" s="2">
        <v>43</v>
      </c>
      <c r="C1971" t="s">
        <v>16</v>
      </c>
      <c r="D1971" t="s">
        <v>24</v>
      </c>
      <c r="E1971" t="s">
        <v>18</v>
      </c>
      <c r="F1971" s="3">
        <v>45656</v>
      </c>
      <c r="G1971" s="3">
        <v>45825</v>
      </c>
      <c r="H1971" s="2">
        <v>4</v>
      </c>
      <c r="I1971" s="1">
        <v>83.44</v>
      </c>
      <c r="J1971" s="1">
        <v>20.86</v>
      </c>
      <c r="K1971" t="s">
        <v>19</v>
      </c>
      <c r="L1971" t="s">
        <v>26</v>
      </c>
      <c r="M1971" s="2">
        <v>4</v>
      </c>
      <c r="N1971" t="s">
        <v>21</v>
      </c>
    </row>
    <row r="1972" spans="1:14" x14ac:dyDescent="0.3">
      <c r="A1972" t="s">
        <v>2008</v>
      </c>
      <c r="B1972" s="2">
        <v>26</v>
      </c>
      <c r="C1972" t="s">
        <v>16</v>
      </c>
      <c r="D1972" t="s">
        <v>42</v>
      </c>
      <c r="E1972" t="s">
        <v>38</v>
      </c>
      <c r="F1972" s="3">
        <v>45674</v>
      </c>
      <c r="G1972" s="3">
        <v>45726</v>
      </c>
      <c r="H1972" s="2">
        <v>1</v>
      </c>
      <c r="I1972" s="1">
        <v>82.72</v>
      </c>
      <c r="J1972" s="1">
        <v>82.72</v>
      </c>
      <c r="K1972" t="s">
        <v>25</v>
      </c>
      <c r="L1972" t="s">
        <v>30</v>
      </c>
      <c r="M1972" s="2">
        <v>2</v>
      </c>
      <c r="N1972" t="s">
        <v>21</v>
      </c>
    </row>
    <row r="1973" spans="1:14" x14ac:dyDescent="0.3">
      <c r="A1973" t="s">
        <v>2009</v>
      </c>
      <c r="B1973" s="2">
        <v>25</v>
      </c>
      <c r="C1973" t="s">
        <v>23</v>
      </c>
      <c r="D1973" t="s">
        <v>24</v>
      </c>
      <c r="E1973" t="s">
        <v>34</v>
      </c>
      <c r="F1973" s="3">
        <v>45646</v>
      </c>
      <c r="G1973" s="3">
        <v>45714</v>
      </c>
      <c r="H1973" s="2">
        <v>2</v>
      </c>
      <c r="I1973" s="1">
        <v>82.7</v>
      </c>
      <c r="J1973" s="1">
        <v>41.35</v>
      </c>
      <c r="K1973" t="s">
        <v>25</v>
      </c>
      <c r="L1973" t="s">
        <v>30</v>
      </c>
      <c r="M1973" s="2">
        <v>7</v>
      </c>
      <c r="N1973" t="s">
        <v>21</v>
      </c>
    </row>
    <row r="1974" spans="1:14" x14ac:dyDescent="0.3">
      <c r="A1974" t="s">
        <v>2010</v>
      </c>
      <c r="B1974" s="2">
        <v>40</v>
      </c>
      <c r="C1974" t="s">
        <v>16</v>
      </c>
      <c r="D1974" t="s">
        <v>50</v>
      </c>
      <c r="E1974" t="s">
        <v>34</v>
      </c>
      <c r="F1974" s="3">
        <v>45860</v>
      </c>
      <c r="G1974" s="3">
        <v>46134</v>
      </c>
      <c r="H1974" s="2">
        <v>1</v>
      </c>
      <c r="I1974" s="1">
        <v>78.31</v>
      </c>
      <c r="J1974" s="1">
        <v>78.31</v>
      </c>
      <c r="K1974" t="s">
        <v>39</v>
      </c>
      <c r="L1974" t="s">
        <v>26</v>
      </c>
      <c r="M1974" s="2">
        <v>7</v>
      </c>
      <c r="N1974" t="s">
        <v>21</v>
      </c>
    </row>
    <row r="1975" spans="1:14" x14ac:dyDescent="0.3">
      <c r="A1975" t="s">
        <v>2011</v>
      </c>
      <c r="B1975" s="2">
        <v>26</v>
      </c>
      <c r="C1975" t="s">
        <v>23</v>
      </c>
      <c r="D1975" t="s">
        <v>42</v>
      </c>
      <c r="E1975" t="s">
        <v>34</v>
      </c>
      <c r="F1975" s="3">
        <v>45905</v>
      </c>
      <c r="G1975" s="3">
        <v>45933</v>
      </c>
      <c r="H1975" s="2">
        <v>1</v>
      </c>
      <c r="I1975" s="1">
        <v>77.239999999999995</v>
      </c>
      <c r="J1975" s="1">
        <v>77.239999999999995</v>
      </c>
      <c r="K1975" t="s">
        <v>39</v>
      </c>
      <c r="L1975" t="s">
        <v>30</v>
      </c>
      <c r="M1975" s="2">
        <v>8</v>
      </c>
      <c r="N1975" t="s">
        <v>21</v>
      </c>
    </row>
    <row r="1976" spans="1:14" x14ac:dyDescent="0.3">
      <c r="A1976" t="s">
        <v>2012</v>
      </c>
      <c r="B1976" s="2">
        <v>50</v>
      </c>
      <c r="C1976" t="s">
        <v>23</v>
      </c>
      <c r="D1976" t="s">
        <v>28</v>
      </c>
      <c r="E1976" t="s">
        <v>29</v>
      </c>
      <c r="F1976" s="3">
        <v>45427</v>
      </c>
      <c r="G1976" s="3">
        <v>45482</v>
      </c>
      <c r="H1976" s="2">
        <v>1</v>
      </c>
      <c r="I1976" s="1">
        <v>76.66</v>
      </c>
      <c r="J1976" s="1">
        <v>76.66</v>
      </c>
      <c r="K1976" t="s">
        <v>19</v>
      </c>
      <c r="L1976" t="s">
        <v>30</v>
      </c>
      <c r="M1976" s="2">
        <v>3</v>
      </c>
      <c r="N1976" t="s">
        <v>21</v>
      </c>
    </row>
    <row r="1977" spans="1:14" x14ac:dyDescent="0.3">
      <c r="A1977" t="s">
        <v>2013</v>
      </c>
      <c r="B1977" s="2">
        <v>18</v>
      </c>
      <c r="C1977" t="s">
        <v>16</v>
      </c>
      <c r="D1977" t="s">
        <v>44</v>
      </c>
      <c r="E1977" t="s">
        <v>34</v>
      </c>
      <c r="F1977" s="3">
        <v>45713</v>
      </c>
      <c r="G1977" s="3">
        <v>45938</v>
      </c>
      <c r="H1977" s="2">
        <v>2</v>
      </c>
      <c r="I1977" s="1">
        <v>75.459999999999994</v>
      </c>
      <c r="J1977" s="1">
        <v>37.729999999999997</v>
      </c>
      <c r="K1977" t="s">
        <v>19</v>
      </c>
      <c r="L1977" t="s">
        <v>20</v>
      </c>
      <c r="M1977" s="2">
        <v>10</v>
      </c>
      <c r="N1977" t="s">
        <v>21</v>
      </c>
    </row>
    <row r="1978" spans="1:14" x14ac:dyDescent="0.3">
      <c r="A1978" t="s">
        <v>2014</v>
      </c>
      <c r="B1978" s="2">
        <v>62</v>
      </c>
      <c r="C1978" t="s">
        <v>16</v>
      </c>
      <c r="D1978" t="s">
        <v>28</v>
      </c>
      <c r="E1978" t="s">
        <v>18</v>
      </c>
      <c r="F1978" s="3">
        <v>45420</v>
      </c>
      <c r="G1978" s="3">
        <v>45489</v>
      </c>
      <c r="H1978" s="2">
        <v>1</v>
      </c>
      <c r="I1978" s="1">
        <v>73.42</v>
      </c>
      <c r="J1978" s="1">
        <v>73.42</v>
      </c>
      <c r="K1978" t="s">
        <v>25</v>
      </c>
      <c r="L1978" t="s">
        <v>26</v>
      </c>
      <c r="M1978" s="2">
        <v>3</v>
      </c>
      <c r="N1978" t="s">
        <v>21</v>
      </c>
    </row>
    <row r="1979" spans="1:14" x14ac:dyDescent="0.3">
      <c r="A1979" t="s">
        <v>2015</v>
      </c>
      <c r="B1979" s="2">
        <v>60</v>
      </c>
      <c r="C1979" t="s">
        <v>23</v>
      </c>
      <c r="D1979" t="s">
        <v>24</v>
      </c>
      <c r="E1979" t="s">
        <v>29</v>
      </c>
      <c r="F1979" s="3">
        <v>45639</v>
      </c>
      <c r="G1979" s="3">
        <v>45818</v>
      </c>
      <c r="H1979" s="2">
        <v>1</v>
      </c>
      <c r="I1979" s="1">
        <v>70.790000000000006</v>
      </c>
      <c r="J1979" s="1">
        <v>70.790000000000006</v>
      </c>
      <c r="K1979" t="s">
        <v>39</v>
      </c>
      <c r="L1979" t="s">
        <v>30</v>
      </c>
      <c r="M1979" s="2">
        <v>9</v>
      </c>
      <c r="N1979" t="s">
        <v>31</v>
      </c>
    </row>
    <row r="1980" spans="1:14" x14ac:dyDescent="0.3">
      <c r="A1980" t="s">
        <v>2016</v>
      </c>
      <c r="B1980" s="2">
        <v>35</v>
      </c>
      <c r="C1980" t="s">
        <v>23</v>
      </c>
      <c r="D1980" t="s">
        <v>50</v>
      </c>
      <c r="E1980" t="s">
        <v>38</v>
      </c>
      <c r="F1980" s="3">
        <v>45896</v>
      </c>
      <c r="G1980" s="3">
        <v>46088</v>
      </c>
      <c r="H1980" s="2">
        <v>3</v>
      </c>
      <c r="I1980" s="1">
        <v>65.550000000000011</v>
      </c>
      <c r="J1980" s="1">
        <v>21.85</v>
      </c>
      <c r="K1980" t="s">
        <v>19</v>
      </c>
      <c r="L1980" t="s">
        <v>30</v>
      </c>
      <c r="M1980" s="2">
        <v>4</v>
      </c>
      <c r="N1980" t="s">
        <v>21</v>
      </c>
    </row>
    <row r="1981" spans="1:14" x14ac:dyDescent="0.3">
      <c r="A1981" t="s">
        <v>2017</v>
      </c>
      <c r="B1981" s="2">
        <v>48</v>
      </c>
      <c r="C1981" t="s">
        <v>23</v>
      </c>
      <c r="D1981" t="s">
        <v>17</v>
      </c>
      <c r="E1981" t="s">
        <v>29</v>
      </c>
      <c r="F1981" s="3">
        <v>45751</v>
      </c>
      <c r="G1981" s="3">
        <v>45974</v>
      </c>
      <c r="H1981" s="2">
        <v>1</v>
      </c>
      <c r="I1981" s="1">
        <v>65.17</v>
      </c>
      <c r="J1981" s="1">
        <v>65.17</v>
      </c>
      <c r="K1981" t="s">
        <v>19</v>
      </c>
      <c r="L1981" t="s">
        <v>30</v>
      </c>
      <c r="M1981" s="2">
        <v>10</v>
      </c>
      <c r="N1981" t="s">
        <v>21</v>
      </c>
    </row>
    <row r="1982" spans="1:14" x14ac:dyDescent="0.3">
      <c r="A1982" t="s">
        <v>2018</v>
      </c>
      <c r="B1982" s="2">
        <v>50</v>
      </c>
      <c r="C1982" t="s">
        <v>23</v>
      </c>
      <c r="D1982" t="s">
        <v>44</v>
      </c>
      <c r="E1982" t="s">
        <v>38</v>
      </c>
      <c r="F1982" s="3">
        <v>45963</v>
      </c>
      <c r="G1982" s="3">
        <v>46170</v>
      </c>
      <c r="H1982" s="2">
        <v>1</v>
      </c>
      <c r="I1982" s="1">
        <v>65.05</v>
      </c>
      <c r="J1982" s="1">
        <v>65.05</v>
      </c>
      <c r="K1982" t="s">
        <v>39</v>
      </c>
      <c r="L1982" t="s">
        <v>26</v>
      </c>
      <c r="M1982" s="2">
        <v>7</v>
      </c>
      <c r="N1982" t="s">
        <v>31</v>
      </c>
    </row>
    <row r="1983" spans="1:14" x14ac:dyDescent="0.3">
      <c r="A1983" t="s">
        <v>2019</v>
      </c>
      <c r="B1983" s="2">
        <v>27</v>
      </c>
      <c r="C1983" t="s">
        <v>16</v>
      </c>
      <c r="D1983" t="s">
        <v>28</v>
      </c>
      <c r="E1983" t="s">
        <v>34</v>
      </c>
      <c r="F1983" s="3">
        <v>45623</v>
      </c>
      <c r="G1983" s="3">
        <v>45653</v>
      </c>
      <c r="H1983" s="2">
        <v>1</v>
      </c>
      <c r="I1983" s="1">
        <v>61.36</v>
      </c>
      <c r="J1983" s="1">
        <v>61.36</v>
      </c>
      <c r="K1983" t="s">
        <v>39</v>
      </c>
      <c r="L1983" t="s">
        <v>26</v>
      </c>
      <c r="M1983" s="2">
        <v>7</v>
      </c>
      <c r="N1983" t="s">
        <v>21</v>
      </c>
    </row>
    <row r="1984" spans="1:14" x14ac:dyDescent="0.3">
      <c r="A1984" t="s">
        <v>2020</v>
      </c>
      <c r="B1984" s="2">
        <v>25</v>
      </c>
      <c r="C1984" t="s">
        <v>16</v>
      </c>
      <c r="D1984" t="s">
        <v>50</v>
      </c>
      <c r="E1984" t="s">
        <v>29</v>
      </c>
      <c r="F1984" s="3">
        <v>45497</v>
      </c>
      <c r="G1984" s="3">
        <v>45555</v>
      </c>
      <c r="H1984" s="2">
        <v>3</v>
      </c>
      <c r="I1984" s="1">
        <v>60.03</v>
      </c>
      <c r="J1984" s="1">
        <v>20.010000000000002</v>
      </c>
      <c r="K1984" t="s">
        <v>39</v>
      </c>
      <c r="L1984" t="s">
        <v>26</v>
      </c>
      <c r="M1984" s="2">
        <v>1</v>
      </c>
      <c r="N1984" t="s">
        <v>21</v>
      </c>
    </row>
    <row r="1985" spans="1:14" x14ac:dyDescent="0.3">
      <c r="A1985" t="s">
        <v>2021</v>
      </c>
      <c r="B1985" s="2">
        <v>21</v>
      </c>
      <c r="C1985" t="s">
        <v>23</v>
      </c>
      <c r="D1985" t="s">
        <v>24</v>
      </c>
      <c r="E1985" t="s">
        <v>34</v>
      </c>
      <c r="F1985" s="3">
        <v>45368</v>
      </c>
      <c r="G1985" s="3">
        <v>45447</v>
      </c>
      <c r="H1985" s="2">
        <v>1</v>
      </c>
      <c r="I1985" s="1">
        <v>59.44</v>
      </c>
      <c r="J1985" s="1">
        <v>59.44</v>
      </c>
      <c r="K1985" t="s">
        <v>19</v>
      </c>
      <c r="L1985" t="s">
        <v>30</v>
      </c>
      <c r="M1985" s="2">
        <v>8</v>
      </c>
      <c r="N1985" t="s">
        <v>21</v>
      </c>
    </row>
    <row r="1986" spans="1:14" x14ac:dyDescent="0.3">
      <c r="A1986" t="s">
        <v>2022</v>
      </c>
      <c r="B1986" s="2">
        <v>49</v>
      </c>
      <c r="C1986" t="s">
        <v>23</v>
      </c>
      <c r="D1986" t="s">
        <v>42</v>
      </c>
      <c r="E1986" t="s">
        <v>29</v>
      </c>
      <c r="F1986" s="3">
        <v>45652</v>
      </c>
      <c r="G1986" s="3">
        <v>45725</v>
      </c>
      <c r="H1986" s="2">
        <v>1</v>
      </c>
      <c r="I1986" s="1">
        <v>58.35</v>
      </c>
      <c r="J1986" s="1">
        <v>58.35</v>
      </c>
      <c r="K1986" t="s">
        <v>39</v>
      </c>
      <c r="L1986" t="s">
        <v>30</v>
      </c>
      <c r="M1986" s="2">
        <v>3</v>
      </c>
      <c r="N1986" t="s">
        <v>21</v>
      </c>
    </row>
    <row r="1987" spans="1:14" x14ac:dyDescent="0.3">
      <c r="A1987" t="s">
        <v>2023</v>
      </c>
      <c r="B1987" s="2">
        <v>43</v>
      </c>
      <c r="C1987" t="s">
        <v>16</v>
      </c>
      <c r="D1987" t="s">
        <v>50</v>
      </c>
      <c r="E1987" t="s">
        <v>29</v>
      </c>
      <c r="F1987" s="3">
        <v>45930</v>
      </c>
      <c r="G1987" s="3">
        <v>46049</v>
      </c>
      <c r="H1987" s="2">
        <v>1</v>
      </c>
      <c r="I1987" s="1">
        <v>58.16</v>
      </c>
      <c r="J1987" s="1">
        <v>58.16</v>
      </c>
      <c r="K1987" t="s">
        <v>39</v>
      </c>
      <c r="L1987" t="s">
        <v>30</v>
      </c>
      <c r="M1987" s="2">
        <v>1</v>
      </c>
      <c r="N1987" t="s">
        <v>31</v>
      </c>
    </row>
    <row r="1988" spans="1:14" x14ac:dyDescent="0.3">
      <c r="A1988" t="s">
        <v>2024</v>
      </c>
      <c r="B1988" s="2">
        <v>54</v>
      </c>
      <c r="C1988" t="s">
        <v>23</v>
      </c>
      <c r="D1988" t="s">
        <v>28</v>
      </c>
      <c r="E1988" t="s">
        <v>29</v>
      </c>
      <c r="F1988" s="3">
        <v>45789</v>
      </c>
      <c r="G1988" s="3">
        <v>45792</v>
      </c>
      <c r="H1988" s="2">
        <v>2</v>
      </c>
      <c r="I1988" s="1">
        <v>53.86</v>
      </c>
      <c r="J1988" s="1">
        <v>26.93</v>
      </c>
      <c r="K1988" t="s">
        <v>45</v>
      </c>
      <c r="L1988" t="s">
        <v>20</v>
      </c>
      <c r="M1988" s="2">
        <v>10</v>
      </c>
      <c r="N1988" t="s">
        <v>21</v>
      </c>
    </row>
    <row r="1989" spans="1:14" x14ac:dyDescent="0.3">
      <c r="A1989" t="s">
        <v>2025</v>
      </c>
      <c r="B1989" s="2">
        <v>29</v>
      </c>
      <c r="C1989" t="s">
        <v>16</v>
      </c>
      <c r="D1989" t="s">
        <v>42</v>
      </c>
      <c r="E1989" t="s">
        <v>29</v>
      </c>
      <c r="F1989" s="3">
        <v>45779</v>
      </c>
      <c r="G1989" s="3">
        <v>46036</v>
      </c>
      <c r="H1989" s="2">
        <v>1</v>
      </c>
      <c r="I1989" s="1">
        <v>53.68</v>
      </c>
      <c r="J1989" s="1">
        <v>53.68</v>
      </c>
      <c r="K1989" t="s">
        <v>25</v>
      </c>
      <c r="L1989" t="s">
        <v>20</v>
      </c>
      <c r="M1989" s="2">
        <v>10</v>
      </c>
      <c r="N1989" t="s">
        <v>21</v>
      </c>
    </row>
    <row r="1990" spans="1:14" x14ac:dyDescent="0.3">
      <c r="A1990" t="s">
        <v>2026</v>
      </c>
      <c r="B1990" s="2">
        <v>22</v>
      </c>
      <c r="C1990" t="s">
        <v>23</v>
      </c>
      <c r="D1990" t="s">
        <v>61</v>
      </c>
      <c r="E1990" t="s">
        <v>38</v>
      </c>
      <c r="F1990" s="3">
        <v>45952</v>
      </c>
      <c r="G1990" s="3">
        <v>46077</v>
      </c>
      <c r="H1990" s="2">
        <v>1</v>
      </c>
      <c r="I1990" s="1">
        <v>53.42</v>
      </c>
      <c r="J1990" s="1">
        <v>53.42</v>
      </c>
      <c r="K1990" t="s">
        <v>19</v>
      </c>
      <c r="L1990" t="s">
        <v>26</v>
      </c>
      <c r="M1990" s="2">
        <v>5</v>
      </c>
      <c r="N1990" t="s">
        <v>21</v>
      </c>
    </row>
    <row r="1991" spans="1:14" x14ac:dyDescent="0.3">
      <c r="A1991" t="s">
        <v>2027</v>
      </c>
      <c r="B1991" s="2">
        <v>29</v>
      </c>
      <c r="C1991" t="s">
        <v>16</v>
      </c>
      <c r="D1991" t="s">
        <v>28</v>
      </c>
      <c r="E1991" t="s">
        <v>38</v>
      </c>
      <c r="F1991" s="3">
        <v>45375</v>
      </c>
      <c r="G1991" s="3">
        <v>45632</v>
      </c>
      <c r="H1991" s="2">
        <v>1</v>
      </c>
      <c r="I1991" s="1">
        <v>51.9</v>
      </c>
      <c r="J1991" s="1">
        <v>51.9</v>
      </c>
      <c r="K1991" t="s">
        <v>39</v>
      </c>
      <c r="L1991" t="s">
        <v>30</v>
      </c>
      <c r="M1991" s="2">
        <v>7</v>
      </c>
      <c r="N1991" t="s">
        <v>21</v>
      </c>
    </row>
    <row r="1992" spans="1:14" x14ac:dyDescent="0.3">
      <c r="A1992" t="s">
        <v>2028</v>
      </c>
      <c r="B1992" s="2">
        <v>42</v>
      </c>
      <c r="C1992" t="s">
        <v>16</v>
      </c>
      <c r="D1992" t="s">
        <v>17</v>
      </c>
      <c r="E1992" t="s">
        <v>18</v>
      </c>
      <c r="F1992" s="3">
        <v>45703</v>
      </c>
      <c r="G1992" s="3">
        <v>45884</v>
      </c>
      <c r="H1992" s="2">
        <v>1</v>
      </c>
      <c r="I1992" s="1">
        <v>48.37</v>
      </c>
      <c r="J1992" s="1">
        <v>48.37</v>
      </c>
      <c r="K1992" t="s">
        <v>35</v>
      </c>
      <c r="L1992" t="s">
        <v>30</v>
      </c>
      <c r="M1992" s="2">
        <v>3</v>
      </c>
      <c r="N1992" t="s">
        <v>21</v>
      </c>
    </row>
    <row r="1993" spans="1:14" x14ac:dyDescent="0.3">
      <c r="A1993" t="s">
        <v>2029</v>
      </c>
      <c r="B1993" s="2">
        <v>57</v>
      </c>
      <c r="C1993" t="s">
        <v>23</v>
      </c>
      <c r="D1993" t="s">
        <v>28</v>
      </c>
      <c r="E1993" t="s">
        <v>29</v>
      </c>
      <c r="F1993" s="3">
        <v>45612</v>
      </c>
      <c r="G1993" s="3">
        <v>45894</v>
      </c>
      <c r="H1993" s="2">
        <v>2</v>
      </c>
      <c r="I1993" s="1">
        <v>47.26</v>
      </c>
      <c r="J1993" s="1">
        <v>23.63</v>
      </c>
      <c r="K1993" t="s">
        <v>45</v>
      </c>
      <c r="L1993" t="s">
        <v>20</v>
      </c>
      <c r="M1993" s="2">
        <v>9</v>
      </c>
      <c r="N1993" t="s">
        <v>21</v>
      </c>
    </row>
    <row r="1994" spans="1:14" x14ac:dyDescent="0.3">
      <c r="A1994" t="s">
        <v>2030</v>
      </c>
      <c r="B1994" s="2">
        <v>52</v>
      </c>
      <c r="C1994" t="s">
        <v>16</v>
      </c>
      <c r="D1994" t="s">
        <v>24</v>
      </c>
      <c r="E1994" t="s">
        <v>38</v>
      </c>
      <c r="F1994" s="3">
        <v>45821</v>
      </c>
      <c r="G1994" s="3">
        <v>46019</v>
      </c>
      <c r="H1994" s="2">
        <v>2</v>
      </c>
      <c r="I1994" s="1">
        <v>43.42</v>
      </c>
      <c r="J1994" s="1">
        <v>21.71</v>
      </c>
      <c r="K1994" t="s">
        <v>19</v>
      </c>
      <c r="L1994" t="s">
        <v>20</v>
      </c>
      <c r="M1994" s="2">
        <v>7</v>
      </c>
      <c r="N1994" t="s">
        <v>21</v>
      </c>
    </row>
    <row r="1995" spans="1:14" x14ac:dyDescent="0.3">
      <c r="A1995" t="s">
        <v>2031</v>
      </c>
      <c r="B1995" s="2">
        <v>60</v>
      </c>
      <c r="C1995" t="s">
        <v>23</v>
      </c>
      <c r="D1995" t="s">
        <v>50</v>
      </c>
      <c r="E1995" t="s">
        <v>18</v>
      </c>
      <c r="F1995" s="3">
        <v>45431</v>
      </c>
      <c r="G1995" s="3">
        <v>45584</v>
      </c>
      <c r="H1995" s="2">
        <v>1</v>
      </c>
      <c r="I1995" s="1">
        <v>40.96</v>
      </c>
      <c r="J1995" s="1">
        <v>40.96</v>
      </c>
      <c r="K1995" t="s">
        <v>39</v>
      </c>
      <c r="L1995" t="s">
        <v>26</v>
      </c>
      <c r="M1995" s="2">
        <v>3</v>
      </c>
      <c r="N1995" t="s">
        <v>21</v>
      </c>
    </row>
    <row r="1996" spans="1:14" x14ac:dyDescent="0.3">
      <c r="A1996" t="s">
        <v>2032</v>
      </c>
      <c r="B1996" s="2">
        <v>41</v>
      </c>
      <c r="C1996" t="s">
        <v>16</v>
      </c>
      <c r="D1996" t="s">
        <v>42</v>
      </c>
      <c r="E1996" t="s">
        <v>29</v>
      </c>
      <c r="F1996" s="3">
        <v>45780</v>
      </c>
      <c r="G1996" s="3">
        <v>45976</v>
      </c>
      <c r="H1996" s="2">
        <v>1</v>
      </c>
      <c r="I1996" s="1">
        <v>30.56</v>
      </c>
      <c r="J1996" s="1">
        <v>30.56</v>
      </c>
      <c r="K1996" t="s">
        <v>39</v>
      </c>
      <c r="L1996" t="s">
        <v>20</v>
      </c>
      <c r="M1996" s="2">
        <v>1</v>
      </c>
      <c r="N1996" t="s">
        <v>21</v>
      </c>
    </row>
    <row r="1997" spans="1:14" x14ac:dyDescent="0.3">
      <c r="A1997" t="s">
        <v>2033</v>
      </c>
      <c r="B1997" s="2">
        <v>47</v>
      </c>
      <c r="C1997" t="s">
        <v>23</v>
      </c>
      <c r="D1997" t="s">
        <v>50</v>
      </c>
      <c r="E1997" t="s">
        <v>18</v>
      </c>
      <c r="F1997" s="3">
        <v>45986</v>
      </c>
      <c r="G1997" s="3">
        <v>46179</v>
      </c>
      <c r="H1997" s="2">
        <v>1</v>
      </c>
      <c r="I1997" s="1">
        <v>30.41</v>
      </c>
      <c r="J1997" s="1">
        <v>30.41</v>
      </c>
      <c r="K1997" t="s">
        <v>19</v>
      </c>
      <c r="L1997" t="s">
        <v>30</v>
      </c>
      <c r="M1997" s="2">
        <v>2</v>
      </c>
      <c r="N1997" t="s">
        <v>21</v>
      </c>
    </row>
    <row r="1998" spans="1:14" x14ac:dyDescent="0.3">
      <c r="A1998" t="s">
        <v>2034</v>
      </c>
      <c r="B1998" s="2">
        <v>29</v>
      </c>
      <c r="C1998" t="s">
        <v>16</v>
      </c>
      <c r="D1998" t="s">
        <v>24</v>
      </c>
      <c r="E1998" t="s">
        <v>34</v>
      </c>
      <c r="F1998" s="3">
        <v>45487</v>
      </c>
      <c r="G1998" s="3">
        <v>45499</v>
      </c>
      <c r="H1998" s="2">
        <v>1</v>
      </c>
      <c r="I1998" s="1">
        <v>28.71</v>
      </c>
      <c r="J1998" s="1">
        <v>28.71</v>
      </c>
      <c r="K1998" t="s">
        <v>35</v>
      </c>
      <c r="L1998" t="s">
        <v>30</v>
      </c>
      <c r="M1998" s="2">
        <v>7</v>
      </c>
      <c r="N1998" t="s">
        <v>31</v>
      </c>
    </row>
    <row r="1999" spans="1:14" x14ac:dyDescent="0.3">
      <c r="A1999" t="s">
        <v>2035</v>
      </c>
      <c r="B1999" s="2">
        <v>52</v>
      </c>
      <c r="C1999" t="s">
        <v>23</v>
      </c>
      <c r="D1999" t="s">
        <v>24</v>
      </c>
      <c r="E1999" t="s">
        <v>38</v>
      </c>
      <c r="F1999" s="3">
        <v>45856</v>
      </c>
      <c r="G1999" s="3">
        <v>46066</v>
      </c>
      <c r="H1999" s="2">
        <v>1</v>
      </c>
      <c r="I1999" s="1">
        <v>24.68</v>
      </c>
      <c r="J1999" s="1">
        <v>24.68</v>
      </c>
      <c r="K1999" t="s">
        <v>25</v>
      </c>
      <c r="L1999" t="s">
        <v>30</v>
      </c>
      <c r="M1999" s="2">
        <v>2</v>
      </c>
      <c r="N1999" t="s">
        <v>21</v>
      </c>
    </row>
    <row r="2000" spans="1:14" x14ac:dyDescent="0.3">
      <c r="A2000" t="s">
        <v>2036</v>
      </c>
      <c r="B2000" s="2">
        <v>27</v>
      </c>
      <c r="C2000" t="s">
        <v>23</v>
      </c>
      <c r="D2000" t="s">
        <v>28</v>
      </c>
      <c r="E2000" t="s">
        <v>29</v>
      </c>
      <c r="F2000" s="3">
        <v>45930</v>
      </c>
      <c r="G2000" s="3">
        <v>46129</v>
      </c>
      <c r="H2000" s="2">
        <v>1</v>
      </c>
      <c r="I2000" s="1">
        <v>22.39</v>
      </c>
      <c r="J2000" s="1">
        <v>22.39</v>
      </c>
      <c r="K2000" t="s">
        <v>19</v>
      </c>
      <c r="L2000" t="s">
        <v>20</v>
      </c>
      <c r="M2000" s="2">
        <v>6</v>
      </c>
      <c r="N2000" t="s">
        <v>21</v>
      </c>
    </row>
    <row r="2001" spans="1:14" x14ac:dyDescent="0.3">
      <c r="A2001" s="2">
        <v>43</v>
      </c>
      <c r="B2001" t="s">
        <v>16</v>
      </c>
      <c r="C2001" t="s">
        <v>42</v>
      </c>
      <c r="D2001" t="s">
        <v>34</v>
      </c>
      <c r="E2001" s="3">
        <v>45406</v>
      </c>
      <c r="F2001" s="3">
        <v>45639</v>
      </c>
      <c r="G2001" s="2">
        <v>1</v>
      </c>
      <c r="H2001" s="1">
        <v>22.03</v>
      </c>
      <c r="I2001" s="1">
        <v>22.03</v>
      </c>
      <c r="J2001" t="s">
        <v>45</v>
      </c>
      <c r="K2001" t="s">
        <v>30</v>
      </c>
      <c r="L2001" s="2">
        <v>7</v>
      </c>
      <c r="M2001" t="s">
        <v>21</v>
      </c>
      <c r="N2001" t="str">
        <f>IF(H2000&gt;=5000,"High Value",IF(H2000&gt;=1000,"Medium Value","Low Value"))</f>
        <v>Low Value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zoomScale="90" zoomScaleNormal="90" workbookViewId="0">
      <selection activeCell="B8" sqref="B8"/>
    </sheetView>
  </sheetViews>
  <sheetFormatPr defaultRowHeight="14.4" x14ac:dyDescent="0.3"/>
  <cols>
    <col min="1" max="1" width="20.77734375" bestFit="1" customWidth="1"/>
    <col min="2" max="2" width="19.88671875" bestFit="1" customWidth="1"/>
    <col min="3" max="3" width="15.33203125" bestFit="1" customWidth="1"/>
    <col min="4" max="4" width="14" customWidth="1"/>
    <col min="5" max="5" width="20.77734375" bestFit="1" customWidth="1"/>
    <col min="6" max="6" width="26.33203125" bestFit="1" customWidth="1"/>
    <col min="7" max="7" width="16.109375" bestFit="1" customWidth="1"/>
    <col min="8" max="8" width="16.21875" customWidth="1"/>
    <col min="9" max="9" width="20.77734375" bestFit="1" customWidth="1"/>
    <col min="10" max="10" width="19.88671875" bestFit="1" customWidth="1"/>
    <col min="11" max="11" width="16.109375" bestFit="1" customWidth="1"/>
    <col min="12" max="12" width="10.77734375" bestFit="1" customWidth="1"/>
  </cols>
  <sheetData>
    <row r="1" spans="1:12" x14ac:dyDescent="0.3">
      <c r="A1" s="17" t="s">
        <v>2037</v>
      </c>
      <c r="B1" s="17"/>
      <c r="C1" s="17"/>
      <c r="D1" s="17"/>
      <c r="E1" s="17" t="s">
        <v>2038</v>
      </c>
      <c r="F1" s="17"/>
      <c r="G1" s="17"/>
      <c r="H1" s="17"/>
      <c r="I1" s="17" t="s">
        <v>2039</v>
      </c>
      <c r="J1" s="17"/>
      <c r="K1" s="17"/>
      <c r="L1" s="17"/>
    </row>
    <row r="3" spans="1:12" x14ac:dyDescent="0.3">
      <c r="A3" s="11" t="s">
        <v>2040</v>
      </c>
      <c r="E3" s="11" t="s">
        <v>2041</v>
      </c>
      <c r="I3" s="11" t="s">
        <v>2042</v>
      </c>
    </row>
    <row r="4" spans="1:12" x14ac:dyDescent="0.3">
      <c r="A4" s="6" t="s">
        <v>2043</v>
      </c>
      <c r="B4" s="7" t="s">
        <v>2044</v>
      </c>
      <c r="C4" s="7" t="s">
        <v>2045</v>
      </c>
      <c r="E4" s="6" t="s">
        <v>2046</v>
      </c>
      <c r="F4" s="7" t="s">
        <v>2047</v>
      </c>
      <c r="G4" s="7" t="s">
        <v>2048</v>
      </c>
      <c r="I4" s="6" t="s">
        <v>2049</v>
      </c>
      <c r="J4" s="7" t="s">
        <v>2047</v>
      </c>
      <c r="K4" s="13" t="s">
        <v>2042</v>
      </c>
    </row>
    <row r="5" spans="1:12" x14ac:dyDescent="0.3">
      <c r="A5" s="8" t="s">
        <v>38</v>
      </c>
      <c r="B5" s="9">
        <v>942959.22999999975</v>
      </c>
      <c r="C5" s="10">
        <v>0.23084626037296699</v>
      </c>
      <c r="E5" s="8" t="s">
        <v>45</v>
      </c>
      <c r="F5" s="7">
        <v>379</v>
      </c>
      <c r="G5" s="10">
        <v>0.1895</v>
      </c>
      <c r="I5" s="8" t="s">
        <v>21</v>
      </c>
      <c r="J5" s="7">
        <v>1673</v>
      </c>
      <c r="K5" s="10">
        <f>GETPIVOTDATA("Customer_ID",$I$4,"Churn_Flag","No")/GETPIVOTDATA("Customer_ID",$I$4)</f>
        <v>0.83650000000000002</v>
      </c>
    </row>
    <row r="6" spans="1:12" x14ac:dyDescent="0.3">
      <c r="A6" s="8" t="s">
        <v>29</v>
      </c>
      <c r="B6" s="9">
        <v>983577.22000000009</v>
      </c>
      <c r="C6" s="10">
        <v>0.24078996822061871</v>
      </c>
      <c r="E6" s="8" t="s">
        <v>35</v>
      </c>
      <c r="F6" s="7">
        <v>388</v>
      </c>
      <c r="G6" s="10">
        <v>0.19400000000000001</v>
      </c>
      <c r="I6" s="8" t="s">
        <v>31</v>
      </c>
      <c r="J6" s="7">
        <v>327</v>
      </c>
      <c r="K6" s="10">
        <f>GETPIVOTDATA("Customer_ID",$I$4,"Churn_Flag","Yes")/GETPIVOTDATA("Customer_ID",$I$4)</f>
        <v>0.16350000000000001</v>
      </c>
    </row>
    <row r="7" spans="1:12" x14ac:dyDescent="0.3">
      <c r="A7" s="8" t="s">
        <v>34</v>
      </c>
      <c r="B7" s="9">
        <v>1037890.28</v>
      </c>
      <c r="C7" s="10">
        <v>0.25408637212814772</v>
      </c>
      <c r="E7" s="8" t="s">
        <v>25</v>
      </c>
      <c r="F7" s="7">
        <v>401</v>
      </c>
      <c r="G7" s="10">
        <v>0.20050000000000001</v>
      </c>
      <c r="I7" s="8" t="s">
        <v>2050</v>
      </c>
      <c r="J7" s="7">
        <v>2000</v>
      </c>
      <c r="K7" s="14">
        <f>SUM(K5:K6)</f>
        <v>1</v>
      </c>
    </row>
    <row r="8" spans="1:12" x14ac:dyDescent="0.3">
      <c r="A8" s="8" t="s">
        <v>18</v>
      </c>
      <c r="B8" s="9">
        <v>1120366.45</v>
      </c>
      <c r="C8" s="10">
        <v>0.27427739927826661</v>
      </c>
      <c r="E8" s="8" t="s">
        <v>19</v>
      </c>
      <c r="F8" s="7">
        <v>411</v>
      </c>
      <c r="G8" s="10">
        <v>0.20549999999999999</v>
      </c>
    </row>
    <row r="9" spans="1:12" x14ac:dyDescent="0.3">
      <c r="A9" s="8" t="s">
        <v>2050</v>
      </c>
      <c r="B9" s="9">
        <v>4084793.18</v>
      </c>
      <c r="C9" s="10">
        <v>1</v>
      </c>
      <c r="E9" s="8" t="s">
        <v>39</v>
      </c>
      <c r="F9" s="7">
        <v>421</v>
      </c>
      <c r="G9" s="10">
        <v>0.21049999999999999</v>
      </c>
    </row>
    <row r="10" spans="1:12" x14ac:dyDescent="0.3">
      <c r="E10" s="8" t="s">
        <v>2050</v>
      </c>
      <c r="F10" s="7">
        <v>2000</v>
      </c>
      <c r="G10" s="10">
        <v>1</v>
      </c>
    </row>
    <row r="12" spans="1:12" x14ac:dyDescent="0.3">
      <c r="A12" s="11" t="s">
        <v>2051</v>
      </c>
    </row>
    <row r="13" spans="1:12" x14ac:dyDescent="0.3">
      <c r="A13" s="6" t="s">
        <v>2043</v>
      </c>
      <c r="B13" s="7" t="s">
        <v>2047</v>
      </c>
      <c r="E13" s="11" t="s">
        <v>2052</v>
      </c>
      <c r="I13" s="11" t="s">
        <v>2053</v>
      </c>
    </row>
    <row r="14" spans="1:12" x14ac:dyDescent="0.3">
      <c r="A14" s="8" t="s">
        <v>38</v>
      </c>
      <c r="B14" s="7">
        <v>481</v>
      </c>
      <c r="E14" s="6" t="s">
        <v>2054</v>
      </c>
      <c r="F14" s="7" t="s">
        <v>2047</v>
      </c>
      <c r="I14" s="6" t="s">
        <v>2049</v>
      </c>
      <c r="J14" s="7" t="s">
        <v>2047</v>
      </c>
    </row>
    <row r="15" spans="1:12" x14ac:dyDescent="0.3">
      <c r="A15" s="8" t="s">
        <v>29</v>
      </c>
      <c r="B15" s="7">
        <v>493</v>
      </c>
      <c r="E15" s="8" t="s">
        <v>26</v>
      </c>
      <c r="F15" s="7">
        <v>649</v>
      </c>
      <c r="I15" s="8" t="s">
        <v>38</v>
      </c>
      <c r="J15" s="7">
        <v>481</v>
      </c>
    </row>
    <row r="16" spans="1:12" x14ac:dyDescent="0.3">
      <c r="A16" s="8" t="s">
        <v>34</v>
      </c>
      <c r="B16" s="7">
        <v>499</v>
      </c>
      <c r="E16" s="8" t="s">
        <v>20</v>
      </c>
      <c r="F16" s="7">
        <v>673</v>
      </c>
      <c r="I16" s="8" t="s">
        <v>34</v>
      </c>
      <c r="J16" s="7">
        <v>499</v>
      </c>
    </row>
    <row r="17" spans="1:12" x14ac:dyDescent="0.3">
      <c r="A17" s="8" t="s">
        <v>18</v>
      </c>
      <c r="B17" s="7">
        <v>527</v>
      </c>
      <c r="E17" s="8" t="s">
        <v>30</v>
      </c>
      <c r="F17" s="7">
        <v>678</v>
      </c>
      <c r="I17" s="8" t="s">
        <v>18</v>
      </c>
      <c r="J17" s="7">
        <v>527</v>
      </c>
    </row>
    <row r="18" spans="1:12" x14ac:dyDescent="0.3">
      <c r="A18" s="8" t="s">
        <v>2050</v>
      </c>
      <c r="B18" s="7">
        <v>2000</v>
      </c>
      <c r="E18" s="8" t="s">
        <v>2050</v>
      </c>
      <c r="F18" s="7">
        <v>2000</v>
      </c>
      <c r="I18" s="8" t="s">
        <v>29</v>
      </c>
      <c r="J18" s="7">
        <v>493</v>
      </c>
    </row>
    <row r="19" spans="1:12" x14ac:dyDescent="0.3">
      <c r="A19" s="5"/>
      <c r="I19" s="8" t="s">
        <v>2050</v>
      </c>
      <c r="J19" s="7">
        <v>2000</v>
      </c>
    </row>
    <row r="21" spans="1:12" ht="28.8" customHeight="1" x14ac:dyDescent="0.3">
      <c r="A21" s="11" t="s">
        <v>2055</v>
      </c>
      <c r="E21" s="12" t="s">
        <v>2056</v>
      </c>
      <c r="I21" s="11" t="s">
        <v>2057</v>
      </c>
    </row>
    <row r="22" spans="1:12" x14ac:dyDescent="0.3">
      <c r="A22" s="6" t="s">
        <v>14</v>
      </c>
      <c r="B22" s="7" t="s">
        <v>2047</v>
      </c>
      <c r="E22" s="6" t="s">
        <v>2043</v>
      </c>
      <c r="F22" s="7" t="s">
        <v>2058</v>
      </c>
      <c r="I22" s="6" t="s">
        <v>2047</v>
      </c>
      <c r="J22" s="6" t="s">
        <v>2059</v>
      </c>
      <c r="K22" s="7"/>
      <c r="L22" s="7"/>
    </row>
    <row r="23" spans="1:12" x14ac:dyDescent="0.3">
      <c r="A23" s="8" t="s">
        <v>2060</v>
      </c>
      <c r="B23" s="7">
        <v>142</v>
      </c>
      <c r="E23" s="8" t="s">
        <v>29</v>
      </c>
      <c r="F23" s="9">
        <v>76108.589999999967</v>
      </c>
      <c r="I23" s="6" t="s">
        <v>2049</v>
      </c>
      <c r="J23" s="7" t="s">
        <v>21</v>
      </c>
      <c r="K23" s="7" t="s">
        <v>31</v>
      </c>
      <c r="L23" s="7" t="s">
        <v>2050</v>
      </c>
    </row>
    <row r="24" spans="1:12" x14ac:dyDescent="0.3">
      <c r="A24" s="8" t="s">
        <v>2061</v>
      </c>
      <c r="B24" s="7">
        <v>689</v>
      </c>
      <c r="E24" s="8" t="s">
        <v>38</v>
      </c>
      <c r="F24" s="9">
        <v>77217.450000000012</v>
      </c>
      <c r="I24" s="15">
        <v>1</v>
      </c>
      <c r="J24" s="7">
        <v>175</v>
      </c>
      <c r="K24" s="7">
        <v>28</v>
      </c>
      <c r="L24" s="7">
        <v>203</v>
      </c>
    </row>
    <row r="25" spans="1:12" x14ac:dyDescent="0.3">
      <c r="A25" s="8" t="s">
        <v>2062</v>
      </c>
      <c r="B25" s="7">
        <v>1169</v>
      </c>
      <c r="E25" s="8" t="s">
        <v>34</v>
      </c>
      <c r="F25" s="9">
        <v>80557.629999999903</v>
      </c>
      <c r="I25" s="15">
        <v>2</v>
      </c>
      <c r="J25" s="7">
        <v>171</v>
      </c>
      <c r="K25" s="7">
        <v>30</v>
      </c>
      <c r="L25" s="7">
        <v>201</v>
      </c>
    </row>
    <row r="26" spans="1:12" x14ac:dyDescent="0.3">
      <c r="A26" s="8" t="s">
        <v>2050</v>
      </c>
      <c r="B26" s="7">
        <v>2000</v>
      </c>
      <c r="E26" s="8" t="s">
        <v>18</v>
      </c>
      <c r="F26" s="9">
        <v>83762.259999999864</v>
      </c>
      <c r="I26" s="15">
        <v>3</v>
      </c>
      <c r="J26" s="7">
        <v>168</v>
      </c>
      <c r="K26" s="7">
        <v>33</v>
      </c>
      <c r="L26" s="7">
        <v>201</v>
      </c>
    </row>
    <row r="27" spans="1:12" x14ac:dyDescent="0.3">
      <c r="E27" s="8" t="s">
        <v>2050</v>
      </c>
      <c r="F27" s="9">
        <v>317645.9299999997</v>
      </c>
      <c r="I27" s="15">
        <v>4</v>
      </c>
      <c r="J27" s="7">
        <v>137</v>
      </c>
      <c r="K27" s="7">
        <v>23</v>
      </c>
      <c r="L27" s="7">
        <v>160</v>
      </c>
    </row>
    <row r="28" spans="1:12" x14ac:dyDescent="0.3">
      <c r="I28" s="15">
        <v>5</v>
      </c>
      <c r="J28" s="7">
        <v>174</v>
      </c>
      <c r="K28" s="7">
        <v>37</v>
      </c>
      <c r="L28" s="7">
        <v>211</v>
      </c>
    </row>
    <row r="29" spans="1:12" x14ac:dyDescent="0.3">
      <c r="I29" s="15">
        <v>6</v>
      </c>
      <c r="J29" s="7">
        <v>182</v>
      </c>
      <c r="K29" s="7">
        <v>35</v>
      </c>
      <c r="L29" s="7">
        <v>217</v>
      </c>
    </row>
    <row r="30" spans="1:12" x14ac:dyDescent="0.3">
      <c r="I30" s="15">
        <v>7</v>
      </c>
      <c r="J30" s="7">
        <v>183</v>
      </c>
      <c r="K30" s="7">
        <v>40</v>
      </c>
      <c r="L30" s="7">
        <v>223</v>
      </c>
    </row>
    <row r="31" spans="1:12" x14ac:dyDescent="0.3">
      <c r="I31" s="15">
        <v>8</v>
      </c>
      <c r="J31" s="7">
        <v>171</v>
      </c>
      <c r="K31" s="7">
        <v>34</v>
      </c>
      <c r="L31" s="7">
        <v>205</v>
      </c>
    </row>
    <row r="32" spans="1:12" x14ac:dyDescent="0.3">
      <c r="I32" s="15">
        <v>9</v>
      </c>
      <c r="J32" s="7">
        <v>136</v>
      </c>
      <c r="K32" s="7">
        <v>37</v>
      </c>
      <c r="L32" s="7">
        <v>173</v>
      </c>
    </row>
    <row r="33" spans="9:12" x14ac:dyDescent="0.3">
      <c r="I33" s="15">
        <v>10</v>
      </c>
      <c r="J33" s="7">
        <v>176</v>
      </c>
      <c r="K33" s="7">
        <v>30</v>
      </c>
      <c r="L33" s="7">
        <v>206</v>
      </c>
    </row>
    <row r="34" spans="9:12" x14ac:dyDescent="0.3">
      <c r="I34" s="15" t="s">
        <v>2050</v>
      </c>
      <c r="J34" s="7">
        <v>1673</v>
      </c>
      <c r="K34" s="7">
        <v>327</v>
      </c>
      <c r="L34" s="7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zoomScale="70" zoomScaleNormal="70" workbookViewId="0">
      <selection activeCell="V34" sqref="V34"/>
    </sheetView>
  </sheetViews>
  <sheetFormatPr defaultRowHeight="14.4" x14ac:dyDescent="0.3"/>
  <sheetData>
    <row r="1" spans="1:20" ht="14.4" customHeight="1" x14ac:dyDescent="0.3">
      <c r="A1" s="20" t="s">
        <v>2037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20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x14ac:dyDescent="0.3">
      <c r="A19" s="18" t="s">
        <v>2038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x14ac:dyDescent="0.3">
      <c r="A39" s="18" t="s">
        <v>2039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</sheetData>
  <mergeCells count="3">
    <mergeCell ref="A39:T40"/>
    <mergeCell ref="A1:T2"/>
    <mergeCell ref="A19:T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Customer_Data</vt:lpstr>
      <vt:lpstr>Pivot Tables</vt:lpstr>
      <vt:lpstr>Pivot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MAURYA</cp:lastModifiedBy>
  <dcterms:created xsi:type="dcterms:W3CDTF">2026-07-16T19:58:27Z</dcterms:created>
  <dcterms:modified xsi:type="dcterms:W3CDTF">2026-07-23T09:02:57Z</dcterms:modified>
</cp:coreProperties>
</file>